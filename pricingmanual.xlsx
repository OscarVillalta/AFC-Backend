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Cadmin2\Downloads\"/>
    </mc:Choice>
  </mc:AlternateContent>
  <xr:revisionPtr revIDLastSave="0" documentId="8_{1DDD6B59-F8CC-41B6-AC9E-3D0E7EE65E07}" xr6:coauthVersionLast="47" xr6:coauthVersionMax="47" xr10:uidLastSave="{00000000-0000-0000-0000-000000000000}"/>
  <bookViews>
    <workbookView xWindow="-120" yWindow="-120" windowWidth="29040" windowHeight="15720" firstSheet="10" activeTab="12" xr2:uid="{708BD2FA-643E-407E-AEA7-BB4064412343}"/>
  </bookViews>
  <sheets>
    <sheet name="ZLP 1" sheetId="13" r:id="rId1"/>
    <sheet name="ZLP2" sheetId="32" r:id="rId2"/>
    <sheet name="HVP1" sheetId="15" r:id="rId3"/>
    <sheet name="HVP2" sheetId="33" r:id="rId4"/>
    <sheet name="MR11 1" sheetId="17" r:id="rId5"/>
    <sheet name="MR11 2" sheetId="34" r:id="rId6"/>
    <sheet name="MR13 1" sheetId="20" r:id="rId7"/>
    <sheet name="MR13 2" sheetId="35" r:id="rId8"/>
    <sheet name="Carbotron 1" sheetId="22" r:id="rId9"/>
    <sheet name="Carbotron 2" sheetId="36" r:id="rId10"/>
    <sheet name="XM" sheetId="24" r:id="rId11"/>
    <sheet name="Excel BAG 2" sheetId="26" r:id="rId12"/>
    <sheet name="Sheet1" sheetId="39" r:id="rId13"/>
    <sheet name="Excel BAG 1" sheetId="25" r:id="rId14"/>
    <sheet name="Purapak" sheetId="27" r:id="rId15"/>
    <sheet name="Zpak1" sheetId="28" r:id="rId16"/>
    <sheet name="Zpak2" sheetId="29" r:id="rId17"/>
    <sheet name="Puracell IILR" sheetId="31" r:id="rId18"/>
    <sheet name="DISTRIBUTOR MULTIPLIER SHEET" sheetId="37" r:id="rId19"/>
  </sheets>
  <externalReferences>
    <externalReference r:id="rId20"/>
  </externalReferences>
  <definedNames>
    <definedName name="_Hlk175215188" localSheetId="6">'MR13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57" i="39" l="1"/>
  <c r="M1457" i="39" s="1"/>
  <c r="O1420" i="39"/>
  <c r="O1421" i="39"/>
  <c r="O1422" i="39"/>
  <c r="O1423" i="39"/>
  <c r="O1424" i="39"/>
  <c r="O1426" i="39"/>
  <c r="O1427" i="39"/>
  <c r="O1428" i="39"/>
  <c r="O1429" i="39"/>
  <c r="O1430" i="39"/>
  <c r="O1431" i="39"/>
  <c r="O1432" i="39"/>
  <c r="O1433" i="39"/>
  <c r="O1434" i="39"/>
  <c r="O1435" i="39"/>
  <c r="O1436" i="39"/>
  <c r="O1437" i="39"/>
  <c r="O1438" i="39"/>
  <c r="O1439" i="39"/>
  <c r="O1440" i="39"/>
  <c r="O1441" i="39"/>
  <c r="O1443" i="39"/>
  <c r="O1444" i="39"/>
  <c r="O1445" i="39"/>
  <c r="O1446" i="39"/>
  <c r="O1447" i="39"/>
  <c r="O1448" i="39"/>
  <c r="O1450" i="39"/>
  <c r="O1451" i="39"/>
  <c r="O1452" i="39"/>
  <c r="O1453" i="39"/>
  <c r="O1454" i="39"/>
  <c r="O1455" i="39"/>
  <c r="O1456" i="39"/>
  <c r="O1457" i="39"/>
  <c r="O1458" i="39"/>
  <c r="O1459" i="39"/>
  <c r="O1460" i="39"/>
  <c r="O1461" i="39"/>
  <c r="O1462" i="39"/>
  <c r="O1463" i="39"/>
  <c r="O1464" i="39"/>
  <c r="O1465" i="39"/>
  <c r="O1466" i="39"/>
  <c r="O1467" i="39"/>
  <c r="O1468" i="39"/>
  <c r="O1469" i="39"/>
  <c r="O1470" i="39"/>
  <c r="O1471" i="39"/>
  <c r="O1472" i="39"/>
  <c r="O1473" i="39"/>
  <c r="O1474" i="39"/>
  <c r="O1475" i="39"/>
  <c r="O1476" i="39"/>
  <c r="O1477" i="39"/>
  <c r="O1478" i="39"/>
  <c r="O1479" i="39"/>
  <c r="O1481" i="39"/>
  <c r="O1482" i="39"/>
  <c r="O1483" i="39"/>
  <c r="O1485" i="39"/>
  <c r="O1486" i="39"/>
  <c r="O1487" i="39"/>
  <c r="O1488" i="39"/>
  <c r="O1490" i="39"/>
  <c r="O1491" i="39"/>
  <c r="O1493" i="39"/>
  <c r="O1494" i="39"/>
  <c r="O1495" i="39"/>
  <c r="O1496" i="39"/>
  <c r="O1497" i="39"/>
  <c r="O1498" i="39"/>
  <c r="O1499" i="39"/>
  <c r="O1500" i="39"/>
  <c r="O1501" i="39"/>
  <c r="O1502" i="39"/>
  <c r="O1503" i="39"/>
  <c r="O1504" i="39"/>
  <c r="O1505" i="39"/>
  <c r="O1506" i="39"/>
  <c r="O1508" i="39"/>
  <c r="O1509" i="39"/>
  <c r="O1511" i="39"/>
  <c r="O1512" i="39"/>
  <c r="O1514" i="39"/>
  <c r="O1515" i="39"/>
  <c r="O1516" i="39"/>
  <c r="O1517" i="39"/>
  <c r="O1519" i="39"/>
  <c r="O1520" i="39"/>
  <c r="O1521" i="39"/>
  <c r="O1522" i="39"/>
  <c r="O1523" i="39"/>
  <c r="O1524" i="39"/>
  <c r="O1525" i="39"/>
  <c r="O1526" i="39"/>
  <c r="O1527" i="39"/>
  <c r="O1528" i="39"/>
  <c r="O1529" i="39"/>
  <c r="O1530" i="39"/>
  <c r="O1531" i="39"/>
  <c r="O1533" i="39"/>
  <c r="O1534" i="39"/>
  <c r="O1535" i="39"/>
  <c r="O1536" i="39"/>
  <c r="O1538" i="39"/>
  <c r="O1539" i="39"/>
  <c r="O1541" i="39"/>
  <c r="O1542" i="39"/>
  <c r="O1543" i="39"/>
  <c r="O1544" i="39"/>
  <c r="O1545" i="39"/>
  <c r="O1546" i="39"/>
  <c r="O1547" i="39"/>
  <c r="O1548" i="39"/>
  <c r="O1549" i="39"/>
  <c r="O1550" i="39"/>
  <c r="O1551" i="39"/>
  <c r="O1552" i="39"/>
  <c r="O1553" i="39"/>
  <c r="O1554" i="39"/>
  <c r="O1556" i="39"/>
  <c r="O1557" i="39"/>
  <c r="O1559" i="39"/>
  <c r="O1560" i="39"/>
  <c r="O1561" i="39"/>
  <c r="O1562" i="39"/>
  <c r="O1563" i="39"/>
  <c r="O1564" i="39"/>
  <c r="O1565" i="39"/>
  <c r="O1567" i="39"/>
  <c r="O1568" i="39"/>
  <c r="O1569" i="39"/>
  <c r="O1570" i="39"/>
  <c r="O1571" i="39"/>
  <c r="O1572" i="39"/>
  <c r="O1573" i="39"/>
  <c r="O1574" i="39"/>
  <c r="O1575" i="39"/>
  <c r="O1576" i="39"/>
  <c r="O1577" i="39"/>
  <c r="O1578" i="39"/>
  <c r="O1579" i="39"/>
  <c r="O1580" i="39"/>
  <c r="O1581" i="39"/>
  <c r="O1582" i="39"/>
  <c r="O1583" i="39"/>
  <c r="O1584" i="39"/>
  <c r="O1585" i="39"/>
  <c r="O1410" i="39"/>
  <c r="O1411" i="39"/>
  <c r="O1412" i="39"/>
  <c r="O1413" i="39"/>
  <c r="O1414" i="39"/>
  <c r="O1415" i="39"/>
  <c r="O1416" i="39"/>
  <c r="O1417" i="39"/>
  <c r="O1419" i="39"/>
  <c r="O1400" i="39"/>
  <c r="O1401" i="39"/>
  <c r="O1402" i="39"/>
  <c r="O1403" i="39"/>
  <c r="O1404" i="39"/>
  <c r="O1405" i="39"/>
  <c r="O1406" i="39"/>
  <c r="O1407" i="39"/>
  <c r="O1408" i="39"/>
  <c r="O1409" i="39"/>
  <c r="O1392" i="39"/>
  <c r="O1393" i="39"/>
  <c r="O1394" i="39"/>
  <c r="O1395" i="39"/>
  <c r="O1396" i="39"/>
  <c r="O1397" i="39"/>
  <c r="O1398" i="39"/>
  <c r="N1392" i="39"/>
  <c r="N1393" i="39"/>
  <c r="N1394" i="39"/>
  <c r="N1396" i="39"/>
  <c r="N1397" i="39"/>
  <c r="N1399" i="39"/>
  <c r="N1400" i="39"/>
  <c r="N1401" i="39"/>
  <c r="N1404" i="39"/>
  <c r="N1406" i="39"/>
  <c r="N1407" i="39"/>
  <c r="N1408" i="39"/>
  <c r="N1409" i="39"/>
  <c r="N1410" i="39"/>
  <c r="N1411" i="39"/>
  <c r="N1412" i="39"/>
  <c r="N1413" i="39"/>
  <c r="N1415" i="39"/>
  <c r="N1416" i="39"/>
  <c r="N1418" i="39"/>
  <c r="N1419" i="39"/>
  <c r="N1421" i="39"/>
  <c r="N1423" i="39"/>
  <c r="N1425" i="39"/>
  <c r="N1426" i="39"/>
  <c r="N1428" i="39"/>
  <c r="N1430" i="39"/>
  <c r="N1431" i="39"/>
  <c r="N1433" i="39"/>
  <c r="N1434" i="39"/>
  <c r="N1435" i="39"/>
  <c r="N1436" i="39"/>
  <c r="N1438" i="39"/>
  <c r="N1439" i="39"/>
  <c r="N1442" i="39"/>
  <c r="N1443" i="39"/>
  <c r="N1445" i="39"/>
  <c r="N1446" i="39"/>
  <c r="N1447" i="39"/>
  <c r="N1448" i="39"/>
  <c r="N1449" i="39"/>
  <c r="N1450" i="39"/>
  <c r="N1453" i="39"/>
  <c r="N1454" i="39"/>
  <c r="N1455" i="39"/>
  <c r="N1457" i="39"/>
  <c r="N1458" i="39"/>
  <c r="N1460" i="39"/>
  <c r="N1461" i="39"/>
  <c r="N1462" i="39"/>
  <c r="N1463" i="39"/>
  <c r="N1464" i="39"/>
  <c r="N1467" i="39"/>
  <c r="N1469" i="39"/>
  <c r="N1470" i="39"/>
  <c r="N1471" i="39"/>
  <c r="N1473" i="39"/>
  <c r="N1474" i="39"/>
  <c r="N1476" i="39"/>
  <c r="N1478" i="39"/>
  <c r="N1480" i="39"/>
  <c r="N1482" i="39"/>
  <c r="N1484" i="39"/>
  <c r="N1485" i="39"/>
  <c r="N1486" i="39"/>
  <c r="N1489" i="39"/>
  <c r="N1490" i="39"/>
  <c r="N1492" i="39"/>
  <c r="N1493" i="39"/>
  <c r="N1495" i="39"/>
  <c r="N1497" i="39"/>
  <c r="N1501" i="39"/>
  <c r="N1503" i="39"/>
  <c r="N1506" i="39"/>
  <c r="N1507" i="39"/>
  <c r="N1508" i="39"/>
  <c r="N1510" i="39"/>
  <c r="N1511" i="39"/>
  <c r="N1513" i="39"/>
  <c r="N1514" i="39"/>
  <c r="N1516" i="39"/>
  <c r="N1518" i="39"/>
  <c r="N1519" i="39"/>
  <c r="N1521" i="39"/>
  <c r="N1523" i="39"/>
  <c r="N1524" i="39"/>
  <c r="N1525" i="39"/>
  <c r="N1526" i="39"/>
  <c r="N1528" i="39"/>
  <c r="N1529" i="39"/>
  <c r="N1530" i="39"/>
  <c r="N1532" i="39"/>
  <c r="N1533" i="39"/>
  <c r="N1535" i="39"/>
  <c r="N1537" i="39"/>
  <c r="N1538" i="39"/>
  <c r="N1540" i="39"/>
  <c r="N1541" i="39"/>
  <c r="N1547" i="39"/>
  <c r="N1548" i="39"/>
  <c r="N1550" i="39"/>
  <c r="N1552" i="39"/>
  <c r="N1554" i="39"/>
  <c r="N1555" i="39"/>
  <c r="N1556" i="39"/>
  <c r="N1558" i="39"/>
  <c r="N1559" i="39"/>
  <c r="N1562" i="39"/>
  <c r="N1563" i="39"/>
  <c r="N1565" i="39"/>
  <c r="N1566" i="39"/>
  <c r="N1567" i="39"/>
  <c r="N1568" i="39"/>
  <c r="N1569" i="39"/>
  <c r="N1570" i="39"/>
  <c r="N1571" i="39"/>
  <c r="N1573" i="39"/>
  <c r="N1574" i="39"/>
  <c r="N1575" i="39"/>
  <c r="N1576" i="39"/>
  <c r="N1577" i="39"/>
  <c r="N1578" i="39"/>
  <c r="N1579" i="39"/>
  <c r="N1580" i="39"/>
  <c r="N1581" i="39"/>
  <c r="N1583" i="39"/>
  <c r="N1584" i="39"/>
  <c r="N1585" i="39"/>
  <c r="M1393" i="39"/>
  <c r="M1395" i="39"/>
  <c r="M1396" i="39"/>
  <c r="M1398" i="39"/>
  <c r="M1399" i="39"/>
  <c r="M1402" i="39"/>
  <c r="M1403" i="39"/>
  <c r="M1405" i="39"/>
  <c r="M1412" i="39"/>
  <c r="M1414" i="39"/>
  <c r="M1415" i="39"/>
  <c r="M1417" i="39"/>
  <c r="M1418" i="39"/>
  <c r="M1420" i="39"/>
  <c r="M1422" i="39"/>
  <c r="M1424" i="39"/>
  <c r="M1425" i="39"/>
  <c r="M1427" i="39"/>
  <c r="M1429" i="39"/>
  <c r="M1432" i="39"/>
  <c r="M1433" i="39"/>
  <c r="M1434" i="39"/>
  <c r="M1437" i="39"/>
  <c r="M1440" i="39"/>
  <c r="M1441" i="39"/>
  <c r="M1442" i="39"/>
  <c r="M1444" i="39"/>
  <c r="M1449" i="39"/>
  <c r="M1451" i="39"/>
  <c r="M1452" i="39"/>
  <c r="M1456" i="39"/>
  <c r="M1459" i="39"/>
  <c r="M1460" i="39"/>
  <c r="M1462" i="39"/>
  <c r="M1463" i="39"/>
  <c r="M1465" i="39"/>
  <c r="M1466" i="39"/>
  <c r="M1468" i="39"/>
  <c r="M1469" i="39"/>
  <c r="M1470" i="39"/>
  <c r="M1472" i="39"/>
  <c r="M1475" i="39"/>
  <c r="M1477" i="39"/>
  <c r="M1479" i="39"/>
  <c r="M1480" i="39"/>
  <c r="M1481" i="39"/>
  <c r="M1483" i="39"/>
  <c r="M1484" i="39"/>
  <c r="M1487" i="39"/>
  <c r="M1488" i="39"/>
  <c r="M1489" i="39"/>
  <c r="M1491" i="39"/>
  <c r="M1492" i="39"/>
  <c r="M1494" i="39"/>
  <c r="M1496" i="39"/>
  <c r="M1498" i="39"/>
  <c r="M1499" i="39"/>
  <c r="M1500" i="39"/>
  <c r="M1502" i="39"/>
  <c r="M1504" i="39"/>
  <c r="M1505" i="39"/>
  <c r="M1506" i="39"/>
  <c r="M1507" i="39"/>
  <c r="M1509" i="39"/>
  <c r="M1510" i="39"/>
  <c r="M1512" i="39"/>
  <c r="M1513" i="39"/>
  <c r="M1515" i="39"/>
  <c r="M1517" i="39"/>
  <c r="M1518" i="39"/>
  <c r="M1520" i="39"/>
  <c r="M1522" i="39"/>
  <c r="M1523" i="39"/>
  <c r="M1526" i="39"/>
  <c r="M1527" i="39"/>
  <c r="M1529" i="39"/>
  <c r="M1531" i="39"/>
  <c r="M1532" i="39"/>
  <c r="M1534" i="39"/>
  <c r="M1536" i="39"/>
  <c r="M1537" i="39"/>
  <c r="M1539" i="39"/>
  <c r="M1540" i="39"/>
  <c r="M1542" i="39"/>
  <c r="M1543" i="39"/>
  <c r="M1544" i="39"/>
  <c r="M1545" i="39"/>
  <c r="M1546" i="39"/>
  <c r="M1549" i="39"/>
  <c r="M1551" i="39"/>
  <c r="M1553" i="39"/>
  <c r="M1555" i="39"/>
  <c r="M1557" i="39"/>
  <c r="M1558" i="39"/>
  <c r="M1560" i="39"/>
  <c r="M1561" i="39"/>
  <c r="M1564" i="39"/>
  <c r="M1566" i="39"/>
  <c r="M1567" i="39"/>
  <c r="M1568" i="39"/>
  <c r="M1569" i="39"/>
  <c r="M1570" i="39"/>
  <c r="M1571" i="39"/>
  <c r="M1572" i="39"/>
  <c r="M1573" i="39"/>
  <c r="M1581" i="39"/>
  <c r="M1582" i="39"/>
  <c r="M1583" i="39"/>
  <c r="M1584" i="39"/>
  <c r="N1391" i="39"/>
  <c r="M1391" i="39"/>
  <c r="O1391" i="39"/>
  <c r="I1393" i="39" a="1"/>
  <c r="K1393" i="39" s="1"/>
  <c r="I1394" i="39" a="1"/>
  <c r="K1394" i="39" s="1"/>
  <c r="M1394" i="39" s="1"/>
  <c r="P1394" i="39" s="1"/>
  <c r="I1395" i="39" a="1"/>
  <c r="K1395" i="39" s="1"/>
  <c r="N1395" i="39" s="1"/>
  <c r="I1396" i="39" a="1"/>
  <c r="K1396" i="39" s="1"/>
  <c r="I1397" i="39" a="1"/>
  <c r="K1397" i="39" s="1"/>
  <c r="M1397" i="39" s="1"/>
  <c r="I1398" i="39" a="1"/>
  <c r="K1398" i="39" s="1"/>
  <c r="N1398" i="39" s="1"/>
  <c r="I1399" i="39" a="1"/>
  <c r="K1399" i="39" s="1"/>
  <c r="O1399" i="39" s="1"/>
  <c r="I1400" i="39" a="1"/>
  <c r="K1400" i="39" s="1"/>
  <c r="M1400" i="39" s="1"/>
  <c r="I1401" i="39" a="1"/>
  <c r="K1401" i="39" s="1"/>
  <c r="M1401" i="39" s="1"/>
  <c r="P1401" i="39" s="1"/>
  <c r="I1402" i="39" a="1"/>
  <c r="K1402" i="39" s="1"/>
  <c r="N1402" i="39" s="1"/>
  <c r="I1403" i="39" a="1"/>
  <c r="K1403" i="39" s="1"/>
  <c r="N1403" i="39" s="1"/>
  <c r="I1404" i="39" a="1"/>
  <c r="K1404" i="39" s="1"/>
  <c r="M1404" i="39" s="1"/>
  <c r="I1405" i="39" a="1"/>
  <c r="K1405" i="39" s="1"/>
  <c r="N1405" i="39" s="1"/>
  <c r="I1406" i="39" a="1"/>
  <c r="K1406" i="39" s="1"/>
  <c r="M1406" i="39" s="1"/>
  <c r="P1406" i="39" s="1"/>
  <c r="I1407" i="39" a="1"/>
  <c r="K1407" i="39" s="1"/>
  <c r="M1407" i="39" s="1"/>
  <c r="P1407" i="39" s="1"/>
  <c r="I1408" i="39" a="1"/>
  <c r="K1408" i="39" s="1"/>
  <c r="M1408" i="39" s="1"/>
  <c r="P1408" i="39" s="1"/>
  <c r="I1409" i="39" a="1"/>
  <c r="K1409" i="39" s="1"/>
  <c r="M1409" i="39" s="1"/>
  <c r="P1409" i="39" s="1"/>
  <c r="I1410" i="39" a="1"/>
  <c r="K1410" i="39" s="1"/>
  <c r="M1410" i="39" s="1"/>
  <c r="P1410" i="39" s="1"/>
  <c r="I1411" i="39" a="1"/>
  <c r="K1411" i="39" s="1"/>
  <c r="M1411" i="39" s="1"/>
  <c r="P1411" i="39" s="1"/>
  <c r="I1412" i="39" a="1"/>
  <c r="K1412" i="39" s="1"/>
  <c r="I1413" i="39" a="1"/>
  <c r="K1413" i="39" s="1"/>
  <c r="M1413" i="39" s="1"/>
  <c r="P1413" i="39" s="1"/>
  <c r="I1414" i="39" a="1"/>
  <c r="K1414" i="39" s="1"/>
  <c r="N1414" i="39" s="1"/>
  <c r="I1415" i="39" a="1"/>
  <c r="K1415" i="39" s="1"/>
  <c r="I1416" i="39" a="1"/>
  <c r="K1416" i="39" s="1"/>
  <c r="M1416" i="39" s="1"/>
  <c r="I1417" i="39" a="1"/>
  <c r="K1417" i="39" s="1"/>
  <c r="N1417" i="39" s="1"/>
  <c r="I1418" i="39" a="1"/>
  <c r="K1418" i="39" s="1"/>
  <c r="O1418" i="39" s="1"/>
  <c r="I1419" i="39" a="1"/>
  <c r="K1419" i="39" s="1"/>
  <c r="M1419" i="39" s="1"/>
  <c r="P1419" i="39" s="1"/>
  <c r="I1420" i="39" a="1"/>
  <c r="K1420" i="39" s="1"/>
  <c r="N1420" i="39" s="1"/>
  <c r="I1421" i="39" a="1"/>
  <c r="K1421" i="39" s="1"/>
  <c r="M1421" i="39" s="1"/>
  <c r="I1422" i="39" a="1"/>
  <c r="K1422" i="39" s="1"/>
  <c r="N1422" i="39" s="1"/>
  <c r="I1423" i="39" a="1"/>
  <c r="K1423" i="39" s="1"/>
  <c r="M1423" i="39" s="1"/>
  <c r="I1424" i="39" a="1"/>
  <c r="K1424" i="39" s="1"/>
  <c r="N1424" i="39" s="1"/>
  <c r="I1425" i="39" a="1"/>
  <c r="K1425" i="39" s="1"/>
  <c r="O1425" i="39" s="1"/>
  <c r="I1426" i="39" a="1"/>
  <c r="K1426" i="39" s="1"/>
  <c r="M1426" i="39" s="1"/>
  <c r="I1427" i="39" a="1"/>
  <c r="K1427" i="39" s="1"/>
  <c r="N1427" i="39" s="1"/>
  <c r="I1428" i="39" a="1"/>
  <c r="K1428" i="39" s="1"/>
  <c r="M1428" i="39" s="1"/>
  <c r="I1429" i="39" a="1"/>
  <c r="K1429" i="39" s="1"/>
  <c r="N1429" i="39" s="1"/>
  <c r="I1430" i="39" a="1"/>
  <c r="K1430" i="39" s="1"/>
  <c r="M1430" i="39" s="1"/>
  <c r="P1430" i="39" s="1"/>
  <c r="I1431" i="39" a="1"/>
  <c r="K1431" i="39" s="1"/>
  <c r="M1431" i="39" s="1"/>
  <c r="P1431" i="39" s="1"/>
  <c r="I1432" i="39" a="1"/>
  <c r="K1432" i="39" s="1"/>
  <c r="N1432" i="39" s="1"/>
  <c r="I1433" i="39" a="1"/>
  <c r="K1433" i="39" s="1"/>
  <c r="I1434" i="39" a="1"/>
  <c r="K1434" i="39" s="1"/>
  <c r="I1435" i="39" a="1"/>
  <c r="K1435" i="39" s="1"/>
  <c r="M1435" i="39" s="1"/>
  <c r="I1436" i="39" a="1"/>
  <c r="K1436" i="39" s="1"/>
  <c r="M1436" i="39" s="1"/>
  <c r="P1436" i="39" s="1"/>
  <c r="I1437" i="39" a="1"/>
  <c r="K1437" i="39" s="1"/>
  <c r="N1437" i="39" s="1"/>
  <c r="I1438" i="39" a="1"/>
  <c r="K1438" i="39" s="1"/>
  <c r="M1438" i="39" s="1"/>
  <c r="I1439" i="39" a="1"/>
  <c r="K1439" i="39" s="1"/>
  <c r="M1439" i="39" s="1"/>
  <c r="P1439" i="39" s="1"/>
  <c r="I1440" i="39" a="1"/>
  <c r="K1440" i="39" s="1"/>
  <c r="N1440" i="39" s="1"/>
  <c r="I1441" i="39" a="1"/>
  <c r="K1441" i="39" s="1"/>
  <c r="N1441" i="39" s="1"/>
  <c r="I1442" i="39" a="1"/>
  <c r="K1442" i="39" s="1"/>
  <c r="O1442" i="39" s="1"/>
  <c r="I1443" i="39" a="1"/>
  <c r="K1443" i="39" s="1"/>
  <c r="M1443" i="39" s="1"/>
  <c r="I1444" i="39" a="1"/>
  <c r="K1444" i="39" s="1"/>
  <c r="N1444" i="39" s="1"/>
  <c r="I1445" i="39" a="1"/>
  <c r="K1445" i="39" s="1"/>
  <c r="M1445" i="39" s="1"/>
  <c r="P1445" i="39" s="1"/>
  <c r="I1446" i="39" a="1"/>
  <c r="K1446" i="39" s="1"/>
  <c r="M1446" i="39" s="1"/>
  <c r="P1446" i="39" s="1"/>
  <c r="I1447" i="39" a="1"/>
  <c r="K1447" i="39" s="1"/>
  <c r="M1447" i="39" s="1"/>
  <c r="P1447" i="39" s="1"/>
  <c r="I1448" i="39" a="1"/>
  <c r="K1448" i="39" s="1"/>
  <c r="M1448" i="39" s="1"/>
  <c r="I1449" i="39" a="1"/>
  <c r="K1449" i="39" s="1"/>
  <c r="O1449" i="39" s="1"/>
  <c r="I1450" i="39" a="1"/>
  <c r="K1450" i="39" s="1"/>
  <c r="M1450" i="39" s="1"/>
  <c r="I1451" i="39" a="1"/>
  <c r="K1451" i="39" s="1"/>
  <c r="N1451" i="39" s="1"/>
  <c r="I1452" i="39" a="1"/>
  <c r="K1452" i="39" s="1"/>
  <c r="N1452" i="39" s="1"/>
  <c r="I1453" i="39" a="1"/>
  <c r="K1453" i="39" s="1"/>
  <c r="M1453" i="39" s="1"/>
  <c r="P1453" i="39" s="1"/>
  <c r="I1454" i="39" a="1"/>
  <c r="K1454" i="39" s="1"/>
  <c r="M1454" i="39" s="1"/>
  <c r="P1454" i="39" s="1"/>
  <c r="I1455" i="39" a="1"/>
  <c r="K1455" i="39" s="1"/>
  <c r="M1455" i="39" s="1"/>
  <c r="I1456" i="39" a="1"/>
  <c r="K1456" i="39" s="1"/>
  <c r="N1456" i="39" s="1"/>
  <c r="I1458" i="39" a="1"/>
  <c r="K1458" i="39" s="1"/>
  <c r="M1458" i="39" s="1"/>
  <c r="P1458" i="39" s="1"/>
  <c r="K1459" i="39"/>
  <c r="N1459" i="39" s="1"/>
  <c r="I1460" i="39" a="1"/>
  <c r="K1460" i="39" s="1"/>
  <c r="I1461" i="39" a="1"/>
  <c r="K1461" i="39" s="1"/>
  <c r="M1461" i="39" s="1"/>
  <c r="P1461" i="39" s="1"/>
  <c r="I1462" i="39" a="1"/>
  <c r="K1462" i="39" s="1"/>
  <c r="I1463" i="39" a="1"/>
  <c r="K1463" i="39" s="1"/>
  <c r="I1464" i="39" a="1"/>
  <c r="K1464" i="39" s="1"/>
  <c r="M1464" i="39" s="1"/>
  <c r="I1465" i="39" a="1"/>
  <c r="K1465" i="39" s="1"/>
  <c r="N1465" i="39" s="1"/>
  <c r="I1466" i="39" a="1"/>
  <c r="K1466" i="39" s="1"/>
  <c r="N1466" i="39" s="1"/>
  <c r="I1467" i="39" a="1"/>
  <c r="K1467" i="39" s="1"/>
  <c r="M1467" i="39" s="1"/>
  <c r="P1467" i="39" s="1"/>
  <c r="I1468" i="39" a="1"/>
  <c r="K1468" i="39" s="1"/>
  <c r="N1468" i="39" s="1"/>
  <c r="I1469" i="39" a="1"/>
  <c r="K1469" i="39" s="1"/>
  <c r="I1470" i="39" a="1"/>
  <c r="K1470" i="39" s="1"/>
  <c r="I1471" i="39" a="1"/>
  <c r="K1471" i="39" s="1"/>
  <c r="M1471" i="39" s="1"/>
  <c r="P1471" i="39" s="1"/>
  <c r="I1472" i="39" a="1"/>
  <c r="K1472" i="39" s="1"/>
  <c r="N1472" i="39" s="1"/>
  <c r="I1473" i="39" a="1"/>
  <c r="K1473" i="39" s="1"/>
  <c r="M1473" i="39" s="1"/>
  <c r="P1473" i="39" s="1"/>
  <c r="I1474" i="39" a="1"/>
  <c r="K1474" i="39" s="1"/>
  <c r="M1474" i="39" s="1"/>
  <c r="P1474" i="39" s="1"/>
  <c r="I1475" i="39" a="1"/>
  <c r="K1475" i="39" s="1"/>
  <c r="N1475" i="39" s="1"/>
  <c r="I1476" i="39" a="1"/>
  <c r="K1476" i="39" s="1"/>
  <c r="M1476" i="39" s="1"/>
  <c r="I1477" i="39" a="1"/>
  <c r="K1477" i="39" s="1"/>
  <c r="N1477" i="39" s="1"/>
  <c r="I1478" i="39" a="1"/>
  <c r="K1478" i="39" s="1"/>
  <c r="M1478" i="39" s="1"/>
  <c r="I1479" i="39" a="1"/>
  <c r="K1479" i="39" s="1"/>
  <c r="N1479" i="39" s="1"/>
  <c r="I1480" i="39" a="1"/>
  <c r="K1480" i="39" s="1"/>
  <c r="O1480" i="39" s="1"/>
  <c r="I1481" i="39" a="1"/>
  <c r="K1481" i="39" s="1"/>
  <c r="N1481" i="39" s="1"/>
  <c r="I1482" i="39" a="1"/>
  <c r="K1482" i="39" s="1"/>
  <c r="M1482" i="39" s="1"/>
  <c r="I1483" i="39" a="1"/>
  <c r="K1483" i="39" s="1"/>
  <c r="N1483" i="39" s="1"/>
  <c r="I1484" i="39" a="1"/>
  <c r="K1484" i="39" s="1"/>
  <c r="O1484" i="39" s="1"/>
  <c r="I1485" i="39" a="1"/>
  <c r="K1485" i="39" s="1"/>
  <c r="M1485" i="39" s="1"/>
  <c r="P1485" i="39" s="1"/>
  <c r="I1486" i="39" a="1"/>
  <c r="K1486" i="39" s="1"/>
  <c r="M1486" i="39" s="1"/>
  <c r="I1487" i="39" a="1"/>
  <c r="K1487" i="39" s="1"/>
  <c r="N1487" i="39" s="1"/>
  <c r="I1488" i="39" a="1"/>
  <c r="K1488" i="39" s="1"/>
  <c r="N1488" i="39" s="1"/>
  <c r="I1489" i="39" a="1"/>
  <c r="K1489" i="39" s="1"/>
  <c r="O1489" i="39" s="1"/>
  <c r="I1490" i="39" a="1"/>
  <c r="K1490" i="39" s="1"/>
  <c r="M1490" i="39" s="1"/>
  <c r="I1491" i="39" a="1"/>
  <c r="K1491" i="39" s="1"/>
  <c r="N1491" i="39" s="1"/>
  <c r="I1492" i="39" a="1"/>
  <c r="K1492" i="39" s="1"/>
  <c r="O1492" i="39" s="1"/>
  <c r="I1493" i="39" a="1"/>
  <c r="K1493" i="39" s="1"/>
  <c r="M1493" i="39" s="1"/>
  <c r="I1494" i="39" a="1"/>
  <c r="K1494" i="39" s="1"/>
  <c r="N1494" i="39" s="1"/>
  <c r="I1495" i="39" a="1"/>
  <c r="K1495" i="39" s="1"/>
  <c r="M1495" i="39" s="1"/>
  <c r="I1496" i="39" a="1"/>
  <c r="K1496" i="39" s="1"/>
  <c r="N1496" i="39" s="1"/>
  <c r="I1497" i="39" a="1"/>
  <c r="K1497" i="39" s="1"/>
  <c r="M1497" i="39" s="1"/>
  <c r="P1497" i="39" s="1"/>
  <c r="I1498" i="39" a="1"/>
  <c r="K1498" i="39" s="1"/>
  <c r="N1498" i="39" s="1"/>
  <c r="I1499" i="39" a="1"/>
  <c r="K1499" i="39" s="1"/>
  <c r="N1499" i="39" s="1"/>
  <c r="I1500" i="39" a="1"/>
  <c r="K1500" i="39" s="1"/>
  <c r="N1500" i="39" s="1"/>
  <c r="I1501" i="39" a="1"/>
  <c r="K1501" i="39" s="1"/>
  <c r="M1501" i="39" s="1"/>
  <c r="P1501" i="39" s="1"/>
  <c r="I1502" i="39" a="1"/>
  <c r="K1502" i="39" s="1"/>
  <c r="N1502" i="39" s="1"/>
  <c r="I1503" i="39" a="1"/>
  <c r="K1503" i="39" s="1"/>
  <c r="M1503" i="39" s="1"/>
  <c r="I1504" i="39" a="1"/>
  <c r="K1504" i="39" s="1"/>
  <c r="N1504" i="39" s="1"/>
  <c r="I1505" i="39" a="1"/>
  <c r="K1505" i="39" s="1"/>
  <c r="N1505" i="39" s="1"/>
  <c r="I1506" i="39" a="1"/>
  <c r="K1506" i="39" s="1"/>
  <c r="I1507" i="39" a="1"/>
  <c r="K1507" i="39" s="1"/>
  <c r="O1507" i="39" s="1"/>
  <c r="I1508" i="39" a="1"/>
  <c r="K1508" i="39" s="1"/>
  <c r="M1508" i="39" s="1"/>
  <c r="I1509" i="39" a="1"/>
  <c r="K1509" i="39" s="1"/>
  <c r="N1509" i="39" s="1"/>
  <c r="I1510" i="39" a="1"/>
  <c r="K1510" i="39" s="1"/>
  <c r="O1510" i="39" s="1"/>
  <c r="I1511" i="39" a="1"/>
  <c r="K1511" i="39" s="1"/>
  <c r="M1511" i="39" s="1"/>
  <c r="I1512" i="39" a="1"/>
  <c r="K1512" i="39" s="1"/>
  <c r="N1512" i="39" s="1"/>
  <c r="I1513" i="39" a="1"/>
  <c r="K1513" i="39" s="1"/>
  <c r="O1513" i="39" s="1"/>
  <c r="I1514" i="39" a="1"/>
  <c r="K1514" i="39" s="1"/>
  <c r="M1514" i="39" s="1"/>
  <c r="P1514" i="39" s="1"/>
  <c r="I1515" i="39" a="1"/>
  <c r="K1515" i="39" s="1"/>
  <c r="N1515" i="39" s="1"/>
  <c r="I1516" i="39" a="1"/>
  <c r="K1516" i="39" s="1"/>
  <c r="M1516" i="39" s="1"/>
  <c r="I1517" i="39" a="1"/>
  <c r="K1517" i="39" s="1"/>
  <c r="N1517" i="39" s="1"/>
  <c r="I1518" i="39" a="1"/>
  <c r="K1518" i="39" s="1"/>
  <c r="O1518" i="39" s="1"/>
  <c r="I1519" i="39" a="1"/>
  <c r="K1519" i="39" s="1"/>
  <c r="M1519" i="39" s="1"/>
  <c r="I1520" i="39" a="1"/>
  <c r="K1520" i="39" s="1"/>
  <c r="N1520" i="39" s="1"/>
  <c r="I1521" i="39" a="1"/>
  <c r="K1521" i="39" s="1"/>
  <c r="M1521" i="39" s="1"/>
  <c r="I1522" i="39" a="1"/>
  <c r="K1522" i="39" s="1"/>
  <c r="N1522" i="39" s="1"/>
  <c r="I1523" i="39" a="1"/>
  <c r="K1523" i="39" s="1"/>
  <c r="I1524" i="39" a="1"/>
  <c r="K1524" i="39" s="1"/>
  <c r="M1524" i="39" s="1"/>
  <c r="P1524" i="39" s="1"/>
  <c r="I1525" i="39" a="1"/>
  <c r="K1525" i="39" s="1"/>
  <c r="M1525" i="39" s="1"/>
  <c r="I1526" i="39" a="1"/>
  <c r="K1526" i="39" s="1"/>
  <c r="I1527" i="39" a="1"/>
  <c r="K1527" i="39" s="1"/>
  <c r="N1527" i="39" s="1"/>
  <c r="I1528" i="39" a="1"/>
  <c r="K1528" i="39" s="1"/>
  <c r="M1528" i="39" s="1"/>
  <c r="P1528" i="39" s="1"/>
  <c r="I1529" i="39" a="1"/>
  <c r="K1529" i="39" s="1"/>
  <c r="I1530" i="39" a="1"/>
  <c r="K1530" i="39" s="1"/>
  <c r="M1530" i="39" s="1"/>
  <c r="I1531" i="39" a="1"/>
  <c r="K1531" i="39" s="1"/>
  <c r="N1531" i="39" s="1"/>
  <c r="I1532" i="39" a="1"/>
  <c r="K1532" i="39" s="1"/>
  <c r="O1532" i="39" s="1"/>
  <c r="I1533" i="39" a="1"/>
  <c r="K1533" i="39" s="1"/>
  <c r="M1533" i="39" s="1"/>
  <c r="I1534" i="39" a="1"/>
  <c r="K1534" i="39" s="1"/>
  <c r="N1534" i="39" s="1"/>
  <c r="I1535" i="39" a="1"/>
  <c r="K1535" i="39" s="1"/>
  <c r="M1535" i="39" s="1"/>
  <c r="I1536" i="39" a="1"/>
  <c r="K1536" i="39" s="1"/>
  <c r="N1536" i="39" s="1"/>
  <c r="I1537" i="39" a="1"/>
  <c r="K1537" i="39" s="1"/>
  <c r="O1537" i="39" s="1"/>
  <c r="I1538" i="39" a="1"/>
  <c r="K1538" i="39" s="1"/>
  <c r="M1538" i="39" s="1"/>
  <c r="I1539" i="39" a="1"/>
  <c r="K1539" i="39" s="1"/>
  <c r="N1539" i="39" s="1"/>
  <c r="P1539" i="39" s="1"/>
  <c r="I1540" i="39" a="1"/>
  <c r="K1540" i="39" s="1"/>
  <c r="O1540" i="39" s="1"/>
  <c r="I1541" i="39" a="1"/>
  <c r="K1541" i="39" s="1"/>
  <c r="M1541" i="39" s="1"/>
  <c r="I1542" i="39" a="1"/>
  <c r="K1542" i="39" s="1"/>
  <c r="N1542" i="39" s="1"/>
  <c r="I1543" i="39" a="1"/>
  <c r="K1543" i="39" s="1"/>
  <c r="N1543" i="39" s="1"/>
  <c r="I1544" i="39" a="1"/>
  <c r="K1544" i="39" s="1"/>
  <c r="N1544" i="39" s="1"/>
  <c r="I1545" i="39" a="1"/>
  <c r="K1545" i="39" s="1"/>
  <c r="N1545" i="39" s="1"/>
  <c r="I1546" i="39" a="1"/>
  <c r="K1546" i="39" s="1"/>
  <c r="N1546" i="39" s="1"/>
  <c r="I1547" i="39" a="1"/>
  <c r="K1547" i="39" s="1"/>
  <c r="M1547" i="39" s="1"/>
  <c r="P1547" i="39" s="1"/>
  <c r="I1548" i="39" a="1"/>
  <c r="K1548" i="39" s="1"/>
  <c r="M1548" i="39" s="1"/>
  <c r="P1548" i="39" s="1"/>
  <c r="I1549" i="39" a="1"/>
  <c r="K1549" i="39" s="1"/>
  <c r="N1549" i="39" s="1"/>
  <c r="I1550" i="39" a="1"/>
  <c r="K1550" i="39" s="1"/>
  <c r="M1550" i="39" s="1"/>
  <c r="I1551" i="39" a="1"/>
  <c r="K1551" i="39" s="1"/>
  <c r="N1551" i="39" s="1"/>
  <c r="I1552" i="39" a="1"/>
  <c r="K1552" i="39" s="1"/>
  <c r="M1552" i="39" s="1"/>
  <c r="P1552" i="39" s="1"/>
  <c r="I1553" i="39" a="1"/>
  <c r="K1553" i="39" s="1"/>
  <c r="N1553" i="39" s="1"/>
  <c r="I1554" i="39" a="1"/>
  <c r="K1554" i="39" s="1"/>
  <c r="M1554" i="39" s="1"/>
  <c r="P1554" i="39" s="1"/>
  <c r="I1555" i="39" a="1"/>
  <c r="K1555" i="39" s="1"/>
  <c r="O1555" i="39" s="1"/>
  <c r="I1556" i="39" a="1"/>
  <c r="K1556" i="39" s="1"/>
  <c r="M1556" i="39" s="1"/>
  <c r="I1557" i="39" a="1"/>
  <c r="K1557" i="39" s="1"/>
  <c r="N1557" i="39" s="1"/>
  <c r="I1558" i="39" a="1"/>
  <c r="K1558" i="39" s="1"/>
  <c r="O1558" i="39" s="1"/>
  <c r="I1559" i="39" a="1"/>
  <c r="K1559" i="39" s="1"/>
  <c r="M1559" i="39" s="1"/>
  <c r="P1559" i="39" s="1"/>
  <c r="I1560" i="39" a="1"/>
  <c r="K1560" i="39" s="1"/>
  <c r="N1560" i="39" s="1"/>
  <c r="I1561" i="39" a="1"/>
  <c r="K1561" i="39" s="1"/>
  <c r="N1561" i="39" s="1"/>
  <c r="I1562" i="39" a="1"/>
  <c r="K1562" i="39" s="1"/>
  <c r="M1562" i="39" s="1"/>
  <c r="I1563" i="39" a="1"/>
  <c r="K1563" i="39" s="1"/>
  <c r="M1563" i="39" s="1"/>
  <c r="I1564" i="39" a="1"/>
  <c r="K1564" i="39" s="1"/>
  <c r="N1564" i="39" s="1"/>
  <c r="I1565" i="39" a="1"/>
  <c r="K1565" i="39" s="1"/>
  <c r="M1565" i="39" s="1"/>
  <c r="P1565" i="39" s="1"/>
  <c r="I1566" i="39" a="1"/>
  <c r="K1566" i="39" s="1"/>
  <c r="O1566" i="39" s="1"/>
  <c r="I1567" i="39" a="1"/>
  <c r="K1567" i="39" s="1"/>
  <c r="I1568" i="39" a="1"/>
  <c r="K1568" i="39" s="1"/>
  <c r="I1569" i="39" a="1"/>
  <c r="K1569" i="39" s="1"/>
  <c r="I1570" i="39" a="1"/>
  <c r="K1570" i="39" s="1"/>
  <c r="I1571" i="39" a="1"/>
  <c r="K1571" i="39" s="1"/>
  <c r="I1572" i="39" a="1"/>
  <c r="K1572" i="39" s="1"/>
  <c r="N1572" i="39" s="1"/>
  <c r="I1573" i="39" a="1"/>
  <c r="K1573" i="39" s="1"/>
  <c r="I1574" i="39" a="1"/>
  <c r="K1574" i="39" s="1"/>
  <c r="M1574" i="39" s="1"/>
  <c r="P1574" i="39" s="1"/>
  <c r="I1575" i="39" a="1"/>
  <c r="K1575" i="39" s="1"/>
  <c r="M1575" i="39" s="1"/>
  <c r="P1575" i="39" s="1"/>
  <c r="I1576" i="39" a="1"/>
  <c r="K1576" i="39" s="1"/>
  <c r="M1576" i="39" s="1"/>
  <c r="P1576" i="39" s="1"/>
  <c r="I1577" i="39" a="1"/>
  <c r="K1577" i="39" s="1"/>
  <c r="M1577" i="39" s="1"/>
  <c r="P1577" i="39" s="1"/>
  <c r="I1578" i="39" a="1"/>
  <c r="K1578" i="39" s="1"/>
  <c r="M1578" i="39" s="1"/>
  <c r="P1578" i="39" s="1"/>
  <c r="I1579" i="39" a="1"/>
  <c r="K1579" i="39" s="1"/>
  <c r="M1579" i="39" s="1"/>
  <c r="P1579" i="39" s="1"/>
  <c r="I1580" i="39" a="1"/>
  <c r="K1580" i="39" s="1"/>
  <c r="M1580" i="39" s="1"/>
  <c r="P1580" i="39" s="1"/>
  <c r="I1581" i="39" a="1"/>
  <c r="K1581" i="39" s="1"/>
  <c r="I1582" i="39" a="1"/>
  <c r="K1582" i="39" s="1"/>
  <c r="N1582" i="39" s="1"/>
  <c r="I1583" i="39" a="1"/>
  <c r="K1583" i="39" s="1"/>
  <c r="I1584" i="39" a="1"/>
  <c r="K1584" i="39" s="1"/>
  <c r="I1585" i="39" a="1"/>
  <c r="K1585" i="39" s="1"/>
  <c r="M1585" i="39" s="1"/>
  <c r="P1585" i="39" s="1"/>
  <c r="I1392" i="39" a="1"/>
  <c r="K1392" i="39" s="1"/>
  <c r="M1392" i="39" s="1"/>
  <c r="P1392" i="39" s="1"/>
  <c r="G1392" i="39"/>
  <c r="G1393" i="39"/>
  <c r="G1394" i="39"/>
  <c r="G1395" i="39"/>
  <c r="G1396" i="39"/>
  <c r="G1397" i="39"/>
  <c r="G1398" i="39"/>
  <c r="G1399" i="39"/>
  <c r="G1400" i="39"/>
  <c r="G1401" i="39"/>
  <c r="G1402" i="39"/>
  <c r="G1403" i="39"/>
  <c r="G1404" i="39"/>
  <c r="G1405" i="39"/>
  <c r="G1406" i="39"/>
  <c r="G1407" i="39"/>
  <c r="G1408" i="39"/>
  <c r="G1409" i="39"/>
  <c r="G1410" i="39"/>
  <c r="G1411" i="39"/>
  <c r="G1412" i="39"/>
  <c r="G1413" i="39"/>
  <c r="G1414" i="39"/>
  <c r="G1415" i="39"/>
  <c r="G1416" i="39"/>
  <c r="G1417" i="39"/>
  <c r="G1418" i="39"/>
  <c r="G1419" i="39"/>
  <c r="G1420" i="39"/>
  <c r="G1421" i="39"/>
  <c r="G1422" i="39"/>
  <c r="G1423" i="39"/>
  <c r="G1424" i="39"/>
  <c r="G1425" i="39"/>
  <c r="G1426" i="39"/>
  <c r="G1427" i="39"/>
  <c r="G1428" i="39"/>
  <c r="G1429" i="39"/>
  <c r="G1430" i="39"/>
  <c r="G1431" i="39"/>
  <c r="G1432" i="39"/>
  <c r="G1433" i="39"/>
  <c r="G1434" i="39"/>
  <c r="G1435" i="39"/>
  <c r="G1436" i="39"/>
  <c r="G1437" i="39"/>
  <c r="G1438" i="39"/>
  <c r="G1439" i="39"/>
  <c r="G1440" i="39"/>
  <c r="G1441" i="39"/>
  <c r="G1442" i="39"/>
  <c r="G1443" i="39"/>
  <c r="G1444" i="39"/>
  <c r="G1445" i="39"/>
  <c r="G1446" i="39"/>
  <c r="G1447" i="39"/>
  <c r="G1448" i="39"/>
  <c r="G1449" i="39"/>
  <c r="G1450" i="39"/>
  <c r="G1451" i="39"/>
  <c r="G1452" i="39"/>
  <c r="G1453" i="39"/>
  <c r="G1454" i="39"/>
  <c r="G1455" i="39"/>
  <c r="G1456" i="39"/>
  <c r="G1457" i="39"/>
  <c r="G1458" i="39"/>
  <c r="G1459" i="39"/>
  <c r="G1460" i="39"/>
  <c r="G1461" i="39"/>
  <c r="G1462" i="39"/>
  <c r="G1463" i="39"/>
  <c r="G1464" i="39"/>
  <c r="G1465" i="39"/>
  <c r="G1466" i="39"/>
  <c r="G1467" i="39"/>
  <c r="G1468" i="39"/>
  <c r="G1469" i="39"/>
  <c r="G1470" i="39"/>
  <c r="G1471" i="39"/>
  <c r="G1472" i="39"/>
  <c r="G1473" i="39"/>
  <c r="G1474" i="39"/>
  <c r="G1475" i="39"/>
  <c r="G1476" i="39"/>
  <c r="G1477" i="39"/>
  <c r="G1478" i="39"/>
  <c r="G1479" i="39"/>
  <c r="G1480" i="39"/>
  <c r="G1481" i="39"/>
  <c r="G1482" i="39"/>
  <c r="G1483" i="39"/>
  <c r="G1484" i="39"/>
  <c r="G1485" i="39"/>
  <c r="G1486" i="39"/>
  <c r="G1487" i="39"/>
  <c r="G1488" i="39"/>
  <c r="G1489" i="39"/>
  <c r="G1490" i="39"/>
  <c r="G1491" i="39"/>
  <c r="G1492" i="39"/>
  <c r="G1493" i="39"/>
  <c r="G1494" i="39"/>
  <c r="G1495" i="39"/>
  <c r="G1496" i="39"/>
  <c r="G1497" i="39"/>
  <c r="G1498" i="39"/>
  <c r="G1499" i="39"/>
  <c r="G1500" i="39"/>
  <c r="G1501" i="39"/>
  <c r="G1502" i="39"/>
  <c r="G1503" i="39"/>
  <c r="G1504" i="39"/>
  <c r="G1505" i="39"/>
  <c r="G1506" i="39"/>
  <c r="G1507" i="39"/>
  <c r="G1508" i="39"/>
  <c r="G1509" i="39"/>
  <c r="G1510" i="39"/>
  <c r="G1511" i="39"/>
  <c r="G1512" i="39"/>
  <c r="G1513" i="39"/>
  <c r="G1514" i="39"/>
  <c r="G1515" i="39"/>
  <c r="G1516" i="39"/>
  <c r="G1517" i="39"/>
  <c r="G1518" i="39"/>
  <c r="G1519" i="39"/>
  <c r="G1520" i="39"/>
  <c r="G1521" i="39"/>
  <c r="G1522" i="39"/>
  <c r="G1523" i="39"/>
  <c r="G1524" i="39"/>
  <c r="G1525" i="39"/>
  <c r="G1526" i="39"/>
  <c r="G1527" i="39"/>
  <c r="G1528" i="39"/>
  <c r="G1529" i="39"/>
  <c r="G1530" i="39"/>
  <c r="G1531" i="39"/>
  <c r="G1532" i="39"/>
  <c r="G1533" i="39"/>
  <c r="G1534" i="39"/>
  <c r="G1535" i="39"/>
  <c r="G1536" i="39"/>
  <c r="G1537" i="39"/>
  <c r="G1538" i="39"/>
  <c r="G1539" i="39"/>
  <c r="G1540" i="39"/>
  <c r="G1541" i="39"/>
  <c r="G1542" i="39"/>
  <c r="G1543" i="39"/>
  <c r="G1544" i="39"/>
  <c r="G1545" i="39"/>
  <c r="G1546" i="39"/>
  <c r="G1547" i="39"/>
  <c r="G1548" i="39"/>
  <c r="G1549" i="39"/>
  <c r="G1550" i="39"/>
  <c r="G1551" i="39"/>
  <c r="G1552" i="39"/>
  <c r="G1553" i="39"/>
  <c r="G1554" i="39"/>
  <c r="G1555" i="39"/>
  <c r="G1556" i="39"/>
  <c r="G1557" i="39"/>
  <c r="G1558" i="39"/>
  <c r="G1559" i="39"/>
  <c r="G1560" i="39"/>
  <c r="G1561" i="39"/>
  <c r="G1562" i="39"/>
  <c r="G1563" i="39"/>
  <c r="G1564" i="39"/>
  <c r="G1565" i="39"/>
  <c r="G1566" i="39"/>
  <c r="G1567" i="39"/>
  <c r="G1568" i="39"/>
  <c r="G1569" i="39"/>
  <c r="G1570" i="39"/>
  <c r="G1571" i="39"/>
  <c r="G1572" i="39"/>
  <c r="G1573" i="39"/>
  <c r="G1574" i="39"/>
  <c r="G1575" i="39"/>
  <c r="G1576" i="39"/>
  <c r="G1577" i="39"/>
  <c r="G1578" i="39"/>
  <c r="G1579" i="39"/>
  <c r="G1580" i="39"/>
  <c r="G1581" i="39"/>
  <c r="G1582" i="39"/>
  <c r="G1583" i="39"/>
  <c r="G1584" i="39"/>
  <c r="G1585" i="39"/>
  <c r="G1391" i="39"/>
  <c r="G1360" i="39"/>
  <c r="G1361" i="39"/>
  <c r="G1362" i="39"/>
  <c r="G1363" i="39"/>
  <c r="G1364" i="39"/>
  <c r="G1365" i="39"/>
  <c r="G1366" i="39"/>
  <c r="G1367" i="39"/>
  <c r="G1368" i="39"/>
  <c r="G1369" i="39"/>
  <c r="G1370" i="39"/>
  <c r="G1371" i="39"/>
  <c r="G1372" i="39"/>
  <c r="G1373" i="39"/>
  <c r="G1374" i="39"/>
  <c r="G1375" i="39"/>
  <c r="G1376" i="39"/>
  <c r="G1377" i="39"/>
  <c r="G1378" i="39"/>
  <c r="G1379" i="39"/>
  <c r="G1380" i="39"/>
  <c r="G1381" i="39"/>
  <c r="G1382" i="39"/>
  <c r="G1383" i="39"/>
  <c r="G1384" i="39"/>
  <c r="G1385" i="39"/>
  <c r="G1386" i="39"/>
  <c r="G1387" i="39"/>
  <c r="G1388" i="39"/>
  <c r="G1389" i="39"/>
  <c r="G1359" i="39"/>
  <c r="H1361" i="39"/>
  <c r="H1362" i="39"/>
  <c r="H1363" i="39"/>
  <c r="H1364" i="39"/>
  <c r="H1365" i="39"/>
  <c r="H1366" i="39"/>
  <c r="H1367" i="39"/>
  <c r="H1368" i="39"/>
  <c r="H1369" i="39"/>
  <c r="H1370" i="39"/>
  <c r="H1371" i="39"/>
  <c r="H1372" i="39"/>
  <c r="H1373" i="39"/>
  <c r="H1374" i="39"/>
  <c r="H1375" i="39"/>
  <c r="H1376" i="39"/>
  <c r="H1377" i="39"/>
  <c r="H1378" i="39"/>
  <c r="H1379" i="39"/>
  <c r="H1380" i="39"/>
  <c r="H1381" i="39"/>
  <c r="H1382" i="39"/>
  <c r="H1383" i="39"/>
  <c r="H1384" i="39"/>
  <c r="H1385" i="39"/>
  <c r="H1386" i="39"/>
  <c r="H1387" i="39"/>
  <c r="H1388" i="39"/>
  <c r="H1389" i="39"/>
  <c r="H1360" i="39"/>
  <c r="H1359" i="39"/>
  <c r="P1503" i="39" l="1"/>
  <c r="P1498" i="39"/>
  <c r="P1492" i="39"/>
  <c r="P1440" i="39"/>
  <c r="P1455" i="39"/>
  <c r="P1428" i="39"/>
  <c r="P1562" i="39"/>
  <c r="P1538" i="39"/>
  <c r="P1515" i="39"/>
  <c r="P1493" i="39"/>
  <c r="P1525" i="39"/>
  <c r="P1526" i="39"/>
  <c r="P1546" i="39"/>
  <c r="P1433" i="39"/>
  <c r="P1551" i="39"/>
  <c r="P1472" i="39"/>
  <c r="P1448" i="39"/>
  <c r="P1549" i="39"/>
  <c r="P1400" i="39"/>
  <c r="P1424" i="39"/>
  <c r="P1470" i="39"/>
  <c r="P1464" i="39"/>
  <c r="P1502" i="39"/>
  <c r="P1422" i="39"/>
  <c r="P1483" i="39"/>
  <c r="P1542" i="39"/>
  <c r="P1482" i="39"/>
  <c r="P1541" i="39"/>
  <c r="P1438" i="39"/>
  <c r="P1418" i="39"/>
  <c r="P1463" i="39"/>
  <c r="P1519" i="39"/>
  <c r="P1496" i="39"/>
  <c r="P1462" i="39"/>
  <c r="P1425" i="39"/>
  <c r="P1416" i="39"/>
  <c r="P1567" i="39"/>
  <c r="P1460" i="39"/>
  <c r="P1516" i="39"/>
  <c r="P1403" i="39"/>
  <c r="P1560" i="39"/>
  <c r="P1427" i="39"/>
  <c r="P1456" i="39"/>
  <c r="P1495" i="39"/>
  <c r="P1399" i="39"/>
  <c r="P1571" i="39"/>
  <c r="P1487" i="39"/>
  <c r="P1397" i="39"/>
  <c r="P1435" i="39"/>
  <c r="P1557" i="39"/>
  <c r="P1444" i="39"/>
  <c r="P1555" i="39"/>
  <c r="P1553" i="39"/>
  <c r="P1451" i="39"/>
  <c r="P1484" i="39"/>
  <c r="P1475" i="39"/>
  <c r="P1581" i="39"/>
  <c r="P1545" i="39"/>
  <c r="P1412" i="39"/>
  <c r="P1544" i="39"/>
  <c r="P1481" i="39"/>
  <c r="P1490" i="39"/>
  <c r="P1556" i="39"/>
  <c r="P1417" i="39"/>
  <c r="P1415" i="39"/>
  <c r="P1530" i="39"/>
  <c r="P1511" i="39"/>
  <c r="P1550" i="39"/>
  <c r="P1450" i="39"/>
  <c r="P1543" i="39"/>
  <c r="P1509" i="39"/>
  <c r="P1405" i="39"/>
  <c r="P1570" i="39"/>
  <c r="P1506" i="39"/>
  <c r="P1523" i="39"/>
  <c r="P1452" i="39"/>
  <c r="P1583" i="39"/>
  <c r="P1573" i="39"/>
  <c r="P1505" i="39"/>
  <c r="P1566" i="39"/>
  <c r="P1398" i="39"/>
  <c r="P1535" i="39"/>
  <c r="P1494" i="39"/>
  <c r="P1476" i="39"/>
  <c r="P1449" i="39"/>
  <c r="P1404" i="39"/>
  <c r="P1486" i="39"/>
  <c r="P1569" i="39"/>
  <c r="P1434" i="39"/>
  <c r="P1558" i="39"/>
  <c r="P1478" i="39"/>
  <c r="P1508" i="39"/>
  <c r="P1426" i="39"/>
  <c r="P1423" i="39"/>
  <c r="P1568" i="39"/>
  <c r="P1469" i="39"/>
  <c r="P1396" i="39"/>
  <c r="P1564" i="39"/>
  <c r="P1533" i="39"/>
  <c r="P1488" i="39"/>
  <c r="P1491" i="39"/>
  <c r="P1432" i="39"/>
  <c r="P1421" i="39"/>
  <c r="P1527" i="39"/>
  <c r="P1561" i="39"/>
  <c r="P1391" i="39"/>
  <c r="P1489" i="39"/>
  <c r="P1584" i="39"/>
  <c r="P1522" i="39"/>
  <c r="P1443" i="39"/>
  <c r="P1395" i="39"/>
  <c r="P1521" i="39"/>
  <c r="P1442" i="39"/>
  <c r="P1563" i="39"/>
  <c r="P1529" i="39"/>
  <c r="P1465" i="39"/>
  <c r="P1393" i="39"/>
  <c r="P1513" i="39"/>
  <c r="P1414" i="39"/>
  <c r="P1520" i="39"/>
  <c r="P1420" i="39"/>
  <c r="P1512" i="39"/>
  <c r="P1510" i="39"/>
  <c r="P1540" i="39"/>
  <c r="P1477" i="39"/>
  <c r="P1402" i="39"/>
  <c r="P1480" i="39"/>
  <c r="P1572" i="39"/>
  <c r="P1441" i="39"/>
  <c r="P1537" i="39"/>
  <c r="P1507" i="39"/>
  <c r="P1504" i="39"/>
  <c r="P1479" i="39"/>
  <c r="P1437" i="39"/>
  <c r="P1536" i="39"/>
  <c r="P1532" i="39"/>
  <c r="P1517" i="39"/>
  <c r="P1534" i="39"/>
  <c r="P1518" i="39"/>
  <c r="P1582" i="39"/>
  <c r="P1500" i="39"/>
  <c r="P1468" i="39"/>
  <c r="P1531" i="39"/>
  <c r="P1499" i="39"/>
  <c r="P1466" i="39"/>
  <c r="P1429" i="39"/>
  <c r="P1459" i="39"/>
  <c r="P1457" i="39"/>
  <c r="D186" i="31"/>
  <c r="P174" i="31"/>
  <c r="P175" i="31"/>
  <c r="P173" i="31"/>
  <c r="P169" i="31"/>
  <c r="P170" i="31"/>
  <c r="P168" i="31"/>
  <c r="P164" i="31"/>
  <c r="P165" i="31"/>
  <c r="P163" i="31"/>
  <c r="P159" i="31"/>
  <c r="P160" i="31"/>
  <c r="P158" i="31"/>
  <c r="P154" i="31"/>
  <c r="P155" i="31" s="1"/>
  <c r="P153" i="31"/>
  <c r="P149" i="31"/>
  <c r="P150" i="31"/>
  <c r="P148" i="31"/>
  <c r="P144" i="31"/>
  <c r="P145" i="31"/>
  <c r="P143" i="31"/>
  <c r="P139" i="31"/>
  <c r="P140" i="31"/>
  <c r="P138" i="31"/>
  <c r="P134" i="31" l="1"/>
  <c r="P135" i="31"/>
  <c r="P133" i="31"/>
  <c r="P128" i="31"/>
  <c r="P129" i="31"/>
  <c r="P127" i="31"/>
  <c r="P117" i="31"/>
  <c r="P118" i="31" s="1"/>
  <c r="P116" i="31"/>
  <c r="P122" i="31"/>
  <c r="P123" i="31"/>
  <c r="P121" i="31"/>
  <c r="W65" i="33" l="1"/>
  <c r="W64" i="33"/>
  <c r="W63" i="33"/>
  <c r="W62" i="33"/>
  <c r="W61" i="33"/>
  <c r="W60" i="33"/>
  <c r="W59" i="33"/>
  <c r="W58" i="33"/>
  <c r="W57" i="33"/>
  <c r="W56" i="33"/>
  <c r="W55" i="33"/>
  <c r="W54" i="33"/>
  <c r="Z51" i="33" a="1"/>
  <c r="AA53" i="33" l="1"/>
  <c r="AA57" i="33"/>
  <c r="AA60" i="33"/>
  <c r="AA62" i="33"/>
  <c r="AA64" i="33"/>
  <c r="AA54" i="33"/>
  <c r="AA66" i="33"/>
  <c r="AA67" i="33"/>
  <c r="AA68" i="33"/>
  <c r="AA55" i="33"/>
  <c r="AA69" i="33"/>
  <c r="AA70" i="33"/>
  <c r="AA71" i="33"/>
  <c r="AA56" i="33"/>
  <c r="AA65" i="33"/>
  <c r="AA58" i="33"/>
  <c r="AA61" i="33"/>
  <c r="AA52" i="33"/>
  <c r="AA59" i="33"/>
  <c r="AA63" i="33"/>
  <c r="AA51" i="33"/>
  <c r="K3" i="35" l="1"/>
  <c r="D861" i="39"/>
  <c r="D859" i="39"/>
  <c r="D864" i="39"/>
  <c r="D869" i="39"/>
  <c r="D873" i="39"/>
  <c r="D876" i="39"/>
  <c r="D879" i="39"/>
  <c r="D883" i="39"/>
  <c r="D885" i="39"/>
  <c r="E94" i="20" l="1"/>
  <c r="Q94" i="20" l="1"/>
  <c r="N94" i="20"/>
  <c r="R94" i="20" l="1"/>
  <c r="I97" i="20"/>
  <c r="H87" i="20"/>
  <c r="H88" i="20"/>
  <c r="H86" i="20"/>
  <c r="G89" i="20"/>
  <c r="F89" i="20"/>
  <c r="H89" i="20" s="1"/>
  <c r="R83" i="20"/>
  <c r="R84" i="20"/>
  <c r="R85" i="20"/>
  <c r="R86" i="20"/>
  <c r="R87" i="20"/>
  <c r="R88" i="20"/>
  <c r="R89" i="20"/>
  <c r="R90" i="20"/>
  <c r="R91" i="20"/>
  <c r="R92" i="20"/>
  <c r="R93" i="20"/>
  <c r="R82" i="20"/>
  <c r="R97" i="20" l="1"/>
  <c r="N112" i="31" l="1"/>
  <c r="N113" i="31"/>
  <c r="N111" i="31"/>
  <c r="N107" i="31"/>
  <c r="N108" i="31"/>
  <c r="N106" i="31"/>
  <c r="O105" i="31"/>
  <c r="N102" i="31"/>
  <c r="N103" i="31"/>
  <c r="N101" i="31"/>
  <c r="N96" i="31"/>
  <c r="N97" i="31"/>
  <c r="N95" i="31"/>
  <c r="N91" i="31"/>
  <c r="N92" i="31"/>
  <c r="N90" i="31"/>
  <c r="N85" i="31"/>
  <c r="N86" i="31"/>
  <c r="N84" i="31"/>
  <c r="N78" i="31"/>
  <c r="N79" i="31"/>
  <c r="N77" i="31"/>
  <c r="AA70" i="32"/>
  <c r="AA71" i="32" s="1"/>
  <c r="AA72" i="32" s="1"/>
  <c r="AA65" i="32"/>
  <c r="AA66" i="32" s="1"/>
  <c r="AA67" i="32" s="1"/>
  <c r="AA60" i="32"/>
  <c r="AA61" i="32" s="1"/>
  <c r="AA62" i="32" s="1"/>
  <c r="AA54" i="32"/>
  <c r="AA55" i="32" s="1"/>
  <c r="AA56" i="32" s="1"/>
  <c r="AA48" i="32"/>
  <c r="AA49" i="32" s="1"/>
  <c r="AA50" i="32" s="1"/>
  <c r="AA42" i="32"/>
  <c r="AA43" i="32" s="1"/>
  <c r="AA44" i="32" s="1"/>
  <c r="T42" i="32"/>
  <c r="T43" i="32" s="1"/>
  <c r="T44" i="32" s="1"/>
  <c r="T45" i="32" s="1"/>
  <c r="T46" i="32" s="1"/>
  <c r="T47" i="32" s="1"/>
  <c r="T48" i="32" s="1"/>
  <c r="T49" i="32" s="1"/>
  <c r="T50" i="32" s="1"/>
  <c r="T51" i="32" s="1"/>
  <c r="T52" i="32" s="1"/>
  <c r="T53" i="32" s="1"/>
  <c r="Q42" i="32"/>
  <c r="Q43" i="32" s="1"/>
  <c r="Q44" i="32" s="1"/>
  <c r="Q45" i="32" s="1"/>
  <c r="Q46" i="32" s="1"/>
  <c r="Q47" i="32" s="1"/>
  <c r="Q48" i="32" s="1"/>
  <c r="Q49" i="32" s="1"/>
  <c r="Q50" i="32" s="1"/>
  <c r="Q51" i="32" s="1"/>
  <c r="Q52" i="32" s="1"/>
  <c r="Q53" i="32" s="1"/>
  <c r="S74" i="20" l="1"/>
  <c r="P78" i="20"/>
  <c r="Y47" i="26" l="1"/>
  <c r="S22" i="22" l="1"/>
  <c r="R32" i="22"/>
  <c r="T48" i="22"/>
  <c r="R30" i="22"/>
  <c r="L3" i="35"/>
  <c r="I11" i="15" l="1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10" i="15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11" i="13"/>
  <c r="K3" i="36" l="1"/>
  <c r="J3" i="35"/>
  <c r="P3" i="34"/>
  <c r="L3" i="33"/>
  <c r="Q3" i="32"/>
  <c r="P53" i="17" l="1"/>
  <c r="Q53" i="17"/>
  <c r="R53" i="17"/>
  <c r="P54" i="17"/>
  <c r="Q54" i="17"/>
  <c r="R54" i="17"/>
  <c r="P55" i="17"/>
  <c r="Q55" i="17"/>
  <c r="R55" i="17"/>
  <c r="P56" i="17"/>
  <c r="Q56" i="17"/>
  <c r="R56" i="17"/>
  <c r="P57" i="17"/>
  <c r="Q57" i="17"/>
  <c r="R57" i="17"/>
  <c r="P58" i="17"/>
  <c r="Q58" i="17"/>
  <c r="R58" i="17"/>
  <c r="P59" i="17"/>
  <c r="Q59" i="17"/>
  <c r="R59" i="17"/>
  <c r="R52" i="17"/>
  <c r="Q52" i="17"/>
  <c r="P52" i="17"/>
  <c r="N13" i="33" l="1" a="1"/>
  <c r="N14" i="33" a="1"/>
  <c r="N15" i="33" a="1"/>
  <c r="N16" i="33" a="1"/>
  <c r="N17" i="33" a="1"/>
  <c r="N18" i="33" a="1"/>
  <c r="N19" i="33" a="1"/>
  <c r="N20" i="33" a="1"/>
  <c r="N21" i="33" a="1"/>
  <c r="N12" i="33" a="1"/>
  <c r="M33" i="31"/>
  <c r="M34" i="31"/>
  <c r="M35" i="31"/>
  <c r="M36" i="31"/>
  <c r="M37" i="31"/>
  <c r="M38" i="31"/>
  <c r="M39" i="31"/>
  <c r="M32" i="31"/>
  <c r="N12" i="36"/>
  <c r="P12" i="36" s="1"/>
  <c r="N13" i="36"/>
  <c r="P13" i="36" s="1"/>
  <c r="N14" i="36"/>
  <c r="O14" i="36" s="1"/>
  <c r="R3" i="36" s="1"/>
  <c r="N15" i="36"/>
  <c r="P15" i="36" s="1"/>
  <c r="N16" i="36"/>
  <c r="Q16" i="36" s="1"/>
  <c r="M5" i="36" s="1"/>
  <c r="N17" i="36"/>
  <c r="Q17" i="36" s="1"/>
  <c r="N18" i="36"/>
  <c r="Q18" i="36" s="1"/>
  <c r="N19" i="36"/>
  <c r="O19" i="36" s="1"/>
  <c r="N20" i="36"/>
  <c r="O20" i="36" s="1"/>
  <c r="V12" i="36"/>
  <c r="X12" i="36" s="1"/>
  <c r="V13" i="36"/>
  <c r="W13" i="36" s="1"/>
  <c r="V14" i="36"/>
  <c r="W14" i="36" s="1"/>
  <c r="S3" i="36" s="1"/>
  <c r="V15" i="36"/>
  <c r="X15" i="36" s="1"/>
  <c r="V16" i="36"/>
  <c r="X16" i="36" s="1"/>
  <c r="V17" i="36"/>
  <c r="W17" i="36" s="1"/>
  <c r="V18" i="36"/>
  <c r="X18" i="36" s="1"/>
  <c r="V19" i="36"/>
  <c r="W19" i="36" s="1"/>
  <c r="V20" i="36"/>
  <c r="Y20" i="36" s="1"/>
  <c r="F13" i="36"/>
  <c r="G13" i="36" s="1"/>
  <c r="F14" i="36"/>
  <c r="G14" i="36" s="1"/>
  <c r="Q3" i="36" s="1"/>
  <c r="F15" i="36"/>
  <c r="G15" i="36" s="1"/>
  <c r="F16" i="36"/>
  <c r="I16" i="36" s="1"/>
  <c r="F17" i="36"/>
  <c r="G17" i="36" s="1"/>
  <c r="F18" i="36"/>
  <c r="H18" i="36" s="1"/>
  <c r="F19" i="36"/>
  <c r="H19" i="36" s="1"/>
  <c r="F20" i="36"/>
  <c r="G20" i="36" s="1"/>
  <c r="F12" i="36"/>
  <c r="I12" i="36" s="1"/>
  <c r="N12" i="35"/>
  <c r="O12" i="35" s="1"/>
  <c r="N13" i="35"/>
  <c r="O13" i="35" s="1"/>
  <c r="N14" i="35"/>
  <c r="O14" i="35" s="1"/>
  <c r="N15" i="35"/>
  <c r="O15" i="35" s="1"/>
  <c r="Q3" i="35" s="1"/>
  <c r="N16" i="35"/>
  <c r="O16" i="35" s="1"/>
  <c r="N17" i="35"/>
  <c r="Q17" i="35" s="1"/>
  <c r="N18" i="35"/>
  <c r="O18" i="35" s="1"/>
  <c r="N19" i="35"/>
  <c r="O19" i="35" s="1"/>
  <c r="N20" i="35"/>
  <c r="O20" i="35" s="1"/>
  <c r="N21" i="35"/>
  <c r="Q21" i="35" s="1"/>
  <c r="V12" i="35"/>
  <c r="W12" i="35" s="1"/>
  <c r="V13" i="35"/>
  <c r="W13" i="35" s="1"/>
  <c r="V14" i="35"/>
  <c r="X14" i="35" s="1"/>
  <c r="V15" i="35"/>
  <c r="X15" i="35" s="1"/>
  <c r="R4" i="35" s="1"/>
  <c r="V16" i="35"/>
  <c r="V17" i="35"/>
  <c r="X17" i="35" s="1"/>
  <c r="V18" i="35"/>
  <c r="W18" i="35" s="1"/>
  <c r="V19" i="35"/>
  <c r="W19" i="35" s="1"/>
  <c r="V20" i="35"/>
  <c r="W20" i="35" s="1"/>
  <c r="V21" i="35"/>
  <c r="W21" i="35" s="1"/>
  <c r="F13" i="35"/>
  <c r="H13" i="35" s="1"/>
  <c r="F14" i="35"/>
  <c r="H14" i="35" s="1"/>
  <c r="F15" i="35"/>
  <c r="G15" i="35" s="1"/>
  <c r="P3" i="35" s="1"/>
  <c r="F16" i="35"/>
  <c r="G16" i="35" s="1"/>
  <c r="F17" i="35"/>
  <c r="I17" i="35" s="1"/>
  <c r="F18" i="35"/>
  <c r="H18" i="35" s="1"/>
  <c r="F19" i="35"/>
  <c r="G19" i="35" s="1"/>
  <c r="F20" i="35"/>
  <c r="G20" i="35" s="1"/>
  <c r="F21" i="35"/>
  <c r="I21" i="35" s="1"/>
  <c r="F12" i="35"/>
  <c r="H12" i="35" s="1"/>
  <c r="H12" i="34"/>
  <c r="J12" i="34" s="1"/>
  <c r="H13" i="34"/>
  <c r="I13" i="34" s="1"/>
  <c r="V3" i="34" s="1"/>
  <c r="H14" i="34"/>
  <c r="J14" i="34" s="1"/>
  <c r="H15" i="34"/>
  <c r="I15" i="34" s="1"/>
  <c r="H16" i="34"/>
  <c r="J16" i="34" s="1"/>
  <c r="H17" i="34"/>
  <c r="I17" i="34" s="1"/>
  <c r="H18" i="34"/>
  <c r="I18" i="34" s="1"/>
  <c r="H19" i="34"/>
  <c r="I19" i="34" s="1"/>
  <c r="H20" i="34"/>
  <c r="J20" i="34" s="1"/>
  <c r="P11" i="34"/>
  <c r="Q11" i="34" s="1"/>
  <c r="P12" i="34"/>
  <c r="R12" i="34" s="1"/>
  <c r="P13" i="34"/>
  <c r="Q13" i="34" s="1"/>
  <c r="W3" i="34" s="1" a="1"/>
  <c r="P14" i="34"/>
  <c r="Q14" i="34" s="1"/>
  <c r="P15" i="34"/>
  <c r="Q15" i="34" s="1"/>
  <c r="R3" i="34" s="1"/>
  <c r="P16" i="34"/>
  <c r="Q16" i="34" s="1"/>
  <c r="P17" i="34"/>
  <c r="Q17" i="34" s="1"/>
  <c r="P18" i="34"/>
  <c r="Q18" i="34" s="1"/>
  <c r="P19" i="34"/>
  <c r="Q19" i="34" s="1"/>
  <c r="P20" i="34"/>
  <c r="Q20" i="34" s="1"/>
  <c r="X11" i="34"/>
  <c r="Y11" i="34" s="1"/>
  <c r="X12" i="34"/>
  <c r="AA12" i="34" s="1"/>
  <c r="X13" i="34"/>
  <c r="Y13" i="34" s="1"/>
  <c r="X3" i="34" s="1"/>
  <c r="X14" i="34"/>
  <c r="Y14" i="34" s="1"/>
  <c r="X15" i="34"/>
  <c r="Y15" i="34" s="1"/>
  <c r="X16" i="34"/>
  <c r="Z16" i="34" s="1"/>
  <c r="X17" i="34"/>
  <c r="Y17" i="34" s="1"/>
  <c r="X18" i="34"/>
  <c r="Y18" i="34" s="1"/>
  <c r="X19" i="34"/>
  <c r="Y19" i="34" s="1"/>
  <c r="X20" i="34"/>
  <c r="Z20" i="34" s="1"/>
  <c r="H11" i="34"/>
  <c r="K11" i="34" s="1"/>
  <c r="G12" i="33"/>
  <c r="G13" i="33"/>
  <c r="G14" i="33"/>
  <c r="G15" i="33"/>
  <c r="G16" i="33"/>
  <c r="G17" i="33"/>
  <c r="G18" i="33"/>
  <c r="G19" i="33"/>
  <c r="G20" i="33"/>
  <c r="G21" i="33"/>
  <c r="R11" i="33"/>
  <c r="R12" i="33"/>
  <c r="R13" i="33"/>
  <c r="R14" i="33"/>
  <c r="R15" i="33"/>
  <c r="R16" i="33"/>
  <c r="R17" i="33"/>
  <c r="R18" i="33"/>
  <c r="R19" i="33"/>
  <c r="R20" i="33"/>
  <c r="R21" i="33"/>
  <c r="G24" i="33"/>
  <c r="G25" i="33"/>
  <c r="G26" i="33"/>
  <c r="G27" i="33"/>
  <c r="G28" i="33"/>
  <c r="G29" i="33"/>
  <c r="G30" i="33"/>
  <c r="G31" i="33"/>
  <c r="G32" i="33"/>
  <c r="G33" i="33"/>
  <c r="G34" i="33"/>
  <c r="G11" i="33"/>
  <c r="AA11" i="32"/>
  <c r="AB11" i="32" s="1"/>
  <c r="AA12" i="32"/>
  <c r="AB12" i="32" s="1"/>
  <c r="AA13" i="32"/>
  <c r="AD13" i="32" s="1"/>
  <c r="AA5" i="32" s="1"/>
  <c r="AA14" i="32"/>
  <c r="AB14" i="32" s="1"/>
  <c r="AA15" i="32"/>
  <c r="AB15" i="32" s="1"/>
  <c r="AA16" i="32"/>
  <c r="AB16" i="32" s="1"/>
  <c r="AA17" i="32"/>
  <c r="AB17" i="32" s="1"/>
  <c r="AA18" i="32"/>
  <c r="AB18" i="32" s="1"/>
  <c r="AA19" i="32"/>
  <c r="AB19" i="32" s="1"/>
  <c r="AA20" i="32"/>
  <c r="AD20" i="32" s="1"/>
  <c r="AA10" i="32"/>
  <c r="R11" i="32"/>
  <c r="T11" i="32" s="1"/>
  <c r="R12" i="32"/>
  <c r="S12" i="32" s="1"/>
  <c r="R13" i="32"/>
  <c r="S13" i="32" s="1"/>
  <c r="Z3" i="32" s="1"/>
  <c r="R14" i="32"/>
  <c r="S14" i="32" s="1"/>
  <c r="R15" i="32"/>
  <c r="S15" i="32" s="1"/>
  <c r="R16" i="32"/>
  <c r="S16" i="32" s="1"/>
  <c r="R17" i="32"/>
  <c r="S17" i="32" s="1"/>
  <c r="R18" i="32"/>
  <c r="S18" i="32" s="1"/>
  <c r="R19" i="32"/>
  <c r="S19" i="32" s="1"/>
  <c r="R20" i="32"/>
  <c r="T20" i="32" s="1"/>
  <c r="R10" i="32"/>
  <c r="S10" i="32" s="1"/>
  <c r="H11" i="32"/>
  <c r="H12" i="32"/>
  <c r="H13" i="32"/>
  <c r="H14" i="32"/>
  <c r="H15" i="32"/>
  <c r="H16" i="32"/>
  <c r="H17" i="32"/>
  <c r="H18" i="32"/>
  <c r="H19" i="32"/>
  <c r="H20" i="32"/>
  <c r="H10" i="32"/>
  <c r="K10" i="32" l="1"/>
  <c r="L10" i="32"/>
  <c r="I16" i="32"/>
  <c r="L16" i="32"/>
  <c r="I15" i="32"/>
  <c r="L15" i="32"/>
  <c r="I14" i="32"/>
  <c r="L14" i="32"/>
  <c r="I13" i="32"/>
  <c r="L13" i="32"/>
  <c r="I12" i="32"/>
  <c r="L12" i="32"/>
  <c r="I11" i="32"/>
  <c r="L11" i="32"/>
  <c r="I19" i="32"/>
  <c r="L19" i="32"/>
  <c r="I18" i="32"/>
  <c r="L18" i="32"/>
  <c r="K20" i="32"/>
  <c r="L20" i="32"/>
  <c r="J17" i="32"/>
  <c r="L17" i="32"/>
  <c r="H31" i="33"/>
  <c r="K31" i="33"/>
  <c r="I15" i="33"/>
  <c r="K15" i="33"/>
  <c r="H29" i="33"/>
  <c r="O3" i="33" s="1"/>
  <c r="K29" i="33"/>
  <c r="I28" i="33"/>
  <c r="K28" i="33"/>
  <c r="H12" i="33"/>
  <c r="K12" i="33"/>
  <c r="T18" i="33"/>
  <c r="V18" i="33"/>
  <c r="S15" i="33"/>
  <c r="V15" i="33"/>
  <c r="S14" i="33"/>
  <c r="V14" i="33"/>
  <c r="I16" i="33"/>
  <c r="K16" i="33"/>
  <c r="H30" i="33"/>
  <c r="K30" i="33"/>
  <c r="I14" i="33"/>
  <c r="K14" i="33"/>
  <c r="H13" i="33"/>
  <c r="R3" i="33" s="1"/>
  <c r="K13" i="33"/>
  <c r="H27" i="33"/>
  <c r="K27" i="33"/>
  <c r="H26" i="33"/>
  <c r="T3" i="33" s="1"/>
  <c r="K26" i="33"/>
  <c r="J25" i="33"/>
  <c r="K25" i="33"/>
  <c r="H24" i="33"/>
  <c r="K24" i="33"/>
  <c r="S21" i="33"/>
  <c r="V21" i="33"/>
  <c r="T20" i="33"/>
  <c r="V20" i="33"/>
  <c r="S19" i="33"/>
  <c r="V19" i="33"/>
  <c r="S17" i="33"/>
  <c r="V17" i="33"/>
  <c r="S13" i="33"/>
  <c r="S3" i="33" s="1"/>
  <c r="V13" i="33"/>
  <c r="J33" i="33"/>
  <c r="K33" i="33"/>
  <c r="H18" i="33"/>
  <c r="K18" i="33"/>
  <c r="S16" i="33"/>
  <c r="V16" i="33"/>
  <c r="T12" i="33"/>
  <c r="V12" i="33"/>
  <c r="U11" i="33"/>
  <c r="V11" i="33"/>
  <c r="H21" i="33"/>
  <c r="K21" i="33"/>
  <c r="J11" i="33"/>
  <c r="K11" i="33"/>
  <c r="J20" i="33"/>
  <c r="K20" i="33"/>
  <c r="H34" i="33"/>
  <c r="K34" i="33"/>
  <c r="H19" i="33"/>
  <c r="K19" i="33"/>
  <c r="H32" i="33"/>
  <c r="K32" i="33"/>
  <c r="I17" i="33"/>
  <c r="K17" i="33"/>
  <c r="AD10" i="32"/>
  <c r="AE10" i="32"/>
  <c r="S3" i="32"/>
  <c r="T3" i="32"/>
  <c r="T15" i="32"/>
  <c r="P18" i="36"/>
  <c r="P19" i="36"/>
  <c r="Y15" i="36"/>
  <c r="W15" i="36"/>
  <c r="Y14" i="36"/>
  <c r="S5" i="36" s="1"/>
  <c r="X14" i="36"/>
  <c r="S4" i="36" s="1"/>
  <c r="Y13" i="36"/>
  <c r="X13" i="36"/>
  <c r="O18" i="36"/>
  <c r="G12" i="36"/>
  <c r="O16" i="36"/>
  <c r="Q15" i="36"/>
  <c r="O15" i="36"/>
  <c r="I20" i="36"/>
  <c r="P20" i="36"/>
  <c r="P17" i="36"/>
  <c r="O17" i="36"/>
  <c r="P16" i="36"/>
  <c r="M4" i="36" s="1"/>
  <c r="O13" i="36"/>
  <c r="Q12" i="36"/>
  <c r="Q20" i="36"/>
  <c r="Q19" i="36"/>
  <c r="H12" i="36"/>
  <c r="Y12" i="36"/>
  <c r="H20" i="36"/>
  <c r="W12" i="36"/>
  <c r="I18" i="36"/>
  <c r="W16" i="36"/>
  <c r="N3" i="36" s="1"/>
  <c r="I19" i="36"/>
  <c r="G19" i="36"/>
  <c r="G18" i="36"/>
  <c r="O12" i="36"/>
  <c r="H16" i="36"/>
  <c r="I15" i="36"/>
  <c r="H15" i="36"/>
  <c r="I14" i="36"/>
  <c r="Q5" i="36" s="1"/>
  <c r="W18" i="36"/>
  <c r="Y17" i="36"/>
  <c r="Q14" i="36"/>
  <c r="R5" i="36" s="1"/>
  <c r="X17" i="36"/>
  <c r="N4" i="36" s="1"/>
  <c r="P14" i="36"/>
  <c r="R4" i="36" s="1"/>
  <c r="I17" i="36"/>
  <c r="L5" i="36" s="1"/>
  <c r="H17" i="36"/>
  <c r="G16" i="36"/>
  <c r="L3" i="36" s="1"/>
  <c r="X20" i="36"/>
  <c r="H14" i="36"/>
  <c r="Q4" i="36" s="1"/>
  <c r="W20" i="36"/>
  <c r="Y19" i="36"/>
  <c r="I13" i="36"/>
  <c r="X19" i="36"/>
  <c r="H13" i="36"/>
  <c r="Y18" i="36"/>
  <c r="Y16" i="36"/>
  <c r="Q13" i="36"/>
  <c r="Y16" i="35"/>
  <c r="W15" i="35"/>
  <c r="R3" i="35" s="1"/>
  <c r="Y14" i="35"/>
  <c r="Y21" i="35"/>
  <c r="W17" i="35"/>
  <c r="X16" i="35"/>
  <c r="M4" i="35" s="1"/>
  <c r="W16" i="35"/>
  <c r="M3" i="35" s="1"/>
  <c r="Y15" i="35"/>
  <c r="R5" i="35" s="1"/>
  <c r="W14" i="35"/>
  <c r="Q20" i="35"/>
  <c r="P20" i="35"/>
  <c r="O17" i="35"/>
  <c r="P17" i="35"/>
  <c r="P13" i="35"/>
  <c r="Q12" i="35"/>
  <c r="P12" i="35"/>
  <c r="Y12" i="35"/>
  <c r="X12" i="35"/>
  <c r="P21" i="35"/>
  <c r="O21" i="35"/>
  <c r="G12" i="35"/>
  <c r="Q19" i="35"/>
  <c r="I18" i="35"/>
  <c r="P19" i="35"/>
  <c r="I12" i="35"/>
  <c r="Q18" i="35"/>
  <c r="Y13" i="35"/>
  <c r="P18" i="35"/>
  <c r="X13" i="35"/>
  <c r="G18" i="35"/>
  <c r="H17" i="35"/>
  <c r="G17" i="35"/>
  <c r="X20" i="35"/>
  <c r="H15" i="35"/>
  <c r="P4" i="35" s="1"/>
  <c r="Y19" i="35"/>
  <c r="Q16" i="35"/>
  <c r="L5" i="35" s="1"/>
  <c r="I14" i="35"/>
  <c r="G14" i="35"/>
  <c r="Y18" i="35"/>
  <c r="Q15" i="35"/>
  <c r="Q5" i="35" s="1"/>
  <c r="I13" i="35"/>
  <c r="X18" i="35"/>
  <c r="H21" i="35"/>
  <c r="G21" i="35"/>
  <c r="G13" i="35"/>
  <c r="Y17" i="35"/>
  <c r="Q14" i="35"/>
  <c r="I20" i="35"/>
  <c r="P14" i="35"/>
  <c r="H20" i="35"/>
  <c r="I16" i="35"/>
  <c r="K5" i="35" s="1"/>
  <c r="X21" i="35"/>
  <c r="H16" i="35"/>
  <c r="K4" i="35" s="1"/>
  <c r="Y20" i="35"/>
  <c r="I15" i="35"/>
  <c r="P5" i="35" s="1"/>
  <c r="X19" i="35"/>
  <c r="P16" i="35"/>
  <c r="L4" i="35" s="1"/>
  <c r="P15" i="35"/>
  <c r="Q4" i="35" s="1"/>
  <c r="Q13" i="35"/>
  <c r="I19" i="35"/>
  <c r="H19" i="35"/>
  <c r="I11" i="34"/>
  <c r="R18" i="34"/>
  <c r="Z18" i="34"/>
  <c r="J11" i="34"/>
  <c r="AA18" i="34"/>
  <c r="K18" i="34"/>
  <c r="S19" i="34"/>
  <c r="R19" i="34"/>
  <c r="S18" i="34"/>
  <c r="S17" i="34"/>
  <c r="S16" i="34"/>
  <c r="J18" i="34"/>
  <c r="Z17" i="34"/>
  <c r="J17" i="34"/>
  <c r="AA16" i="34"/>
  <c r="K16" i="34"/>
  <c r="Y16" i="34"/>
  <c r="S3" i="34" s="1"/>
  <c r="I16" i="34"/>
  <c r="Q3" i="34" s="1"/>
  <c r="Z15" i="34"/>
  <c r="S4" i="34" s="1"/>
  <c r="K15" i="34"/>
  <c r="Q5" i="34" s="1"/>
  <c r="J15" i="34"/>
  <c r="Q4" i="34" s="1"/>
  <c r="AA17" i="34"/>
  <c r="K17" i="34"/>
  <c r="AA15" i="34"/>
  <c r="S5" i="34" s="1"/>
  <c r="S20" i="34"/>
  <c r="R17" i="34"/>
  <c r="R16" i="34"/>
  <c r="R15" i="34"/>
  <c r="R4" i="34" s="1"/>
  <c r="S14" i="34"/>
  <c r="R20" i="34"/>
  <c r="I14" i="34"/>
  <c r="R14" i="34"/>
  <c r="R13" i="34"/>
  <c r="W4" i="34" s="1"/>
  <c r="Q12" i="34"/>
  <c r="S11" i="34"/>
  <c r="AA14" i="34"/>
  <c r="K14" i="34"/>
  <c r="Z14" i="34"/>
  <c r="J13" i="34"/>
  <c r="V4" i="34" s="1"/>
  <c r="K12" i="34"/>
  <c r="Z12" i="34"/>
  <c r="Y20" i="34"/>
  <c r="Y12" i="34"/>
  <c r="I20" i="34"/>
  <c r="I12" i="34"/>
  <c r="AA19" i="34"/>
  <c r="AA11" i="34"/>
  <c r="S15" i="34"/>
  <c r="R5" i="34" s="1"/>
  <c r="K19" i="34"/>
  <c r="S13" i="34"/>
  <c r="W5" i="34" s="1"/>
  <c r="S12" i="34"/>
  <c r="R11" i="34"/>
  <c r="AA13" i="34"/>
  <c r="X5" i="34" s="1"/>
  <c r="K13" i="34"/>
  <c r="V5" i="34" s="1"/>
  <c r="Z13" i="34"/>
  <c r="X4" i="34" s="1"/>
  <c r="AA20" i="34"/>
  <c r="K20" i="34"/>
  <c r="Z19" i="34"/>
  <c r="Z11" i="34"/>
  <c r="J19" i="34"/>
  <c r="H11" i="33"/>
  <c r="I11" i="33"/>
  <c r="S11" i="33"/>
  <c r="T11" i="33"/>
  <c r="I24" i="33"/>
  <c r="I25" i="33"/>
  <c r="H25" i="33"/>
  <c r="J24" i="33"/>
  <c r="H20" i="33"/>
  <c r="J19" i="33"/>
  <c r="H17" i="33"/>
  <c r="J13" i="33"/>
  <c r="R5" i="33" s="1"/>
  <c r="I13" i="33"/>
  <c r="R4" i="33" s="1"/>
  <c r="I31" i="33"/>
  <c r="I20" i="33"/>
  <c r="J16" i="33"/>
  <c r="H14" i="33"/>
  <c r="J31" i="33"/>
  <c r="J30" i="33"/>
  <c r="H28" i="33"/>
  <c r="J27" i="33"/>
  <c r="I27" i="33"/>
  <c r="H15" i="33"/>
  <c r="M3" i="33" s="1"/>
  <c r="J34" i="33"/>
  <c r="S20" i="33"/>
  <c r="U19" i="33"/>
  <c r="H16" i="33"/>
  <c r="I33" i="33"/>
  <c r="J15" i="33"/>
  <c r="H33" i="33"/>
  <c r="J32" i="33"/>
  <c r="I32" i="33"/>
  <c r="S12" i="33"/>
  <c r="J14" i="33"/>
  <c r="I34" i="33"/>
  <c r="T19" i="33"/>
  <c r="U18" i="33"/>
  <c r="J26" i="33"/>
  <c r="T5" i="33" s="1"/>
  <c r="J21" i="33"/>
  <c r="I26" i="33"/>
  <c r="T4" i="33" s="1"/>
  <c r="I21" i="33"/>
  <c r="S18" i="33"/>
  <c r="N3" i="33" s="1"/>
  <c r="U16" i="33"/>
  <c r="T16" i="33"/>
  <c r="U17" i="33"/>
  <c r="T17" i="33"/>
  <c r="U15" i="33"/>
  <c r="J12" i="33"/>
  <c r="T15" i="33"/>
  <c r="I12" i="33"/>
  <c r="U14" i="33"/>
  <c r="I30" i="33"/>
  <c r="T14" i="33"/>
  <c r="I19" i="33"/>
  <c r="J29" i="33"/>
  <c r="U21" i="33"/>
  <c r="U13" i="33"/>
  <c r="S5" i="33" s="1"/>
  <c r="J18" i="33"/>
  <c r="I29" i="33"/>
  <c r="T21" i="33"/>
  <c r="T13" i="33"/>
  <c r="S4" i="33" s="1"/>
  <c r="I18" i="33"/>
  <c r="M4" i="33" s="1"/>
  <c r="J28" i="33"/>
  <c r="U20" i="33"/>
  <c r="U12" i="33"/>
  <c r="J17" i="33"/>
  <c r="T10" i="32"/>
  <c r="T13" i="32"/>
  <c r="Z4" i="32" s="1"/>
  <c r="T14" i="32"/>
  <c r="T12" i="32"/>
  <c r="J19" i="32"/>
  <c r="AD17" i="32"/>
  <c r="AC17" i="32"/>
  <c r="K12" i="32"/>
  <c r="AD16" i="32"/>
  <c r="AC16" i="32"/>
  <c r="AD15" i="32"/>
  <c r="T5" i="32" s="1"/>
  <c r="J20" i="32"/>
  <c r="AC15" i="32"/>
  <c r="T4" i="32" s="1"/>
  <c r="I20" i="32"/>
  <c r="AC13" i="32"/>
  <c r="AA4" i="32" s="1"/>
  <c r="K19" i="32"/>
  <c r="AB13" i="32"/>
  <c r="AA3" i="32" s="1"/>
  <c r="AD12" i="32"/>
  <c r="K18" i="32"/>
  <c r="J18" i="32"/>
  <c r="K17" i="32"/>
  <c r="K14" i="32"/>
  <c r="J14" i="32"/>
  <c r="K13" i="32"/>
  <c r="Y5" i="32" s="1"/>
  <c r="J13" i="32"/>
  <c r="Y4" i="32" s="1"/>
  <c r="J12" i="32"/>
  <c r="AD18" i="32"/>
  <c r="U16" i="32"/>
  <c r="T16" i="32"/>
  <c r="AB10" i="32"/>
  <c r="U15" i="32"/>
  <c r="S5" i="32" s="1"/>
  <c r="AC10" i="32"/>
  <c r="AC18" i="32"/>
  <c r="K11" i="32"/>
  <c r="U10" i="32"/>
  <c r="J11" i="32"/>
  <c r="AD14" i="32"/>
  <c r="AC14" i="32"/>
  <c r="S20" i="32"/>
  <c r="AC12" i="32"/>
  <c r="U13" i="32"/>
  <c r="Z5" i="32" s="1"/>
  <c r="U20" i="32"/>
  <c r="U11" i="32"/>
  <c r="U19" i="32"/>
  <c r="I17" i="32"/>
  <c r="S11" i="32"/>
  <c r="K16" i="32"/>
  <c r="U18" i="32"/>
  <c r="J16" i="32"/>
  <c r="T18" i="32"/>
  <c r="AC20" i="32"/>
  <c r="AB20" i="32"/>
  <c r="I10" i="32"/>
  <c r="K15" i="32"/>
  <c r="R5" i="32" s="1"/>
  <c r="U17" i="32"/>
  <c r="AD19" i="32"/>
  <c r="AD11" i="32"/>
  <c r="U14" i="32"/>
  <c r="U12" i="32"/>
  <c r="T19" i="32"/>
  <c r="J10" i="32"/>
  <c r="J15" i="32"/>
  <c r="T17" i="32"/>
  <c r="AC19" i="32"/>
  <c r="AC11" i="32"/>
  <c r="Y3" i="32" l="1"/>
  <c r="R3" i="32"/>
  <c r="O5" i="33"/>
  <c r="N4" i="33"/>
  <c r="N5" i="33"/>
  <c r="M5" i="33"/>
  <c r="O4" i="33"/>
  <c r="R4" i="32"/>
  <c r="S4" i="32"/>
  <c r="M5" i="35"/>
  <c r="L4" i="36"/>
  <c r="N5" i="36"/>
  <c r="M3" i="36"/>
  <c r="K34" i="31"/>
  <c r="K32" i="31"/>
  <c r="J32" i="31"/>
  <c r="J22" i="29"/>
  <c r="K22" i="29"/>
  <c r="L22" i="29"/>
  <c r="J23" i="29"/>
  <c r="K23" i="29"/>
  <c r="L23" i="29"/>
  <c r="J24" i="29"/>
  <c r="K24" i="29"/>
  <c r="L24" i="29"/>
  <c r="J25" i="29"/>
  <c r="K25" i="29"/>
  <c r="L25" i="29"/>
  <c r="O22" i="29"/>
  <c r="P22" i="29"/>
  <c r="Q22" i="29"/>
  <c r="O23" i="29"/>
  <c r="P23" i="29"/>
  <c r="Q23" i="29"/>
  <c r="O24" i="29"/>
  <c r="P24" i="29"/>
  <c r="Q24" i="29"/>
  <c r="O25" i="29"/>
  <c r="P25" i="29"/>
  <c r="Q25" i="29"/>
  <c r="V24" i="29"/>
  <c r="V25" i="29"/>
  <c r="T22" i="29"/>
  <c r="U22" i="29"/>
  <c r="T23" i="29"/>
  <c r="U23" i="29"/>
  <c r="T24" i="29"/>
  <c r="U24" i="29"/>
  <c r="T25" i="29"/>
  <c r="U25" i="29"/>
  <c r="V22" i="29"/>
  <c r="V23" i="29"/>
  <c r="V14" i="29"/>
  <c r="V15" i="29"/>
  <c r="V16" i="29"/>
  <c r="V17" i="29"/>
  <c r="U14" i="29"/>
  <c r="U15" i="29"/>
  <c r="U16" i="29"/>
  <c r="U17" i="29"/>
  <c r="T14" i="29"/>
  <c r="T15" i="29"/>
  <c r="T16" i="29"/>
  <c r="T17" i="29"/>
  <c r="Q14" i="29"/>
  <c r="Q15" i="29"/>
  <c r="Q16" i="29"/>
  <c r="Q17" i="29"/>
  <c r="P14" i="29"/>
  <c r="P15" i="29"/>
  <c r="P16" i="29"/>
  <c r="P17" i="29"/>
  <c r="O14" i="29"/>
  <c r="O15" i="29"/>
  <c r="O16" i="29"/>
  <c r="O17" i="29"/>
  <c r="L14" i="29"/>
  <c r="L15" i="29"/>
  <c r="L16" i="29"/>
  <c r="L17" i="29"/>
  <c r="K14" i="29"/>
  <c r="K15" i="29"/>
  <c r="K16" i="29"/>
  <c r="K17" i="29"/>
  <c r="J14" i="29"/>
  <c r="J15" i="29"/>
  <c r="J16" i="29"/>
  <c r="J17" i="29"/>
  <c r="V21" i="29"/>
  <c r="U21" i="29"/>
  <c r="T21" i="29"/>
  <c r="Q21" i="29"/>
  <c r="P21" i="29"/>
  <c r="O21" i="29"/>
  <c r="L21" i="29"/>
  <c r="K21" i="29"/>
  <c r="J21" i="29"/>
  <c r="V13" i="29"/>
  <c r="U13" i="29"/>
  <c r="T13" i="29"/>
  <c r="Q13" i="29"/>
  <c r="P13" i="29"/>
  <c r="O13" i="29"/>
  <c r="L13" i="29"/>
  <c r="K13" i="29"/>
  <c r="J13" i="29"/>
  <c r="V21" i="28"/>
  <c r="V22" i="28"/>
  <c r="V23" i="28"/>
  <c r="V24" i="28"/>
  <c r="U21" i="28"/>
  <c r="U22" i="28"/>
  <c r="U23" i="28"/>
  <c r="U24" i="28"/>
  <c r="T21" i="28"/>
  <c r="T22" i="28"/>
  <c r="T23" i="28"/>
  <c r="T24" i="28"/>
  <c r="Q21" i="28"/>
  <c r="Q22" i="28"/>
  <c r="Q23" i="28"/>
  <c r="Q24" i="28"/>
  <c r="P21" i="28"/>
  <c r="P22" i="28"/>
  <c r="P23" i="28"/>
  <c r="P24" i="28"/>
  <c r="O21" i="28"/>
  <c r="O22" i="28"/>
  <c r="O23" i="28"/>
  <c r="O24" i="28"/>
  <c r="L21" i="28"/>
  <c r="L22" i="28"/>
  <c r="L23" i="28"/>
  <c r="L24" i="28"/>
  <c r="J23" i="28"/>
  <c r="J24" i="28"/>
  <c r="K21" i="28"/>
  <c r="K22" i="28"/>
  <c r="K23" i="28"/>
  <c r="K24" i="28"/>
  <c r="J21" i="28"/>
  <c r="J22" i="28"/>
  <c r="V20" i="28"/>
  <c r="U20" i="28"/>
  <c r="T20" i="28"/>
  <c r="Q20" i="28"/>
  <c r="P20" i="28"/>
  <c r="O20" i="28"/>
  <c r="L20" i="28"/>
  <c r="K20" i="28"/>
  <c r="J20" i="28"/>
  <c r="V13" i="28"/>
  <c r="V14" i="28"/>
  <c r="V15" i="28"/>
  <c r="V16" i="28"/>
  <c r="U13" i="28"/>
  <c r="U14" i="28"/>
  <c r="U15" i="28"/>
  <c r="U16" i="28"/>
  <c r="T13" i="28"/>
  <c r="T14" i="28"/>
  <c r="T15" i="28"/>
  <c r="T16" i="28"/>
  <c r="Q13" i="28"/>
  <c r="Q14" i="28"/>
  <c r="Q15" i="28"/>
  <c r="Q16" i="28"/>
  <c r="P13" i="28"/>
  <c r="P14" i="28"/>
  <c r="P15" i="28"/>
  <c r="P16" i="28"/>
  <c r="O13" i="28"/>
  <c r="O14" i="28"/>
  <c r="O15" i="28"/>
  <c r="O16" i="28"/>
  <c r="L13" i="28"/>
  <c r="L14" i="28"/>
  <c r="L15" i="28"/>
  <c r="L16" i="28"/>
  <c r="K13" i="28"/>
  <c r="K14" i="28"/>
  <c r="K15" i="28"/>
  <c r="K16" i="28"/>
  <c r="J13" i="28"/>
  <c r="J14" i="28"/>
  <c r="J15" i="28"/>
  <c r="J16" i="28"/>
  <c r="V12" i="28"/>
  <c r="U12" i="28"/>
  <c r="T12" i="28"/>
  <c r="Q12" i="28"/>
  <c r="P12" i="28"/>
  <c r="O12" i="28"/>
  <c r="L12" i="28"/>
  <c r="K12" i="28"/>
  <c r="J12" i="28"/>
  <c r="U13" i="27"/>
  <c r="V13" i="27"/>
  <c r="W13" i="27"/>
  <c r="U14" i="27"/>
  <c r="V14" i="27"/>
  <c r="W14" i="27"/>
  <c r="U15" i="27"/>
  <c r="V15" i="27"/>
  <c r="W15" i="27"/>
  <c r="U16" i="27"/>
  <c r="V16" i="27"/>
  <c r="W16" i="27"/>
  <c r="U17" i="27"/>
  <c r="V17" i="27"/>
  <c r="W17" i="27"/>
  <c r="U18" i="27"/>
  <c r="V18" i="27"/>
  <c r="W18" i="27"/>
  <c r="U19" i="27"/>
  <c r="V19" i="27"/>
  <c r="W19" i="27"/>
  <c r="U20" i="27"/>
  <c r="V20" i="27"/>
  <c r="W20" i="27"/>
  <c r="U21" i="27"/>
  <c r="V21" i="27"/>
  <c r="W21" i="27"/>
  <c r="U22" i="27"/>
  <c r="V22" i="27"/>
  <c r="W22" i="27"/>
  <c r="U23" i="27"/>
  <c r="V23" i="27"/>
  <c r="W23" i="27"/>
  <c r="U24" i="27"/>
  <c r="V24" i="27"/>
  <c r="W24" i="27"/>
  <c r="U25" i="27"/>
  <c r="V25" i="27"/>
  <c r="W25" i="27"/>
  <c r="U26" i="27"/>
  <c r="V26" i="27"/>
  <c r="W26" i="27"/>
  <c r="U27" i="27"/>
  <c r="V27" i="27"/>
  <c r="W27" i="27"/>
  <c r="U28" i="27"/>
  <c r="V28" i="27"/>
  <c r="W28" i="27"/>
  <c r="U30" i="27"/>
  <c r="V30" i="27"/>
  <c r="W30" i="27"/>
  <c r="U31" i="27"/>
  <c r="V31" i="27"/>
  <c r="W31" i="27"/>
  <c r="U32" i="27"/>
  <c r="V32" i="27"/>
  <c r="W32" i="27"/>
  <c r="U33" i="27"/>
  <c r="V33" i="27"/>
  <c r="W33" i="27"/>
  <c r="U34" i="27"/>
  <c r="V34" i="27"/>
  <c r="W34" i="27"/>
  <c r="U35" i="27"/>
  <c r="V35" i="27"/>
  <c r="W35" i="27"/>
  <c r="U36" i="27"/>
  <c r="V36" i="27"/>
  <c r="W36" i="27"/>
  <c r="U37" i="27"/>
  <c r="V37" i="27"/>
  <c r="W37" i="27"/>
  <c r="U38" i="27"/>
  <c r="V38" i="27"/>
  <c r="W38" i="27"/>
  <c r="U39" i="27"/>
  <c r="V39" i="27"/>
  <c r="W39" i="27"/>
  <c r="U40" i="27"/>
  <c r="V40" i="27"/>
  <c r="W40" i="27"/>
  <c r="U41" i="27"/>
  <c r="V41" i="27"/>
  <c r="W41" i="27"/>
  <c r="U42" i="27"/>
  <c r="V42" i="27"/>
  <c r="W42" i="27"/>
  <c r="U43" i="27"/>
  <c r="V43" i="27"/>
  <c r="W43" i="27"/>
  <c r="U44" i="27"/>
  <c r="V44" i="27"/>
  <c r="W44" i="27"/>
  <c r="U46" i="27"/>
  <c r="V46" i="27"/>
  <c r="W46" i="27"/>
  <c r="U47" i="27"/>
  <c r="V47" i="27"/>
  <c r="W47" i="27"/>
  <c r="U48" i="27"/>
  <c r="V48" i="27"/>
  <c r="W48" i="27"/>
  <c r="U49" i="27"/>
  <c r="V49" i="27"/>
  <c r="W49" i="27"/>
  <c r="U50" i="27"/>
  <c r="V50" i="27"/>
  <c r="W50" i="27"/>
  <c r="U51" i="27"/>
  <c r="V51" i="27"/>
  <c r="W51" i="27"/>
  <c r="U52" i="27"/>
  <c r="V52" i="27"/>
  <c r="W52" i="27"/>
  <c r="U53" i="27"/>
  <c r="V53" i="27"/>
  <c r="W53" i="27"/>
  <c r="U54" i="27"/>
  <c r="V54" i="27"/>
  <c r="W54" i="27"/>
  <c r="U55" i="27"/>
  <c r="V55" i="27"/>
  <c r="W55" i="27"/>
  <c r="U56" i="27"/>
  <c r="V56" i="27"/>
  <c r="W56" i="27"/>
  <c r="U57" i="27"/>
  <c r="V57" i="27"/>
  <c r="W57" i="27"/>
  <c r="U58" i="27"/>
  <c r="V58" i="27"/>
  <c r="W58" i="27"/>
  <c r="U59" i="27"/>
  <c r="V59" i="27"/>
  <c r="W59" i="27"/>
  <c r="U60" i="27"/>
  <c r="V60" i="27"/>
  <c r="W60" i="27"/>
  <c r="U61" i="27"/>
  <c r="V61" i="27"/>
  <c r="W61" i="27"/>
  <c r="M13" i="27"/>
  <c r="N13" i="27"/>
  <c r="O13" i="27"/>
  <c r="M14" i="27"/>
  <c r="N14" i="27"/>
  <c r="O14" i="27"/>
  <c r="M15" i="27"/>
  <c r="N15" i="27"/>
  <c r="O15" i="27"/>
  <c r="M16" i="27"/>
  <c r="N16" i="27"/>
  <c r="O16" i="27"/>
  <c r="M17" i="27"/>
  <c r="N17" i="27"/>
  <c r="O17" i="27"/>
  <c r="M18" i="27"/>
  <c r="N18" i="27"/>
  <c r="O18" i="27"/>
  <c r="M19" i="27"/>
  <c r="N19" i="27"/>
  <c r="O19" i="27"/>
  <c r="M20" i="27"/>
  <c r="N20" i="27"/>
  <c r="O20" i="27"/>
  <c r="M21" i="27"/>
  <c r="N21" i="27"/>
  <c r="O21" i="27"/>
  <c r="M22" i="27"/>
  <c r="N22" i="27"/>
  <c r="O22" i="27"/>
  <c r="M23" i="27"/>
  <c r="N23" i="27"/>
  <c r="O23" i="27"/>
  <c r="M24" i="27"/>
  <c r="N24" i="27"/>
  <c r="O24" i="27"/>
  <c r="M25" i="27"/>
  <c r="N25" i="27"/>
  <c r="O25" i="27"/>
  <c r="M26" i="27"/>
  <c r="N26" i="27"/>
  <c r="O26" i="27"/>
  <c r="M27" i="27"/>
  <c r="N27" i="27"/>
  <c r="O27" i="27"/>
  <c r="M28" i="27"/>
  <c r="N28" i="27"/>
  <c r="O28" i="27"/>
  <c r="M30" i="27"/>
  <c r="N30" i="27"/>
  <c r="O30" i="27"/>
  <c r="M31" i="27"/>
  <c r="N31" i="27"/>
  <c r="O31" i="27"/>
  <c r="M32" i="27"/>
  <c r="N32" i="27"/>
  <c r="O32" i="27"/>
  <c r="M33" i="27"/>
  <c r="N33" i="27"/>
  <c r="O33" i="27"/>
  <c r="M34" i="27"/>
  <c r="N34" i="27"/>
  <c r="O34" i="27"/>
  <c r="M35" i="27"/>
  <c r="N35" i="27"/>
  <c r="O35" i="27"/>
  <c r="M36" i="27"/>
  <c r="N36" i="27"/>
  <c r="O36" i="27"/>
  <c r="M37" i="27"/>
  <c r="N37" i="27"/>
  <c r="O37" i="27"/>
  <c r="M38" i="27"/>
  <c r="N38" i="27"/>
  <c r="O38" i="27"/>
  <c r="M39" i="27"/>
  <c r="N39" i="27"/>
  <c r="O39" i="27"/>
  <c r="M40" i="27"/>
  <c r="N40" i="27"/>
  <c r="O40" i="27"/>
  <c r="M41" i="27"/>
  <c r="N41" i="27"/>
  <c r="O41" i="27"/>
  <c r="M42" i="27"/>
  <c r="N42" i="27"/>
  <c r="O42" i="27"/>
  <c r="M43" i="27"/>
  <c r="N43" i="27"/>
  <c r="O43" i="27"/>
  <c r="M44" i="27"/>
  <c r="N44" i="27"/>
  <c r="O44" i="27"/>
  <c r="M46" i="27"/>
  <c r="N46" i="27"/>
  <c r="O46" i="27"/>
  <c r="M47" i="27"/>
  <c r="N47" i="27"/>
  <c r="O47" i="27"/>
  <c r="M48" i="27"/>
  <c r="N48" i="27"/>
  <c r="O48" i="27"/>
  <c r="M49" i="27"/>
  <c r="N49" i="27"/>
  <c r="O49" i="27"/>
  <c r="M50" i="27"/>
  <c r="N50" i="27"/>
  <c r="O50" i="27"/>
  <c r="M51" i="27"/>
  <c r="N51" i="27"/>
  <c r="O51" i="27"/>
  <c r="M52" i="27"/>
  <c r="N52" i="27"/>
  <c r="O52" i="27"/>
  <c r="M53" i="27"/>
  <c r="N53" i="27"/>
  <c r="O53" i="27"/>
  <c r="M54" i="27"/>
  <c r="N54" i="27"/>
  <c r="O54" i="27"/>
  <c r="M55" i="27"/>
  <c r="N55" i="27"/>
  <c r="O55" i="27"/>
  <c r="M56" i="27"/>
  <c r="N56" i="27"/>
  <c r="O56" i="27"/>
  <c r="M57" i="27"/>
  <c r="N57" i="27"/>
  <c r="O57" i="27"/>
  <c r="M58" i="27"/>
  <c r="N58" i="27"/>
  <c r="O58" i="27"/>
  <c r="M59" i="27"/>
  <c r="N59" i="27"/>
  <c r="O59" i="27"/>
  <c r="M60" i="27"/>
  <c r="N60" i="27"/>
  <c r="O60" i="27"/>
  <c r="M61" i="27"/>
  <c r="N61" i="27"/>
  <c r="O61" i="27"/>
  <c r="W12" i="27"/>
  <c r="V12" i="27"/>
  <c r="U12" i="27"/>
  <c r="O12" i="27"/>
  <c r="N12" i="27"/>
  <c r="M12" i="27"/>
  <c r="G13" i="27"/>
  <c r="H13" i="27"/>
  <c r="I13" i="27"/>
  <c r="G14" i="27"/>
  <c r="H14" i="27"/>
  <c r="I14" i="27"/>
  <c r="G15" i="27"/>
  <c r="H15" i="27"/>
  <c r="I15" i="27"/>
  <c r="G16" i="27"/>
  <c r="H16" i="27"/>
  <c r="I16" i="27"/>
  <c r="G17" i="27"/>
  <c r="H17" i="27"/>
  <c r="I17" i="27"/>
  <c r="G18" i="27"/>
  <c r="H18" i="27"/>
  <c r="I18" i="27"/>
  <c r="G19" i="27"/>
  <c r="H19" i="27"/>
  <c r="I19" i="27"/>
  <c r="G20" i="27"/>
  <c r="H20" i="27"/>
  <c r="I20" i="27"/>
  <c r="G21" i="27"/>
  <c r="H21" i="27"/>
  <c r="I21" i="27"/>
  <c r="G22" i="27"/>
  <c r="H22" i="27"/>
  <c r="I22" i="27"/>
  <c r="G23" i="27"/>
  <c r="H23" i="27"/>
  <c r="I23" i="27"/>
  <c r="G24" i="27"/>
  <c r="H24" i="27"/>
  <c r="I24" i="27"/>
  <c r="G25" i="27"/>
  <c r="H25" i="27"/>
  <c r="I25" i="27"/>
  <c r="G26" i="27"/>
  <c r="H26" i="27"/>
  <c r="I26" i="27"/>
  <c r="G27" i="27"/>
  <c r="H27" i="27"/>
  <c r="I27" i="27"/>
  <c r="G28" i="27"/>
  <c r="H28" i="27"/>
  <c r="I28" i="27"/>
  <c r="G30" i="27"/>
  <c r="H30" i="27"/>
  <c r="I30" i="27"/>
  <c r="G31" i="27"/>
  <c r="H31" i="27"/>
  <c r="I31" i="27"/>
  <c r="G32" i="27"/>
  <c r="H32" i="27"/>
  <c r="I32" i="27"/>
  <c r="G33" i="27"/>
  <c r="H33" i="27"/>
  <c r="I33" i="27"/>
  <c r="G34" i="27"/>
  <c r="H34" i="27"/>
  <c r="I34" i="27"/>
  <c r="G35" i="27"/>
  <c r="H35" i="27"/>
  <c r="I35" i="27"/>
  <c r="G36" i="27"/>
  <c r="H36" i="27"/>
  <c r="I36" i="27"/>
  <c r="G37" i="27"/>
  <c r="H37" i="27"/>
  <c r="I37" i="27"/>
  <c r="G38" i="27"/>
  <c r="H38" i="27"/>
  <c r="I38" i="27"/>
  <c r="G39" i="27"/>
  <c r="H39" i="27"/>
  <c r="I39" i="27"/>
  <c r="G40" i="27"/>
  <c r="H40" i="27"/>
  <c r="I40" i="27"/>
  <c r="G41" i="27"/>
  <c r="H41" i="27"/>
  <c r="I41" i="27"/>
  <c r="G42" i="27"/>
  <c r="H42" i="27"/>
  <c r="I42" i="27"/>
  <c r="G43" i="27"/>
  <c r="H43" i="27"/>
  <c r="I43" i="27"/>
  <c r="G44" i="27"/>
  <c r="H44" i="27"/>
  <c r="I44" i="27"/>
  <c r="G46" i="27"/>
  <c r="H46" i="27"/>
  <c r="I46" i="27"/>
  <c r="G47" i="27"/>
  <c r="H47" i="27"/>
  <c r="I47" i="27"/>
  <c r="G48" i="27"/>
  <c r="H48" i="27"/>
  <c r="I48" i="27"/>
  <c r="G49" i="27"/>
  <c r="H49" i="27"/>
  <c r="I49" i="27"/>
  <c r="G50" i="27"/>
  <c r="H50" i="27"/>
  <c r="I50" i="27"/>
  <c r="G51" i="27"/>
  <c r="H51" i="27"/>
  <c r="I51" i="27"/>
  <c r="G52" i="27"/>
  <c r="H52" i="27"/>
  <c r="I52" i="27"/>
  <c r="G53" i="27"/>
  <c r="H53" i="27"/>
  <c r="I53" i="27"/>
  <c r="G54" i="27"/>
  <c r="H54" i="27"/>
  <c r="I54" i="27"/>
  <c r="G55" i="27"/>
  <c r="H55" i="27"/>
  <c r="I55" i="27"/>
  <c r="G56" i="27"/>
  <c r="H56" i="27"/>
  <c r="I56" i="27"/>
  <c r="G57" i="27"/>
  <c r="H57" i="27"/>
  <c r="I57" i="27"/>
  <c r="G58" i="27"/>
  <c r="H58" i="27"/>
  <c r="I58" i="27"/>
  <c r="G59" i="27"/>
  <c r="H59" i="27"/>
  <c r="I59" i="27"/>
  <c r="G60" i="27"/>
  <c r="H60" i="27"/>
  <c r="I60" i="27"/>
  <c r="G61" i="27"/>
  <c r="H61" i="27"/>
  <c r="I61" i="27"/>
  <c r="I12" i="27"/>
  <c r="H12" i="27"/>
  <c r="G12" i="27"/>
  <c r="S12" i="26"/>
  <c r="S13" i="26"/>
  <c r="S14" i="26"/>
  <c r="S15" i="26"/>
  <c r="S16" i="26"/>
  <c r="S17" i="26"/>
  <c r="S18" i="26"/>
  <c r="S19" i="26"/>
  <c r="S20" i="26"/>
  <c r="S21" i="26"/>
  <c r="S22" i="26"/>
  <c r="S23" i="26"/>
  <c r="S24" i="26"/>
  <c r="S25" i="26"/>
  <c r="S26" i="26"/>
  <c r="S27" i="26"/>
  <c r="S28" i="26"/>
  <c r="S29" i="26"/>
  <c r="S30" i="26"/>
  <c r="S31" i="26"/>
  <c r="S32" i="26"/>
  <c r="S33" i="26"/>
  <c r="S34" i="26"/>
  <c r="S35" i="26"/>
  <c r="S36" i="26"/>
  <c r="S37" i="26"/>
  <c r="S38" i="26"/>
  <c r="S39" i="26"/>
  <c r="S40" i="26"/>
  <c r="S4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31" i="26"/>
  <c r="R32" i="26"/>
  <c r="R33" i="26"/>
  <c r="R34" i="26"/>
  <c r="R35" i="26"/>
  <c r="R36" i="26"/>
  <c r="R37" i="26"/>
  <c r="R38" i="26"/>
  <c r="R39" i="26"/>
  <c r="R40" i="26"/>
  <c r="R4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34" i="26"/>
  <c r="Q35" i="26"/>
  <c r="Q36" i="26"/>
  <c r="Q37" i="26"/>
  <c r="Q38" i="26"/>
  <c r="Q39" i="26"/>
  <c r="Q40" i="26"/>
  <c r="Q41" i="26"/>
  <c r="H14" i="26"/>
  <c r="H15" i="26"/>
  <c r="H16" i="26"/>
  <c r="H17" i="26"/>
  <c r="H18" i="26"/>
  <c r="H20" i="26"/>
  <c r="H21" i="26"/>
  <c r="H22" i="26"/>
  <c r="H27" i="26"/>
  <c r="H28" i="26"/>
  <c r="H34" i="26"/>
  <c r="H35" i="26"/>
  <c r="H38" i="26"/>
  <c r="H39" i="26"/>
  <c r="H40" i="26"/>
  <c r="H41" i="26"/>
  <c r="H42" i="26"/>
  <c r="H44" i="26"/>
  <c r="H45" i="26"/>
  <c r="H46" i="26"/>
  <c r="H51" i="26"/>
  <c r="H52" i="26"/>
  <c r="I12" i="26"/>
  <c r="I14" i="26"/>
  <c r="I15" i="26"/>
  <c r="I16" i="26"/>
  <c r="I17" i="26"/>
  <c r="I18" i="26"/>
  <c r="I19" i="26"/>
  <c r="I21" i="26"/>
  <c r="I22" i="26"/>
  <c r="I23" i="26"/>
  <c r="I27" i="26"/>
  <c r="I28" i="26"/>
  <c r="I29" i="26"/>
  <c r="I36" i="26"/>
  <c r="I38" i="26"/>
  <c r="I39" i="26"/>
  <c r="I40" i="26"/>
  <c r="I41" i="26"/>
  <c r="I42" i="26"/>
  <c r="I43" i="26"/>
  <c r="I45" i="26"/>
  <c r="I46" i="26"/>
  <c r="I47" i="26"/>
  <c r="I51" i="26"/>
  <c r="I52" i="26"/>
  <c r="I53" i="26"/>
  <c r="G12" i="26"/>
  <c r="G13" i="26"/>
  <c r="G18" i="26"/>
  <c r="G19" i="26"/>
  <c r="G20" i="26"/>
  <c r="G27" i="26"/>
  <c r="G28" i="26"/>
  <c r="G29" i="26"/>
  <c r="G31" i="26"/>
  <c r="G36" i="26"/>
  <c r="G37" i="26"/>
  <c r="G42" i="26"/>
  <c r="G43" i="26"/>
  <c r="G44" i="26"/>
  <c r="G51" i="26"/>
  <c r="G52" i="26"/>
  <c r="G53" i="26"/>
  <c r="G55" i="26"/>
  <c r="S11" i="26"/>
  <c r="R11" i="26"/>
  <c r="Q11" i="26"/>
  <c r="Q12" i="25"/>
  <c r="Q16" i="25"/>
  <c r="Q17" i="25"/>
  <c r="Q18" i="25"/>
  <c r="Q31" i="25"/>
  <c r="Q33" i="25"/>
  <c r="Q34" i="25"/>
  <c r="Q35" i="25"/>
  <c r="Q36" i="25"/>
  <c r="Q37" i="25"/>
  <c r="Q38" i="25"/>
  <c r="Q41" i="25"/>
  <c r="Q58" i="25"/>
  <c r="Q60" i="25"/>
  <c r="P31" i="25"/>
  <c r="P32" i="25"/>
  <c r="P33" i="25"/>
  <c r="P34" i="25"/>
  <c r="P35" i="25"/>
  <c r="P36" i="25"/>
  <c r="P57" i="25"/>
  <c r="P59" i="25"/>
  <c r="P60" i="25"/>
  <c r="O12" i="25"/>
  <c r="O13" i="25"/>
  <c r="O14" i="25"/>
  <c r="O16" i="25"/>
  <c r="O31" i="25"/>
  <c r="O32" i="25"/>
  <c r="O33" i="25"/>
  <c r="O34" i="25"/>
  <c r="O35" i="25"/>
  <c r="O36" i="25"/>
  <c r="O58" i="25"/>
  <c r="O60" i="25"/>
  <c r="P11" i="25"/>
  <c r="O11" i="25"/>
  <c r="P69" i="24"/>
  <c r="P70" i="24"/>
  <c r="Q70" i="24"/>
  <c r="R70" i="24"/>
  <c r="P71" i="24"/>
  <c r="Q71" i="24"/>
  <c r="R71" i="24"/>
  <c r="P72" i="24"/>
  <c r="Q72" i="24"/>
  <c r="R72" i="24"/>
  <c r="P73" i="24"/>
  <c r="Q73" i="24"/>
  <c r="R73" i="24"/>
  <c r="P74" i="24"/>
  <c r="Q74" i="24"/>
  <c r="R74" i="24"/>
  <c r="P75" i="24"/>
  <c r="Q75" i="24"/>
  <c r="R75" i="24"/>
  <c r="P76" i="24"/>
  <c r="Q76" i="24"/>
  <c r="R76" i="24"/>
  <c r="R69" i="24"/>
  <c r="Q69" i="24"/>
  <c r="F70" i="24"/>
  <c r="G70" i="24"/>
  <c r="H70" i="24"/>
  <c r="F71" i="24"/>
  <c r="G71" i="24"/>
  <c r="H71" i="24"/>
  <c r="F72" i="24"/>
  <c r="G72" i="24"/>
  <c r="H72" i="24"/>
  <c r="F73" i="24"/>
  <c r="G73" i="24"/>
  <c r="H73" i="24"/>
  <c r="F74" i="24"/>
  <c r="G74" i="24"/>
  <c r="H74" i="24"/>
  <c r="F75" i="24"/>
  <c r="G75" i="24"/>
  <c r="H75" i="24"/>
  <c r="F76" i="24"/>
  <c r="G76" i="24"/>
  <c r="H76" i="24"/>
  <c r="H69" i="24"/>
  <c r="G69" i="24"/>
  <c r="F69" i="24"/>
  <c r="P47" i="24"/>
  <c r="Q47" i="24"/>
  <c r="R47" i="24"/>
  <c r="P48" i="24"/>
  <c r="Q48" i="24"/>
  <c r="R48" i="24"/>
  <c r="P49" i="24"/>
  <c r="Q49" i="24"/>
  <c r="R49" i="24"/>
  <c r="P50" i="24"/>
  <c r="Q50" i="24"/>
  <c r="R50" i="24"/>
  <c r="P51" i="24"/>
  <c r="Q51" i="24"/>
  <c r="R51" i="24"/>
  <c r="P52" i="24"/>
  <c r="Q52" i="24"/>
  <c r="R52" i="24"/>
  <c r="P53" i="24"/>
  <c r="Q53" i="24"/>
  <c r="R53" i="24"/>
  <c r="P54" i="24"/>
  <c r="Q54" i="24"/>
  <c r="R54" i="24"/>
  <c r="P55" i="24"/>
  <c r="Q55" i="24"/>
  <c r="R55" i="24"/>
  <c r="P56" i="24"/>
  <c r="Q56" i="24"/>
  <c r="R56" i="24"/>
  <c r="P57" i="24"/>
  <c r="Q57" i="24"/>
  <c r="R57" i="24"/>
  <c r="P58" i="24"/>
  <c r="Q58" i="24"/>
  <c r="R58" i="24"/>
  <c r="P59" i="24"/>
  <c r="Q59" i="24"/>
  <c r="R59" i="24"/>
  <c r="P60" i="24"/>
  <c r="Q60" i="24"/>
  <c r="R60" i="24"/>
  <c r="P61" i="24"/>
  <c r="Q61" i="24"/>
  <c r="R61" i="24"/>
  <c r="P62" i="24"/>
  <c r="Q62" i="24"/>
  <c r="R62" i="24"/>
  <c r="P63" i="24"/>
  <c r="Q63" i="24"/>
  <c r="R63" i="24"/>
  <c r="P64" i="24"/>
  <c r="Q64" i="24"/>
  <c r="R64" i="24"/>
  <c r="P65" i="24"/>
  <c r="Q65" i="24"/>
  <c r="R65" i="24"/>
  <c r="P66" i="24"/>
  <c r="Q66" i="24"/>
  <c r="R66" i="24"/>
  <c r="R46" i="24"/>
  <c r="Q46" i="24"/>
  <c r="P46" i="24"/>
  <c r="R10" i="24"/>
  <c r="R11" i="24"/>
  <c r="R12" i="24"/>
  <c r="R13" i="24"/>
  <c r="R14" i="24"/>
  <c r="R15" i="24"/>
  <c r="R16" i="24"/>
  <c r="R17" i="24"/>
  <c r="R18" i="24"/>
  <c r="R19" i="24"/>
  <c r="R20" i="24"/>
  <c r="R21" i="24"/>
  <c r="R22" i="24"/>
  <c r="R23" i="24"/>
  <c r="R24" i="24"/>
  <c r="R25" i="24"/>
  <c r="R26" i="24"/>
  <c r="R27" i="24"/>
  <c r="R28" i="24"/>
  <c r="R29" i="24"/>
  <c r="R30" i="24"/>
  <c r="R31" i="24"/>
  <c r="R32" i="24"/>
  <c r="R33" i="24"/>
  <c r="R34" i="24"/>
  <c r="R35" i="24"/>
  <c r="R36" i="24"/>
  <c r="R37" i="24"/>
  <c r="R38" i="24"/>
  <c r="R39" i="24"/>
  <c r="R40" i="24"/>
  <c r="R41" i="24"/>
  <c r="R42" i="24"/>
  <c r="R43" i="24"/>
  <c r="Q10" i="24"/>
  <c r="Q11" i="24"/>
  <c r="Q12" i="24"/>
  <c r="Q13" i="24"/>
  <c r="Q14" i="24"/>
  <c r="Q15" i="24"/>
  <c r="Q16" i="24"/>
  <c r="Q17" i="24"/>
  <c r="Q18" i="24"/>
  <c r="Q19" i="24"/>
  <c r="Q20" i="24"/>
  <c r="Q21" i="24"/>
  <c r="Q22" i="24"/>
  <c r="Q23" i="24"/>
  <c r="Q24" i="24"/>
  <c r="Q25" i="24"/>
  <c r="Q26" i="24"/>
  <c r="Q27" i="24"/>
  <c r="Q28" i="24"/>
  <c r="Q29" i="24"/>
  <c r="Q30" i="24"/>
  <c r="Q31" i="24"/>
  <c r="Q32" i="24"/>
  <c r="Q33" i="24"/>
  <c r="Q34" i="24"/>
  <c r="Q35" i="24"/>
  <c r="Q36" i="24"/>
  <c r="Q37" i="24"/>
  <c r="Q38" i="24"/>
  <c r="Q39" i="24"/>
  <c r="Q40" i="24"/>
  <c r="Q41" i="24"/>
  <c r="Q42" i="24"/>
  <c r="Q43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64" i="24"/>
  <c r="G65" i="24"/>
  <c r="G6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H46" i="24"/>
  <c r="G46" i="24"/>
  <c r="F46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R9" i="24"/>
  <c r="Q9" i="24"/>
  <c r="P9" i="24"/>
  <c r="H9" i="24"/>
  <c r="G9" i="24"/>
  <c r="F9" i="24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72" i="22"/>
  <c r="I73" i="22"/>
  <c r="I74" i="22"/>
  <c r="I75" i="22"/>
  <c r="I76" i="22"/>
  <c r="I77" i="22"/>
  <c r="I78" i="22"/>
  <c r="I79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72" i="22"/>
  <c r="H73" i="22"/>
  <c r="H74" i="22"/>
  <c r="H75" i="22"/>
  <c r="H76" i="22"/>
  <c r="H77" i="22"/>
  <c r="H78" i="22"/>
  <c r="H79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72" i="22"/>
  <c r="G73" i="22"/>
  <c r="G74" i="22"/>
  <c r="G75" i="22"/>
  <c r="G76" i="22"/>
  <c r="G77" i="22"/>
  <c r="G78" i="22"/>
  <c r="G79" i="22"/>
  <c r="I10" i="22"/>
  <c r="H10" i="22"/>
  <c r="G10" i="22"/>
  <c r="H41" i="20"/>
  <c r="G30" i="20"/>
  <c r="G31" i="20"/>
  <c r="G32" i="20"/>
  <c r="F42" i="20"/>
  <c r="P38" i="17"/>
  <c r="Q38" i="17"/>
  <c r="R38" i="17"/>
  <c r="P39" i="17"/>
  <c r="Q39" i="17"/>
  <c r="R39" i="17"/>
  <c r="P40" i="17"/>
  <c r="Q40" i="17"/>
  <c r="R40" i="17"/>
  <c r="R37" i="17"/>
  <c r="Q37" i="17"/>
  <c r="P37" i="17"/>
  <c r="Q13" i="17"/>
  <c r="Q14" i="17"/>
  <c r="Q15" i="17"/>
  <c r="Q16" i="17"/>
  <c r="Q17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R13" i="17"/>
  <c r="R14" i="17"/>
  <c r="R15" i="17"/>
  <c r="R16" i="17"/>
  <c r="R17" i="17"/>
  <c r="R18" i="17"/>
  <c r="R19" i="17"/>
  <c r="R20" i="17"/>
  <c r="R21" i="17"/>
  <c r="R22" i="17"/>
  <c r="R28" i="17"/>
  <c r="R29" i="17"/>
  <c r="R30" i="17"/>
  <c r="R31" i="17"/>
  <c r="R3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9" i="17"/>
  <c r="P30" i="17"/>
  <c r="P31" i="17"/>
  <c r="P32" i="17"/>
  <c r="Q12" i="17"/>
  <c r="R12" i="17"/>
  <c r="P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H12" i="17"/>
  <c r="G12" i="17"/>
  <c r="F12" i="17"/>
  <c r="Q42" i="15"/>
  <c r="S40" i="15"/>
  <c r="Q40" i="15"/>
  <c r="S39" i="15"/>
  <c r="S38" i="15"/>
  <c r="S36" i="15"/>
  <c r="S25" i="15"/>
  <c r="S26" i="15"/>
  <c r="S27" i="15"/>
  <c r="S28" i="15"/>
  <c r="S29" i="15"/>
  <c r="S30" i="15"/>
  <c r="R11" i="15"/>
  <c r="R12" i="15"/>
  <c r="R13" i="15"/>
  <c r="R14" i="15"/>
  <c r="R24" i="15"/>
  <c r="R27" i="15"/>
  <c r="Q18" i="15"/>
  <c r="Q24" i="15"/>
  <c r="Q25" i="15"/>
  <c r="Q26" i="15"/>
  <c r="Q27" i="15"/>
  <c r="Q30" i="15"/>
  <c r="S10" i="15"/>
  <c r="R10" i="15"/>
  <c r="Q10" i="15"/>
  <c r="H12" i="15"/>
  <c r="H13" i="15"/>
  <c r="H14" i="15"/>
  <c r="H28" i="15"/>
  <c r="H32" i="15"/>
  <c r="G27" i="15"/>
  <c r="G28" i="15"/>
  <c r="F21" i="15"/>
  <c r="F22" i="15"/>
  <c r="F27" i="15"/>
  <c r="F28" i="15"/>
  <c r="F30" i="15"/>
  <c r="F31" i="15"/>
  <c r="F33" i="15"/>
  <c r="F34" i="15"/>
  <c r="F35" i="15"/>
  <c r="F36" i="15"/>
  <c r="F37" i="15"/>
  <c r="S45" i="13"/>
  <c r="S46" i="13"/>
  <c r="S47" i="13"/>
  <c r="R45" i="13"/>
  <c r="R46" i="13"/>
  <c r="R47" i="13"/>
  <c r="Q45" i="13"/>
  <c r="Q46" i="13"/>
  <c r="Q47" i="13"/>
  <c r="H15" i="31"/>
  <c r="H16" i="31"/>
  <c r="H17" i="31"/>
  <c r="H18" i="31"/>
  <c r="H19" i="31"/>
  <c r="H20" i="31"/>
  <c r="H21" i="31"/>
  <c r="H14" i="31"/>
  <c r="I33" i="31"/>
  <c r="J33" i="31" s="1"/>
  <c r="I34" i="31"/>
  <c r="L34" i="31" s="1"/>
  <c r="I35" i="31"/>
  <c r="J35" i="31" s="1"/>
  <c r="I36" i="31"/>
  <c r="J36" i="31" s="1"/>
  <c r="I37" i="31"/>
  <c r="J37" i="31" s="1"/>
  <c r="I38" i="31"/>
  <c r="J38" i="31" s="1"/>
  <c r="I39" i="31"/>
  <c r="K39" i="31" s="1"/>
  <c r="I32" i="31"/>
  <c r="L32" i="31" s="1"/>
  <c r="G33" i="31"/>
  <c r="G34" i="31"/>
  <c r="G35" i="31"/>
  <c r="G36" i="31"/>
  <c r="G37" i="31"/>
  <c r="G38" i="31"/>
  <c r="G39" i="31"/>
  <c r="G32" i="31"/>
  <c r="S14" i="29"/>
  <c r="S15" i="29"/>
  <c r="S16" i="29"/>
  <c r="S17" i="29"/>
  <c r="S21" i="29"/>
  <c r="S22" i="29"/>
  <c r="S23" i="29"/>
  <c r="S24" i="29"/>
  <c r="S25" i="29"/>
  <c r="S13" i="29"/>
  <c r="N14" i="29"/>
  <c r="N15" i="29"/>
  <c r="N16" i="29"/>
  <c r="N17" i="29"/>
  <c r="N21" i="29"/>
  <c r="N22" i="29"/>
  <c r="N23" i="29"/>
  <c r="N24" i="29"/>
  <c r="N25" i="29"/>
  <c r="N13" i="29"/>
  <c r="I14" i="29"/>
  <c r="I15" i="29"/>
  <c r="I16" i="29"/>
  <c r="I17" i="29"/>
  <c r="I21" i="29"/>
  <c r="I22" i="29"/>
  <c r="I23" i="29"/>
  <c r="I24" i="29"/>
  <c r="I25" i="29"/>
  <c r="I13" i="29"/>
  <c r="X20" i="28"/>
  <c r="X21" i="28"/>
  <c r="X22" i="28"/>
  <c r="X23" i="28"/>
  <c r="X24" i="28"/>
  <c r="X13" i="28"/>
  <c r="X14" i="28"/>
  <c r="X15" i="28"/>
  <c r="X16" i="28"/>
  <c r="X12" i="28"/>
  <c r="S20" i="28"/>
  <c r="S21" i="28"/>
  <c r="S22" i="28"/>
  <c r="S23" i="28"/>
  <c r="S24" i="28"/>
  <c r="S13" i="28"/>
  <c r="S14" i="28"/>
  <c r="S15" i="28"/>
  <c r="S16" i="28"/>
  <c r="S12" i="28"/>
  <c r="N13" i="28"/>
  <c r="N14" i="28"/>
  <c r="N15" i="28"/>
  <c r="N16" i="28"/>
  <c r="N20" i="28"/>
  <c r="N21" i="28"/>
  <c r="N22" i="28"/>
  <c r="N23" i="28"/>
  <c r="N24" i="28"/>
  <c r="N12" i="28"/>
  <c r="I13" i="28"/>
  <c r="I14" i="28"/>
  <c r="I15" i="28"/>
  <c r="I16" i="28"/>
  <c r="I20" i="28"/>
  <c r="I21" i="28"/>
  <c r="I22" i="28"/>
  <c r="I23" i="28"/>
  <c r="I24" i="28"/>
  <c r="I12" i="28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13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12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59" i="27"/>
  <c r="L60" i="27"/>
  <c r="L61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12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61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12" i="27"/>
  <c r="P12" i="26"/>
  <c r="P13" i="26"/>
  <c r="P14" i="26"/>
  <c r="P15" i="26"/>
  <c r="P16" i="26"/>
  <c r="P17" i="26"/>
  <c r="P18" i="26"/>
  <c r="P19" i="26"/>
  <c r="P20" i="26"/>
  <c r="P21" i="26"/>
  <c r="P22" i="26"/>
  <c r="P23" i="26"/>
  <c r="P24" i="26"/>
  <c r="P25" i="26"/>
  <c r="P26" i="26"/>
  <c r="P27" i="26"/>
  <c r="P28" i="26"/>
  <c r="P29" i="26"/>
  <c r="P30" i="26"/>
  <c r="P31" i="26"/>
  <c r="P32" i="26"/>
  <c r="P33" i="26"/>
  <c r="P34" i="26"/>
  <c r="P35" i="26"/>
  <c r="P36" i="26"/>
  <c r="P37" i="26"/>
  <c r="P38" i="26"/>
  <c r="P39" i="26"/>
  <c r="P40" i="26"/>
  <c r="P41" i="26"/>
  <c r="P11" i="26"/>
  <c r="F12" i="26"/>
  <c r="H12" i="26" s="1"/>
  <c r="F13" i="26"/>
  <c r="I13" i="26" s="1"/>
  <c r="F14" i="26"/>
  <c r="G14" i="26" s="1"/>
  <c r="F15" i="26"/>
  <c r="G15" i="26" s="1"/>
  <c r="F16" i="26"/>
  <c r="G16" i="26" s="1"/>
  <c r="F17" i="26"/>
  <c r="G17" i="26" s="1"/>
  <c r="F18" i="26"/>
  <c r="F19" i="26"/>
  <c r="H19" i="26" s="1"/>
  <c r="F20" i="26"/>
  <c r="I20" i="26" s="1"/>
  <c r="F21" i="26"/>
  <c r="G21" i="26" s="1"/>
  <c r="F22" i="26"/>
  <c r="G22" i="26" s="1"/>
  <c r="F23" i="26"/>
  <c r="H23" i="26" s="1"/>
  <c r="F24" i="26"/>
  <c r="I24" i="26" s="1"/>
  <c r="F25" i="26"/>
  <c r="G25" i="26" s="1"/>
  <c r="F26" i="26"/>
  <c r="G26" i="26" s="1"/>
  <c r="F27" i="26"/>
  <c r="F28" i="26"/>
  <c r="F29" i="26"/>
  <c r="H29" i="26" s="1"/>
  <c r="F30" i="26"/>
  <c r="G30" i="26" s="1"/>
  <c r="F31" i="26"/>
  <c r="I31" i="26" s="1"/>
  <c r="F32" i="26"/>
  <c r="G32" i="26" s="1"/>
  <c r="F33" i="26"/>
  <c r="G33" i="26" s="1"/>
  <c r="F34" i="26"/>
  <c r="G34" i="26" s="1"/>
  <c r="F35" i="26"/>
  <c r="I35" i="26" s="1"/>
  <c r="F36" i="26"/>
  <c r="H36" i="26" s="1"/>
  <c r="F37" i="26"/>
  <c r="I37" i="26" s="1"/>
  <c r="F38" i="26"/>
  <c r="G38" i="26" s="1"/>
  <c r="F39" i="26"/>
  <c r="G39" i="26" s="1"/>
  <c r="F40" i="26"/>
  <c r="G40" i="26" s="1"/>
  <c r="F41" i="26"/>
  <c r="G41" i="26" s="1"/>
  <c r="F42" i="26"/>
  <c r="F43" i="26"/>
  <c r="H43" i="26" s="1"/>
  <c r="F44" i="26"/>
  <c r="I44" i="26" s="1"/>
  <c r="F45" i="26"/>
  <c r="G45" i="26" s="1"/>
  <c r="F46" i="26"/>
  <c r="G46" i="26" s="1"/>
  <c r="F47" i="26"/>
  <c r="H47" i="26" s="1"/>
  <c r="F48" i="26"/>
  <c r="I48" i="26" s="1"/>
  <c r="F49" i="26"/>
  <c r="G49" i="26" s="1"/>
  <c r="F50" i="26"/>
  <c r="G50" i="26" s="1"/>
  <c r="F51" i="26"/>
  <c r="F52" i="26"/>
  <c r="F53" i="26"/>
  <c r="H53" i="26" s="1"/>
  <c r="F54" i="26"/>
  <c r="G54" i="26" s="1"/>
  <c r="F55" i="26"/>
  <c r="I55" i="26" s="1"/>
  <c r="F56" i="26"/>
  <c r="G56" i="26" s="1"/>
  <c r="F57" i="26"/>
  <c r="G57" i="26" s="1"/>
  <c r="F58" i="26"/>
  <c r="G58" i="26" s="1"/>
  <c r="F11" i="26"/>
  <c r="I11" i="26" s="1"/>
  <c r="N12" i="25"/>
  <c r="P12" i="25" s="1"/>
  <c r="N13" i="25"/>
  <c r="Q13" i="25" s="1"/>
  <c r="N14" i="25"/>
  <c r="Q14" i="25" s="1"/>
  <c r="N15" i="25"/>
  <c r="O15" i="25" s="1"/>
  <c r="N16" i="25"/>
  <c r="P16" i="25" s="1"/>
  <c r="N17" i="25"/>
  <c r="P17" i="25" s="1"/>
  <c r="N18" i="25"/>
  <c r="O18" i="25" s="1"/>
  <c r="N19" i="25"/>
  <c r="P19" i="25" s="1"/>
  <c r="N20" i="25"/>
  <c r="Q20" i="25" s="1"/>
  <c r="N21" i="25"/>
  <c r="Q21" i="25" s="1"/>
  <c r="N22" i="25"/>
  <c r="Q22" i="25" s="1"/>
  <c r="N23" i="25"/>
  <c r="O23" i="25" s="1"/>
  <c r="N24" i="25"/>
  <c r="P24" i="25" s="1"/>
  <c r="N25" i="25"/>
  <c r="Q25" i="25" s="1"/>
  <c r="N26" i="25"/>
  <c r="Q26" i="25" s="1"/>
  <c r="N27" i="25"/>
  <c r="Q27" i="25" s="1"/>
  <c r="N29" i="25"/>
  <c r="Q29" i="25" s="1"/>
  <c r="N30" i="25"/>
  <c r="Q30" i="25" s="1"/>
  <c r="N31" i="25"/>
  <c r="N32" i="25"/>
  <c r="Q32" i="25" s="1"/>
  <c r="N33" i="25"/>
  <c r="N34" i="25"/>
  <c r="N35" i="25"/>
  <c r="N36" i="25"/>
  <c r="N37" i="25"/>
  <c r="P37" i="25" s="1"/>
  <c r="N38" i="25"/>
  <c r="P38" i="25" s="1"/>
  <c r="N39" i="25"/>
  <c r="Q39" i="25" s="1"/>
  <c r="N40" i="25"/>
  <c r="Q40" i="25" s="1"/>
  <c r="N41" i="25"/>
  <c r="P41" i="25" s="1"/>
  <c r="N42" i="25"/>
  <c r="O42" i="25" s="1"/>
  <c r="N43" i="25"/>
  <c r="P43" i="25" s="1"/>
  <c r="N45" i="25"/>
  <c r="Q45" i="25" s="1"/>
  <c r="N46" i="25"/>
  <c r="Q46" i="25" s="1"/>
  <c r="N47" i="25"/>
  <c r="O47" i="25" s="1"/>
  <c r="N48" i="25"/>
  <c r="P48" i="25" s="1"/>
  <c r="N49" i="25"/>
  <c r="Q49" i="25" s="1"/>
  <c r="N50" i="25"/>
  <c r="Q50" i="25" s="1"/>
  <c r="N51" i="25"/>
  <c r="Q51" i="25" s="1"/>
  <c r="N52" i="25"/>
  <c r="Q52" i="25" s="1"/>
  <c r="N53" i="25"/>
  <c r="Q53" i="25" s="1"/>
  <c r="N54" i="25"/>
  <c r="Q54" i="25" s="1"/>
  <c r="N55" i="25"/>
  <c r="Q55" i="25" s="1"/>
  <c r="N56" i="25"/>
  <c r="Q56" i="25" s="1"/>
  <c r="N57" i="25"/>
  <c r="Q57" i="25" s="1"/>
  <c r="N58" i="25"/>
  <c r="P58" i="25" s="1"/>
  <c r="N59" i="25"/>
  <c r="Q59" i="25" s="1"/>
  <c r="N60" i="25"/>
  <c r="N11" i="25"/>
  <c r="Q11" i="25" s="1"/>
  <c r="G29" i="25"/>
  <c r="J29" i="25" s="1"/>
  <c r="G30" i="25"/>
  <c r="J30" i="25" s="1"/>
  <c r="G31" i="25"/>
  <c r="J31" i="25" s="1"/>
  <c r="G32" i="25"/>
  <c r="J32" i="25" s="1"/>
  <c r="G33" i="25"/>
  <c r="J33" i="25" s="1"/>
  <c r="G34" i="25"/>
  <c r="J34" i="25" s="1"/>
  <c r="G35" i="25"/>
  <c r="J35" i="25" s="1"/>
  <c r="G36" i="25"/>
  <c r="J36" i="25" s="1"/>
  <c r="G37" i="25"/>
  <c r="J37" i="25" s="1"/>
  <c r="G38" i="25"/>
  <c r="H38" i="25" s="1"/>
  <c r="G39" i="25"/>
  <c r="I39" i="25" s="1"/>
  <c r="G40" i="25"/>
  <c r="J40" i="25" s="1"/>
  <c r="G41" i="25"/>
  <c r="J41" i="25" s="1"/>
  <c r="G42" i="25"/>
  <c r="J42" i="25" s="1"/>
  <c r="G43" i="25"/>
  <c r="J43" i="25" s="1"/>
  <c r="G45" i="25"/>
  <c r="J45" i="25" s="1"/>
  <c r="G46" i="25"/>
  <c r="J46" i="25" s="1"/>
  <c r="G47" i="25"/>
  <c r="J47" i="25" s="1"/>
  <c r="G48" i="25"/>
  <c r="J48" i="25" s="1"/>
  <c r="G49" i="25"/>
  <c r="J49" i="25" s="1"/>
  <c r="G50" i="25"/>
  <c r="J50" i="25" s="1"/>
  <c r="G51" i="25"/>
  <c r="J51" i="25" s="1"/>
  <c r="G52" i="25"/>
  <c r="J52" i="25" s="1"/>
  <c r="G53" i="25"/>
  <c r="J53" i="25" s="1"/>
  <c r="G54" i="25"/>
  <c r="J54" i="25" s="1"/>
  <c r="G55" i="25"/>
  <c r="J55" i="25" s="1"/>
  <c r="G56" i="25"/>
  <c r="J56" i="25" s="1"/>
  <c r="G57" i="25"/>
  <c r="J57" i="25" s="1"/>
  <c r="G58" i="25"/>
  <c r="J58" i="25" s="1"/>
  <c r="G59" i="25"/>
  <c r="J59" i="25" s="1"/>
  <c r="G60" i="25"/>
  <c r="J60" i="25" s="1"/>
  <c r="G12" i="25"/>
  <c r="J12" i="25" s="1"/>
  <c r="G13" i="25"/>
  <c r="J13" i="25" s="1"/>
  <c r="G14" i="25"/>
  <c r="H14" i="25" s="1"/>
  <c r="G15" i="25"/>
  <c r="I15" i="25" s="1"/>
  <c r="G16" i="25"/>
  <c r="J16" i="25" s="1"/>
  <c r="G17" i="25"/>
  <c r="J17" i="25" s="1"/>
  <c r="G18" i="25"/>
  <c r="J18" i="25" s="1"/>
  <c r="G19" i="25"/>
  <c r="J19" i="25" s="1"/>
  <c r="G20" i="25"/>
  <c r="J20" i="25" s="1"/>
  <c r="G21" i="25"/>
  <c r="J21" i="25" s="1"/>
  <c r="G22" i="25"/>
  <c r="J22" i="25" s="1"/>
  <c r="G23" i="25"/>
  <c r="J23" i="25" s="1"/>
  <c r="G24" i="25"/>
  <c r="J24" i="25" s="1"/>
  <c r="G25" i="25"/>
  <c r="J25" i="25" s="1"/>
  <c r="G26" i="25"/>
  <c r="J26" i="25" s="1"/>
  <c r="G27" i="25"/>
  <c r="J27" i="25" s="1"/>
  <c r="G11" i="25"/>
  <c r="J11" i="25" s="1"/>
  <c r="O70" i="24"/>
  <c r="O71" i="24"/>
  <c r="O72" i="24"/>
  <c r="O73" i="24"/>
  <c r="O74" i="24"/>
  <c r="O75" i="24"/>
  <c r="O76" i="24"/>
  <c r="O69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46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9" i="24"/>
  <c r="E70" i="24"/>
  <c r="E71" i="24"/>
  <c r="E72" i="24"/>
  <c r="E73" i="24"/>
  <c r="E74" i="24"/>
  <c r="E75" i="24"/>
  <c r="E76" i="24"/>
  <c r="E69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46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9" i="24"/>
  <c r="F72" i="22"/>
  <c r="F73" i="22"/>
  <c r="F74" i="22"/>
  <c r="F75" i="22"/>
  <c r="F76" i="22"/>
  <c r="F77" i="22"/>
  <c r="F78" i="22"/>
  <c r="F79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10" i="22"/>
  <c r="E72" i="20"/>
  <c r="E73" i="20"/>
  <c r="E74" i="20"/>
  <c r="E75" i="20"/>
  <c r="E76" i="20"/>
  <c r="F76" i="20" s="1"/>
  <c r="E77" i="20"/>
  <c r="E78" i="20"/>
  <c r="G78" i="20" s="1"/>
  <c r="E71" i="20"/>
  <c r="E48" i="20"/>
  <c r="E49" i="20"/>
  <c r="G49" i="20" s="1"/>
  <c r="E50" i="20"/>
  <c r="E51" i="20"/>
  <c r="E52" i="20"/>
  <c r="F52" i="20" s="1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47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F29" i="20" s="1"/>
  <c r="E30" i="20"/>
  <c r="F30" i="20" s="1"/>
  <c r="E31" i="20"/>
  <c r="E32" i="20"/>
  <c r="E33" i="20"/>
  <c r="E34" i="20"/>
  <c r="E35" i="20"/>
  <c r="E36" i="20"/>
  <c r="E37" i="20"/>
  <c r="E38" i="20"/>
  <c r="E39" i="20"/>
  <c r="H39" i="20" s="1"/>
  <c r="E40" i="20"/>
  <c r="E41" i="20"/>
  <c r="E42" i="20"/>
  <c r="H42" i="20" s="1"/>
  <c r="E43" i="20"/>
  <c r="H43" i="20" s="1"/>
  <c r="E9" i="20"/>
  <c r="H9" i="20" s="1"/>
  <c r="O53" i="17"/>
  <c r="O54" i="17"/>
  <c r="O55" i="17"/>
  <c r="O56" i="17"/>
  <c r="O57" i="17"/>
  <c r="O58" i="17"/>
  <c r="O59" i="17"/>
  <c r="O52" i="17"/>
  <c r="O38" i="17"/>
  <c r="O39" i="17"/>
  <c r="O40" i="17"/>
  <c r="O37" i="17"/>
  <c r="O13" i="17"/>
  <c r="O14" i="17"/>
  <c r="O15" i="17"/>
  <c r="O16" i="17"/>
  <c r="O17" i="17"/>
  <c r="O18" i="17"/>
  <c r="Q18" i="17" s="1"/>
  <c r="O19" i="17"/>
  <c r="Q19" i="17" s="1"/>
  <c r="O20" i="17"/>
  <c r="Q20" i="17" s="1"/>
  <c r="O21" i="17"/>
  <c r="O22" i="17"/>
  <c r="O23" i="17"/>
  <c r="R23" i="17" s="1"/>
  <c r="O24" i="17"/>
  <c r="R24" i="17" s="1"/>
  <c r="O25" i="17"/>
  <c r="R25" i="17" s="1"/>
  <c r="O26" i="17"/>
  <c r="R26" i="17" s="1"/>
  <c r="O27" i="17"/>
  <c r="P27" i="17" s="1"/>
  <c r="O28" i="17"/>
  <c r="P28" i="17" s="1"/>
  <c r="O29" i="17"/>
  <c r="O30" i="17"/>
  <c r="O31" i="17"/>
  <c r="O32" i="17"/>
  <c r="O12" i="17"/>
  <c r="E53" i="17"/>
  <c r="E54" i="17"/>
  <c r="E55" i="17"/>
  <c r="E56" i="17"/>
  <c r="E57" i="17"/>
  <c r="E58" i="17"/>
  <c r="E59" i="17"/>
  <c r="E60" i="17"/>
  <c r="E61" i="17"/>
  <c r="E5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12" i="17"/>
  <c r="P36" i="15"/>
  <c r="P37" i="15"/>
  <c r="P38" i="15"/>
  <c r="P39" i="15"/>
  <c r="T39" i="15" s="1"/>
  <c r="P40" i="15"/>
  <c r="P41" i="15"/>
  <c r="P42" i="15"/>
  <c r="P35" i="15"/>
  <c r="T35" i="15" s="1"/>
  <c r="P11" i="15"/>
  <c r="P12" i="15"/>
  <c r="P13" i="15"/>
  <c r="P14" i="15"/>
  <c r="P15" i="15"/>
  <c r="Q15" i="15" s="1"/>
  <c r="P16" i="15"/>
  <c r="Q16" i="15" s="1"/>
  <c r="P17" i="15"/>
  <c r="Q17" i="15" s="1"/>
  <c r="P18" i="15"/>
  <c r="P19" i="15"/>
  <c r="P20" i="15"/>
  <c r="P21" i="15"/>
  <c r="P22" i="15"/>
  <c r="P23" i="15"/>
  <c r="P24" i="15"/>
  <c r="T24" i="15" s="1"/>
  <c r="P25" i="15"/>
  <c r="T25" i="15" s="1"/>
  <c r="P26" i="15"/>
  <c r="T26" i="15" s="1"/>
  <c r="P27" i="15"/>
  <c r="T27" i="15" s="1"/>
  <c r="P28" i="15"/>
  <c r="P29" i="15"/>
  <c r="P30" i="15"/>
  <c r="T30" i="15" s="1"/>
  <c r="P10" i="15"/>
  <c r="T10" i="15" s="1"/>
  <c r="E11" i="15"/>
  <c r="G11" i="15" s="1"/>
  <c r="E12" i="15"/>
  <c r="G12" i="15" s="1"/>
  <c r="E13" i="15"/>
  <c r="G13" i="15" s="1"/>
  <c r="E14" i="15"/>
  <c r="G14" i="15" s="1"/>
  <c r="E15" i="15"/>
  <c r="G15" i="15" s="1"/>
  <c r="E16" i="15"/>
  <c r="G16" i="15" s="1"/>
  <c r="E17" i="15"/>
  <c r="G17" i="15" s="1"/>
  <c r="E18" i="15"/>
  <c r="H18" i="15" s="1"/>
  <c r="E19" i="15"/>
  <c r="G19" i="15" s="1"/>
  <c r="E20" i="15"/>
  <c r="H20" i="15" s="1"/>
  <c r="E21" i="15"/>
  <c r="H21" i="15" s="1"/>
  <c r="E22" i="15"/>
  <c r="H22" i="15" s="1"/>
  <c r="E23" i="15"/>
  <c r="F23" i="15" s="1"/>
  <c r="E24" i="15"/>
  <c r="F24" i="15" s="1"/>
  <c r="E25" i="15"/>
  <c r="F25" i="15" s="1"/>
  <c r="E26" i="15"/>
  <c r="F26" i="15" s="1"/>
  <c r="E27" i="15"/>
  <c r="H27" i="15" s="1"/>
  <c r="E28" i="15"/>
  <c r="E29" i="15"/>
  <c r="F29" i="15" s="1"/>
  <c r="E30" i="15"/>
  <c r="G30" i="15" s="1"/>
  <c r="E31" i="15"/>
  <c r="G31" i="15" s="1"/>
  <c r="E32" i="15"/>
  <c r="F32" i="15" s="1"/>
  <c r="E33" i="15"/>
  <c r="G33" i="15" s="1"/>
  <c r="E34" i="15"/>
  <c r="G34" i="15" s="1"/>
  <c r="E35" i="15"/>
  <c r="G35" i="15" s="1"/>
  <c r="E36" i="15"/>
  <c r="G36" i="15" s="1"/>
  <c r="E37" i="15"/>
  <c r="G37" i="15" s="1"/>
  <c r="E38" i="15"/>
  <c r="G38" i="15" s="1"/>
  <c r="E39" i="15"/>
  <c r="G39" i="15" s="1"/>
  <c r="E40" i="15"/>
  <c r="G40" i="15" s="1"/>
  <c r="E41" i="15"/>
  <c r="G41" i="15" s="1"/>
  <c r="E42" i="15"/>
  <c r="F42" i="15" s="1"/>
  <c r="E43" i="15"/>
  <c r="G43" i="15" s="1"/>
  <c r="E44" i="15"/>
  <c r="H44" i="15" s="1"/>
  <c r="E10" i="15"/>
  <c r="H10" i="15" s="1"/>
  <c r="F43" i="20" l="1"/>
  <c r="H30" i="20"/>
  <c r="J24" i="20"/>
  <c r="I24" i="20"/>
  <c r="J58" i="20"/>
  <c r="I58" i="20"/>
  <c r="I56" i="20"/>
  <c r="J56" i="20"/>
  <c r="I9" i="20"/>
  <c r="J9" i="20"/>
  <c r="J20" i="20"/>
  <c r="I20" i="20"/>
  <c r="I43" i="20"/>
  <c r="J43" i="20"/>
  <c r="J19" i="20"/>
  <c r="I19" i="20"/>
  <c r="J54" i="20"/>
  <c r="I54" i="20"/>
  <c r="I42" i="20"/>
  <c r="J42" i="20"/>
  <c r="I18" i="20"/>
  <c r="J18" i="20"/>
  <c r="I53" i="20"/>
  <c r="J53" i="20"/>
  <c r="J41" i="20"/>
  <c r="I41" i="20"/>
  <c r="I17" i="20"/>
  <c r="J17" i="20"/>
  <c r="J52" i="20"/>
  <c r="I52" i="20"/>
  <c r="H29" i="20"/>
  <c r="I59" i="20"/>
  <c r="J59" i="20"/>
  <c r="J23" i="20"/>
  <c r="I23" i="20"/>
  <c r="J57" i="20"/>
  <c r="I57" i="20"/>
  <c r="I21" i="20"/>
  <c r="J21" i="20"/>
  <c r="I55" i="20"/>
  <c r="J55" i="20"/>
  <c r="J40" i="20"/>
  <c r="I40" i="20"/>
  <c r="J16" i="20"/>
  <c r="I16" i="20"/>
  <c r="J51" i="20"/>
  <c r="I51" i="20"/>
  <c r="I39" i="20"/>
  <c r="J39" i="20"/>
  <c r="I15" i="20"/>
  <c r="J15" i="20"/>
  <c r="J50" i="20"/>
  <c r="I50" i="20"/>
  <c r="F9" i="20"/>
  <c r="F51" i="20"/>
  <c r="J38" i="20"/>
  <c r="I38" i="20"/>
  <c r="I14" i="20"/>
  <c r="J14" i="20"/>
  <c r="J49" i="20"/>
  <c r="I49" i="20"/>
  <c r="G9" i="20"/>
  <c r="F50" i="20"/>
  <c r="H78" i="20"/>
  <c r="F34" i="20"/>
  <c r="I34" i="20"/>
  <c r="J34" i="20"/>
  <c r="J10" i="20"/>
  <c r="I10" i="20"/>
  <c r="J77" i="20"/>
  <c r="I77" i="20"/>
  <c r="F41" i="20"/>
  <c r="J11" i="20"/>
  <c r="I11" i="20"/>
  <c r="F32" i="20"/>
  <c r="J32" i="20"/>
  <c r="I32" i="20"/>
  <c r="J67" i="20"/>
  <c r="I67" i="20"/>
  <c r="J75" i="20"/>
  <c r="I75" i="20"/>
  <c r="I31" i="20"/>
  <c r="J31" i="20"/>
  <c r="J66" i="20"/>
  <c r="I66" i="20"/>
  <c r="I74" i="20"/>
  <c r="J74" i="20"/>
  <c r="I60" i="20"/>
  <c r="J60" i="20"/>
  <c r="J48" i="20"/>
  <c r="I48" i="20"/>
  <c r="J71" i="20"/>
  <c r="I71" i="20"/>
  <c r="F35" i="20"/>
  <c r="J35" i="20"/>
  <c r="I35" i="20"/>
  <c r="F40" i="20"/>
  <c r="J30" i="20"/>
  <c r="I30" i="20"/>
  <c r="J65" i="20"/>
  <c r="I65" i="20"/>
  <c r="I73" i="20"/>
  <c r="J73" i="20"/>
  <c r="F18" i="20"/>
  <c r="J13" i="20"/>
  <c r="I13" i="20"/>
  <c r="J12" i="20"/>
  <c r="I12" i="20"/>
  <c r="I78" i="20"/>
  <c r="J78" i="20"/>
  <c r="F33" i="20"/>
  <c r="J33" i="20"/>
  <c r="I33" i="20"/>
  <c r="F78" i="20"/>
  <c r="I29" i="20"/>
  <c r="J29" i="20"/>
  <c r="F64" i="20"/>
  <c r="J64" i="20"/>
  <c r="I64" i="20"/>
  <c r="J72" i="20"/>
  <c r="I72" i="20"/>
  <c r="F17" i="20"/>
  <c r="J22" i="20"/>
  <c r="I22" i="20"/>
  <c r="F71" i="20"/>
  <c r="I28" i="20"/>
  <c r="J28" i="20"/>
  <c r="I63" i="20"/>
  <c r="J63" i="20"/>
  <c r="F16" i="20"/>
  <c r="J25" i="20"/>
  <c r="I25" i="20"/>
  <c r="J37" i="20"/>
  <c r="I37" i="20"/>
  <c r="I76" i="20"/>
  <c r="J76" i="20"/>
  <c r="J27" i="20"/>
  <c r="I27" i="20"/>
  <c r="I62" i="20"/>
  <c r="J62" i="20"/>
  <c r="G39" i="20"/>
  <c r="I36" i="20"/>
  <c r="J36" i="20"/>
  <c r="I47" i="20"/>
  <c r="J47" i="20"/>
  <c r="I26" i="20"/>
  <c r="J26" i="20"/>
  <c r="J61" i="20"/>
  <c r="I61" i="20"/>
  <c r="G33" i="20"/>
  <c r="P14" i="25"/>
  <c r="Q15" i="25"/>
  <c r="P15" i="25"/>
  <c r="P13" i="25"/>
  <c r="O59" i="25"/>
  <c r="O57" i="25"/>
  <c r="P56" i="25"/>
  <c r="O56" i="25"/>
  <c r="P55" i="25"/>
  <c r="O55" i="25"/>
  <c r="P42" i="25"/>
  <c r="O41" i="25"/>
  <c r="Q43" i="25"/>
  <c r="O40" i="25"/>
  <c r="P40" i="25"/>
  <c r="Q42" i="25"/>
  <c r="P39" i="25"/>
  <c r="O38" i="25"/>
  <c r="O39" i="25"/>
  <c r="O37" i="25"/>
  <c r="O17" i="25"/>
  <c r="P18" i="25"/>
  <c r="Q19" i="25"/>
  <c r="G53" i="17"/>
  <c r="F53" i="17"/>
  <c r="H53" i="17"/>
  <c r="G54" i="17"/>
  <c r="F54" i="17"/>
  <c r="H54" i="17"/>
  <c r="F61" i="17"/>
  <c r="H61" i="17"/>
  <c r="G61" i="17"/>
  <c r="H55" i="17"/>
  <c r="G55" i="17"/>
  <c r="F55" i="17"/>
  <c r="H52" i="17"/>
  <c r="G52" i="17"/>
  <c r="F52" i="17"/>
  <c r="H60" i="17"/>
  <c r="G60" i="17"/>
  <c r="F60" i="17"/>
  <c r="H59" i="17"/>
  <c r="G59" i="17"/>
  <c r="F59" i="17"/>
  <c r="H58" i="17"/>
  <c r="G58" i="17"/>
  <c r="F58" i="17"/>
  <c r="G57" i="17"/>
  <c r="F57" i="17"/>
  <c r="H57" i="17"/>
  <c r="H56" i="17"/>
  <c r="G56" i="17"/>
  <c r="F56" i="17"/>
  <c r="R27" i="17"/>
  <c r="G48" i="26"/>
  <c r="G24" i="26"/>
  <c r="G47" i="26"/>
  <c r="G23" i="26"/>
  <c r="H13" i="26"/>
  <c r="G11" i="26"/>
  <c r="H11" i="26"/>
  <c r="H37" i="26"/>
  <c r="H58" i="26"/>
  <c r="G35" i="26"/>
  <c r="I58" i="26"/>
  <c r="I34" i="26"/>
  <c r="H57" i="26"/>
  <c r="H33" i="26"/>
  <c r="I57" i="26"/>
  <c r="I33" i="26"/>
  <c r="H56" i="26"/>
  <c r="H32" i="26"/>
  <c r="I56" i="26"/>
  <c r="I32" i="26"/>
  <c r="H55" i="26"/>
  <c r="H31" i="26"/>
  <c r="H54" i="26"/>
  <c r="H30" i="26"/>
  <c r="I54" i="26"/>
  <c r="I30" i="26"/>
  <c r="H26" i="26"/>
  <c r="I50" i="26"/>
  <c r="I26" i="26"/>
  <c r="H25" i="26"/>
  <c r="H50" i="26"/>
  <c r="H49" i="26"/>
  <c r="I49" i="26"/>
  <c r="I25" i="26"/>
  <c r="H48" i="26"/>
  <c r="H24" i="26"/>
  <c r="O54" i="25"/>
  <c r="O30" i="25"/>
  <c r="O53" i="25"/>
  <c r="O29" i="25"/>
  <c r="P54" i="25"/>
  <c r="P30" i="25"/>
  <c r="O52" i="25"/>
  <c r="P53" i="25"/>
  <c r="P29" i="25"/>
  <c r="O51" i="25"/>
  <c r="O27" i="25"/>
  <c r="P52" i="25"/>
  <c r="O50" i="25"/>
  <c r="O26" i="25"/>
  <c r="P51" i="25"/>
  <c r="P27" i="25"/>
  <c r="O49" i="25"/>
  <c r="P50" i="25"/>
  <c r="P26" i="25"/>
  <c r="O25" i="25"/>
  <c r="O48" i="25"/>
  <c r="O24" i="25"/>
  <c r="P49" i="25"/>
  <c r="P25" i="25"/>
  <c r="O46" i="25"/>
  <c r="O22" i="25"/>
  <c r="P47" i="25"/>
  <c r="P23" i="25"/>
  <c r="Q48" i="25"/>
  <c r="Q24" i="25"/>
  <c r="O45" i="25"/>
  <c r="O21" i="25"/>
  <c r="P46" i="25"/>
  <c r="P22" i="25"/>
  <c r="Q47" i="25"/>
  <c r="Q23" i="25"/>
  <c r="O20" i="25"/>
  <c r="P45" i="25"/>
  <c r="P21" i="25"/>
  <c r="O43" i="25"/>
  <c r="O19" i="25"/>
  <c r="P20" i="25"/>
  <c r="H37" i="25"/>
  <c r="H13" i="25"/>
  <c r="I38" i="25"/>
  <c r="I14" i="25"/>
  <c r="J39" i="25"/>
  <c r="J15" i="25"/>
  <c r="H60" i="25"/>
  <c r="H36" i="25"/>
  <c r="H12" i="25"/>
  <c r="I37" i="25"/>
  <c r="I13" i="25"/>
  <c r="J38" i="25"/>
  <c r="J14" i="25"/>
  <c r="H59" i="25"/>
  <c r="H35" i="25"/>
  <c r="I60" i="25"/>
  <c r="I36" i="25"/>
  <c r="I12" i="25"/>
  <c r="H58" i="25"/>
  <c r="H34" i="25"/>
  <c r="I59" i="25"/>
  <c r="I35" i="25"/>
  <c r="H57" i="25"/>
  <c r="H33" i="25"/>
  <c r="I58" i="25"/>
  <c r="I34" i="25"/>
  <c r="H56" i="25"/>
  <c r="H32" i="25"/>
  <c r="I57" i="25"/>
  <c r="I33" i="25"/>
  <c r="H55" i="25"/>
  <c r="H31" i="25"/>
  <c r="I56" i="25"/>
  <c r="I32" i="25"/>
  <c r="H54" i="25"/>
  <c r="H30" i="25"/>
  <c r="I55" i="25"/>
  <c r="I31" i="25"/>
  <c r="H53" i="25"/>
  <c r="H29" i="25"/>
  <c r="I54" i="25"/>
  <c r="I30" i="25"/>
  <c r="H52" i="25"/>
  <c r="I53" i="25"/>
  <c r="I29" i="25"/>
  <c r="H51" i="25"/>
  <c r="H27" i="25"/>
  <c r="I52" i="25"/>
  <c r="H50" i="25"/>
  <c r="H26" i="25"/>
  <c r="I51" i="25"/>
  <c r="I27" i="25"/>
  <c r="H49" i="25"/>
  <c r="H25" i="25"/>
  <c r="I50" i="25"/>
  <c r="I26" i="25"/>
  <c r="H48" i="25"/>
  <c r="H24" i="25"/>
  <c r="I49" i="25"/>
  <c r="I25" i="25"/>
  <c r="H47" i="25"/>
  <c r="H23" i="25"/>
  <c r="I48" i="25"/>
  <c r="I24" i="25"/>
  <c r="H46" i="25"/>
  <c r="H22" i="25"/>
  <c r="I47" i="25"/>
  <c r="I23" i="25"/>
  <c r="H45" i="25"/>
  <c r="H21" i="25"/>
  <c r="I46" i="25"/>
  <c r="I22" i="25"/>
  <c r="H20" i="25"/>
  <c r="I45" i="25"/>
  <c r="I21" i="25"/>
  <c r="H43" i="25"/>
  <c r="H19" i="25"/>
  <c r="I20" i="25"/>
  <c r="H11" i="25"/>
  <c r="H42" i="25"/>
  <c r="H18" i="25"/>
  <c r="I43" i="25"/>
  <c r="I19" i="25"/>
  <c r="I11" i="25"/>
  <c r="H41" i="25"/>
  <c r="H17" i="25"/>
  <c r="I42" i="25"/>
  <c r="I18" i="25"/>
  <c r="H40" i="25"/>
  <c r="H16" i="25"/>
  <c r="I41" i="25"/>
  <c r="I17" i="25"/>
  <c r="H39" i="25"/>
  <c r="H15" i="25"/>
  <c r="I40" i="25"/>
  <c r="I16" i="25"/>
  <c r="F20" i="15"/>
  <c r="H34" i="15"/>
  <c r="S24" i="15"/>
  <c r="Q29" i="15"/>
  <c r="T29" i="15"/>
  <c r="R38" i="15"/>
  <c r="T38" i="15"/>
  <c r="F19" i="15"/>
  <c r="H33" i="15"/>
  <c r="S15" i="15"/>
  <c r="S14" i="15"/>
  <c r="T14" i="15"/>
  <c r="G18" i="15"/>
  <c r="S12" i="15"/>
  <c r="T12" i="15"/>
  <c r="H39" i="15"/>
  <c r="H38" i="15"/>
  <c r="Q36" i="15"/>
  <c r="T36" i="15"/>
  <c r="F17" i="15"/>
  <c r="H31" i="15"/>
  <c r="R35" i="15"/>
  <c r="R16" i="15"/>
  <c r="T16" i="15"/>
  <c r="R15" i="15"/>
  <c r="T15" i="15"/>
  <c r="H43" i="15"/>
  <c r="S13" i="15"/>
  <c r="T13" i="15"/>
  <c r="H42" i="15"/>
  <c r="H41" i="15"/>
  <c r="S41" i="15"/>
  <c r="T41" i="15"/>
  <c r="H36" i="15"/>
  <c r="Q28" i="15"/>
  <c r="T28" i="15"/>
  <c r="Q37" i="15"/>
  <c r="T37" i="15"/>
  <c r="Q35" i="15"/>
  <c r="F13" i="15"/>
  <c r="H30" i="15"/>
  <c r="Q14" i="15"/>
  <c r="S35" i="15"/>
  <c r="F18" i="15"/>
  <c r="F12" i="15"/>
  <c r="H29" i="15"/>
  <c r="Q13" i="15"/>
  <c r="R36" i="15"/>
  <c r="R42" i="15"/>
  <c r="T42" i="15"/>
  <c r="F11" i="15"/>
  <c r="Q22" i="15"/>
  <c r="T22" i="15"/>
  <c r="F10" i="15"/>
  <c r="H19" i="15"/>
  <c r="R29" i="15"/>
  <c r="S37" i="15"/>
  <c r="Q23" i="15"/>
  <c r="T23" i="15"/>
  <c r="R30" i="15"/>
  <c r="R37" i="15"/>
  <c r="Q21" i="15"/>
  <c r="T21" i="15"/>
  <c r="F44" i="15"/>
  <c r="G32" i="15"/>
  <c r="R28" i="15"/>
  <c r="Q38" i="15"/>
  <c r="R17" i="15"/>
  <c r="T17" i="15"/>
  <c r="S11" i="15"/>
  <c r="T11" i="15"/>
  <c r="H40" i="15"/>
  <c r="H37" i="15"/>
  <c r="R40" i="15"/>
  <c r="T40" i="15"/>
  <c r="G42" i="15"/>
  <c r="Q20" i="15"/>
  <c r="T20" i="15"/>
  <c r="F43" i="15"/>
  <c r="Q19" i="15"/>
  <c r="T19" i="15"/>
  <c r="H16" i="15"/>
  <c r="R26" i="15"/>
  <c r="Q39" i="15"/>
  <c r="Q12" i="15"/>
  <c r="H17" i="15"/>
  <c r="R18" i="15"/>
  <c r="T18" i="15"/>
  <c r="F41" i="15"/>
  <c r="G29" i="15"/>
  <c r="H15" i="15"/>
  <c r="R25" i="15"/>
  <c r="R39" i="15"/>
  <c r="F19" i="20"/>
  <c r="F54" i="20"/>
  <c r="H40" i="20"/>
  <c r="F27" i="20"/>
  <c r="G62" i="20"/>
  <c r="G61" i="20"/>
  <c r="G60" i="20"/>
  <c r="G24" i="20"/>
  <c r="G59" i="20"/>
  <c r="G23" i="20"/>
  <c r="F58" i="20"/>
  <c r="G22" i="20"/>
  <c r="F57" i="20"/>
  <c r="H21" i="20"/>
  <c r="F56" i="20"/>
  <c r="H20" i="20"/>
  <c r="F55" i="20"/>
  <c r="G18" i="20"/>
  <c r="F53" i="20"/>
  <c r="G17" i="20"/>
  <c r="H52" i="20"/>
  <c r="G16" i="20"/>
  <c r="H51" i="20"/>
  <c r="F39" i="20"/>
  <c r="F15" i="20"/>
  <c r="H50" i="20"/>
  <c r="G25" i="20"/>
  <c r="G26" i="20"/>
  <c r="F12" i="20"/>
  <c r="F38" i="20"/>
  <c r="H37" i="20"/>
  <c r="H71" i="20"/>
  <c r="H35" i="20"/>
  <c r="H11" i="20"/>
  <c r="F49" i="20"/>
  <c r="H34" i="20"/>
  <c r="H10" i="20"/>
  <c r="F77" i="20"/>
  <c r="H49" i="20"/>
  <c r="H33" i="20"/>
  <c r="G76" i="20"/>
  <c r="F11" i="20"/>
  <c r="G55" i="20"/>
  <c r="H32" i="20"/>
  <c r="H67" i="20"/>
  <c r="F75" i="20"/>
  <c r="F10" i="20"/>
  <c r="G54" i="20"/>
  <c r="H31" i="20"/>
  <c r="H66" i="20"/>
  <c r="F74" i="20"/>
  <c r="G43" i="20"/>
  <c r="G53" i="20"/>
  <c r="H65" i="20"/>
  <c r="F73" i="20"/>
  <c r="G42" i="20"/>
  <c r="G52" i="20"/>
  <c r="F14" i="20"/>
  <c r="F13" i="20"/>
  <c r="F36" i="20"/>
  <c r="G29" i="20"/>
  <c r="H64" i="20"/>
  <c r="F72" i="20"/>
  <c r="G41" i="20"/>
  <c r="G51" i="20"/>
  <c r="F48" i="20"/>
  <c r="H47" i="20"/>
  <c r="H28" i="20"/>
  <c r="G63" i="20"/>
  <c r="G40" i="20"/>
  <c r="G50" i="20"/>
  <c r="H19" i="20"/>
  <c r="H17" i="20"/>
  <c r="H54" i="20"/>
  <c r="H16" i="20"/>
  <c r="H55" i="20"/>
  <c r="H15" i="20"/>
  <c r="F31" i="20"/>
  <c r="F65" i="20"/>
  <c r="H53" i="20"/>
  <c r="G28" i="20"/>
  <c r="G27" i="20"/>
  <c r="F63" i="20"/>
  <c r="F28" i="20"/>
  <c r="G21" i="20"/>
  <c r="F62" i="20"/>
  <c r="F23" i="20"/>
  <c r="G19" i="20"/>
  <c r="F60" i="20"/>
  <c r="H48" i="20"/>
  <c r="H63" i="20"/>
  <c r="H59" i="20"/>
  <c r="H18" i="20"/>
  <c r="H56" i="20"/>
  <c r="F61" i="20"/>
  <c r="F22" i="20"/>
  <c r="F59" i="20"/>
  <c r="H27" i="20"/>
  <c r="G20" i="20"/>
  <c r="F21" i="20"/>
  <c r="G58" i="20"/>
  <c r="H61" i="20"/>
  <c r="H60" i="20"/>
  <c r="H58" i="20"/>
  <c r="F20" i="20"/>
  <c r="G57" i="20"/>
  <c r="H62" i="20"/>
  <c r="H57" i="20"/>
  <c r="G15" i="20"/>
  <c r="G56" i="20"/>
  <c r="H75" i="20"/>
  <c r="G72" i="20"/>
  <c r="H73" i="20"/>
  <c r="G73" i="20"/>
  <c r="H72" i="20"/>
  <c r="G71" i="20"/>
  <c r="H74" i="20"/>
  <c r="G74" i="20"/>
  <c r="H77" i="20"/>
  <c r="G77" i="20"/>
  <c r="G75" i="20"/>
  <c r="H76" i="20"/>
  <c r="F67" i="20"/>
  <c r="F66" i="20"/>
  <c r="G48" i="20"/>
  <c r="G65" i="20"/>
  <c r="G67" i="20"/>
  <c r="G64" i="20"/>
  <c r="G66" i="20"/>
  <c r="F47" i="20"/>
  <c r="G47" i="20"/>
  <c r="H24" i="20"/>
  <c r="H26" i="20"/>
  <c r="H25" i="20"/>
  <c r="G38" i="20"/>
  <c r="G14" i="20"/>
  <c r="G37" i="20"/>
  <c r="G13" i="20"/>
  <c r="H23" i="20"/>
  <c r="F26" i="20"/>
  <c r="G36" i="20"/>
  <c r="G12" i="20"/>
  <c r="H22" i="20"/>
  <c r="F25" i="20"/>
  <c r="G35" i="20"/>
  <c r="G11" i="20"/>
  <c r="F24" i="20"/>
  <c r="G34" i="20"/>
  <c r="G10" i="20"/>
  <c r="H14" i="20"/>
  <c r="H13" i="20"/>
  <c r="H36" i="20"/>
  <c r="H12" i="20"/>
  <c r="F37" i="20"/>
  <c r="H38" i="20"/>
  <c r="F40" i="15"/>
  <c r="F16" i="15"/>
  <c r="F39" i="15"/>
  <c r="F15" i="15"/>
  <c r="G26" i="15"/>
  <c r="Q11" i="15"/>
  <c r="F38" i="15"/>
  <c r="F14" i="15"/>
  <c r="G25" i="15"/>
  <c r="H35" i="15"/>
  <c r="H11" i="15"/>
  <c r="G22" i="15"/>
  <c r="S23" i="15"/>
  <c r="G10" i="15"/>
  <c r="G21" i="15"/>
  <c r="S22" i="15"/>
  <c r="G44" i="15"/>
  <c r="G20" i="15"/>
  <c r="S21" i="15"/>
  <c r="S20" i="15"/>
  <c r="G23" i="15"/>
  <c r="R23" i="15"/>
  <c r="S19" i="15"/>
  <c r="R22" i="15"/>
  <c r="S18" i="15"/>
  <c r="Q41" i="15"/>
  <c r="H26" i="15"/>
  <c r="R21" i="15"/>
  <c r="S17" i="15"/>
  <c r="R41" i="15"/>
  <c r="H24" i="15"/>
  <c r="S42" i="15"/>
  <c r="G24" i="15"/>
  <c r="H25" i="15"/>
  <c r="R20" i="15"/>
  <c r="S16" i="15"/>
  <c r="R19" i="15"/>
  <c r="H23" i="15"/>
  <c r="J39" i="31"/>
  <c r="L38" i="31"/>
  <c r="K38" i="31"/>
  <c r="L37" i="31"/>
  <c r="K37" i="31"/>
  <c r="L36" i="31"/>
  <c r="L35" i="31"/>
  <c r="K35" i="31"/>
  <c r="J34" i="31"/>
  <c r="L39" i="31"/>
  <c r="K36" i="31"/>
  <c r="L33" i="31"/>
  <c r="K33" i="31"/>
  <c r="P37" i="13"/>
  <c r="P38" i="13"/>
  <c r="P39" i="13"/>
  <c r="P40" i="13"/>
  <c r="P41" i="13"/>
  <c r="P42" i="13"/>
  <c r="P43" i="13"/>
  <c r="P44" i="13"/>
  <c r="P36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11" i="13"/>
  <c r="G29" i="13" l="1"/>
  <c r="F29" i="13"/>
  <c r="H29" i="13"/>
  <c r="S26" i="13"/>
  <c r="Q26" i="13"/>
  <c r="R26" i="13"/>
  <c r="G28" i="13"/>
  <c r="F28" i="13"/>
  <c r="H28" i="13"/>
  <c r="G27" i="13"/>
  <c r="F27" i="13"/>
  <c r="H27" i="13"/>
  <c r="S22" i="13"/>
  <c r="Q22" i="13"/>
  <c r="R22" i="13"/>
  <c r="G24" i="13"/>
  <c r="F24" i="13"/>
  <c r="H24" i="13"/>
  <c r="Q20" i="13"/>
  <c r="R20" i="13"/>
  <c r="S20" i="13"/>
  <c r="F22" i="13"/>
  <c r="H22" i="13"/>
  <c r="G22" i="13"/>
  <c r="Q18" i="13"/>
  <c r="R18" i="13"/>
  <c r="S18" i="13"/>
  <c r="Q17" i="13"/>
  <c r="R17" i="13"/>
  <c r="S17" i="13"/>
  <c r="Q16" i="13"/>
  <c r="R16" i="13"/>
  <c r="S16" i="13"/>
  <c r="Q15" i="13"/>
  <c r="R15" i="13"/>
  <c r="S15" i="13"/>
  <c r="Q14" i="13"/>
  <c r="R14" i="13"/>
  <c r="S14" i="13"/>
  <c r="R13" i="13"/>
  <c r="S13" i="13"/>
  <c r="Q13" i="13"/>
  <c r="Q12" i="13"/>
  <c r="R12" i="13"/>
  <c r="S12" i="13"/>
  <c r="F14" i="13"/>
  <c r="H14" i="13"/>
  <c r="G14" i="13"/>
  <c r="H37" i="13"/>
  <c r="F37" i="13"/>
  <c r="G37" i="13"/>
  <c r="Q44" i="13"/>
  <c r="S44" i="13"/>
  <c r="R44" i="13"/>
  <c r="H12" i="13"/>
  <c r="F12" i="13"/>
  <c r="G12" i="13"/>
  <c r="Q43" i="13"/>
  <c r="S43" i="13"/>
  <c r="R43" i="13"/>
  <c r="G35" i="13"/>
  <c r="F35" i="13"/>
  <c r="H35" i="13"/>
  <c r="Q42" i="13"/>
  <c r="S42" i="13"/>
  <c r="R42" i="13"/>
  <c r="G34" i="13"/>
  <c r="F34" i="13"/>
  <c r="H34" i="13"/>
  <c r="R31" i="13"/>
  <c r="S31" i="13"/>
  <c r="Q31" i="13"/>
  <c r="S41" i="13"/>
  <c r="Q41" i="13"/>
  <c r="R41" i="13"/>
  <c r="S25" i="13"/>
  <c r="Q25" i="13"/>
  <c r="R25" i="13"/>
  <c r="Q23" i="13"/>
  <c r="R23" i="13"/>
  <c r="S23" i="13"/>
  <c r="F23" i="13"/>
  <c r="G23" i="13"/>
  <c r="H23" i="13"/>
  <c r="F11" i="13"/>
  <c r="H11" i="13"/>
  <c r="G11" i="13"/>
  <c r="F21" i="13"/>
  <c r="H21" i="13"/>
  <c r="G21" i="13"/>
  <c r="F44" i="13"/>
  <c r="H44" i="13"/>
  <c r="G44" i="13"/>
  <c r="F43" i="13"/>
  <c r="H43" i="13"/>
  <c r="G43" i="13"/>
  <c r="F42" i="13"/>
  <c r="H42" i="13"/>
  <c r="G42" i="13"/>
  <c r="F17" i="13"/>
  <c r="H17" i="13"/>
  <c r="G17" i="13"/>
  <c r="H16" i="13"/>
  <c r="F16" i="13"/>
  <c r="G16" i="13"/>
  <c r="F15" i="13"/>
  <c r="H15" i="13"/>
  <c r="G15" i="13"/>
  <c r="F38" i="13"/>
  <c r="H38" i="13"/>
  <c r="G38" i="13"/>
  <c r="H13" i="13"/>
  <c r="F13" i="13"/>
  <c r="G13" i="13"/>
  <c r="H36" i="13"/>
  <c r="G36" i="13"/>
  <c r="F36" i="13"/>
  <c r="R11" i="13"/>
  <c r="Q11" i="13"/>
  <c r="S11" i="13"/>
  <c r="G33" i="13"/>
  <c r="F33" i="13"/>
  <c r="H33" i="13"/>
  <c r="Q30" i="13"/>
  <c r="R30" i="13"/>
  <c r="S30" i="13"/>
  <c r="S40" i="13"/>
  <c r="R40" i="13"/>
  <c r="Q40" i="13"/>
  <c r="G32" i="13"/>
  <c r="H32" i="13"/>
  <c r="F32" i="13"/>
  <c r="S29" i="13"/>
  <c r="Q29" i="13"/>
  <c r="R29" i="13"/>
  <c r="Q39" i="13"/>
  <c r="R39" i="13"/>
  <c r="S39" i="13"/>
  <c r="S24" i="13"/>
  <c r="Q24" i="13"/>
  <c r="R24" i="13"/>
  <c r="G26" i="13"/>
  <c r="F26" i="13"/>
  <c r="H26" i="13"/>
  <c r="G25" i="13"/>
  <c r="F25" i="13"/>
  <c r="H25" i="13"/>
  <c r="Q21" i="13"/>
  <c r="S21" i="13"/>
  <c r="R21" i="13"/>
  <c r="Q19" i="13"/>
  <c r="R19" i="13"/>
  <c r="S19" i="13"/>
  <c r="F45" i="13"/>
  <c r="H45" i="13"/>
  <c r="G45" i="13"/>
  <c r="F20" i="13"/>
  <c r="H20" i="13"/>
  <c r="G20" i="13"/>
  <c r="F19" i="13"/>
  <c r="H19" i="13"/>
  <c r="G19" i="13"/>
  <c r="F18" i="13"/>
  <c r="H18" i="13"/>
  <c r="G18" i="13"/>
  <c r="F41" i="13"/>
  <c r="H41" i="13"/>
  <c r="G41" i="13"/>
  <c r="H40" i="13"/>
  <c r="F40" i="13"/>
  <c r="G40" i="13"/>
  <c r="F39" i="13"/>
  <c r="H39" i="13"/>
  <c r="G39" i="13"/>
  <c r="Q36" i="13"/>
  <c r="S36" i="13"/>
  <c r="R36" i="13"/>
  <c r="G31" i="13"/>
  <c r="F31" i="13"/>
  <c r="H31" i="13"/>
  <c r="S28" i="13"/>
  <c r="R28" i="13"/>
  <c r="Q28" i="13"/>
  <c r="R38" i="13"/>
  <c r="S38" i="13"/>
  <c r="Q38" i="13"/>
  <c r="G30" i="13"/>
  <c r="F30" i="13"/>
  <c r="H30" i="13"/>
  <c r="S27" i="13"/>
  <c r="R27" i="13"/>
  <c r="Q27" i="13"/>
  <c r="R37" i="13"/>
  <c r="Q37" i="13"/>
  <c r="S37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<sst xmlns="http://schemas.openxmlformats.org/spreadsheetml/2006/main" count="7627" uniqueCount="4911">
  <si>
    <t>Multiplier</t>
  </si>
  <si>
    <t>Part Number</t>
  </si>
  <si>
    <t>16x20x1</t>
  </si>
  <si>
    <t>4 LB.</t>
  </si>
  <si>
    <t>16x25x1</t>
  </si>
  <si>
    <t>5 LB.</t>
  </si>
  <si>
    <t>3 LB.</t>
  </si>
  <si>
    <t>20x20x1</t>
  </si>
  <si>
    <t>20x25x1</t>
  </si>
  <si>
    <t>6 LB.</t>
  </si>
  <si>
    <t>10x10x1</t>
  </si>
  <si>
    <t>14x14x1</t>
  </si>
  <si>
    <t>10x20x1</t>
  </si>
  <si>
    <t>10x24x1</t>
  </si>
  <si>
    <t>14x24x1</t>
  </si>
  <si>
    <t>10x30x1</t>
  </si>
  <si>
    <t>12x12x1</t>
  </si>
  <si>
    <t>12x20x1</t>
  </si>
  <si>
    <t>16x24x1</t>
  </si>
  <si>
    <t>12x24x1</t>
  </si>
  <si>
    <t>16x30x1</t>
  </si>
  <si>
    <t>12x25x1</t>
  </si>
  <si>
    <t>18x18x1</t>
  </si>
  <si>
    <t>12x30x1</t>
  </si>
  <si>
    <t>18x20x1</t>
  </si>
  <si>
    <t>14x20x1</t>
  </si>
  <si>
    <t>18x24x1</t>
  </si>
  <si>
    <t>14x25x1</t>
  </si>
  <si>
    <t>18x30x1</t>
  </si>
  <si>
    <t>14x30x1</t>
  </si>
  <si>
    <t>7 LB.</t>
  </si>
  <si>
    <t>15x20x1</t>
  </si>
  <si>
    <t>16x16x1</t>
  </si>
  <si>
    <t>20x30x1</t>
  </si>
  <si>
    <t>18x25x1</t>
  </si>
  <si>
    <t>8 LB.</t>
  </si>
  <si>
    <t>20x24x1</t>
  </si>
  <si>
    <t>24x30x1</t>
  </si>
  <si>
    <t>22x22x1</t>
  </si>
  <si>
    <t>24x24x1</t>
  </si>
  <si>
    <t>25x25x1</t>
  </si>
  <si>
    <t>12x24x2</t>
  </si>
  <si>
    <t>14x20x2</t>
  </si>
  <si>
    <t>14x25x2</t>
  </si>
  <si>
    <t>15x20x2</t>
  </si>
  <si>
    <t>16x16x2</t>
  </si>
  <si>
    <t>16x20x2</t>
  </si>
  <si>
    <t>16x24x2</t>
  </si>
  <si>
    <t>16x25x2</t>
  </si>
  <si>
    <t>18x24x2</t>
  </si>
  <si>
    <t>20x20x2</t>
  </si>
  <si>
    <t>20x24x2</t>
  </si>
  <si>
    <t>20x25x2</t>
  </si>
  <si>
    <t>24x24x2</t>
  </si>
  <si>
    <t>10 LB.</t>
  </si>
  <si>
    <t>25x25x2</t>
  </si>
  <si>
    <t>11 LB.</t>
  </si>
  <si>
    <t>Number</t>
  </si>
  <si>
    <t xml:space="preserve">  </t>
  </si>
  <si>
    <t>9 LB.</t>
  </si>
  <si>
    <t>Size</t>
  </si>
  <si>
    <t>NOMINAL</t>
  </si>
  <si>
    <t>APPROX.</t>
  </si>
  <si>
    <t>PART</t>
  </si>
  <si>
    <t>NUMBER</t>
  </si>
  <si>
    <t>WEIGHT</t>
  </si>
  <si>
    <t>18 LB.</t>
  </si>
  <si>
    <t>14 LB.</t>
  </si>
  <si>
    <t>26 LB.</t>
  </si>
  <si>
    <t>17 LB.</t>
  </si>
  <si>
    <t>21 LB.</t>
  </si>
  <si>
    <t>30 LB.</t>
  </si>
  <si>
    <t>22 LB.</t>
  </si>
  <si>
    <t>25 LB.</t>
  </si>
  <si>
    <t>33 LB.</t>
  </si>
  <si>
    <t>PRICE</t>
  </si>
  <si>
    <t>STANDARD</t>
  </si>
  <si>
    <t>SIZE</t>
  </si>
  <si>
    <t>19 LB.</t>
  </si>
  <si>
    <t>LIST</t>
  </si>
  <si>
    <t>16 LB.</t>
  </si>
  <si>
    <t>20 LB.</t>
  </si>
  <si>
    <t>28 LB.</t>
  </si>
  <si>
    <t>Filter</t>
  </si>
  <si>
    <t>Nominal</t>
  </si>
  <si>
    <t>QTY</t>
  </si>
  <si>
    <t>SIZES</t>
  </si>
  <si>
    <t>2-Pack</t>
  </si>
  <si>
    <t>12 LB.</t>
  </si>
  <si>
    <t>13 LB.</t>
  </si>
  <si>
    <t>HWP202042PK</t>
  </si>
  <si>
    <t>HWP202542PK</t>
  </si>
  <si>
    <t>15 LB.</t>
  </si>
  <si>
    <t>HWP13204M112PK</t>
  </si>
  <si>
    <t>HWP16204M112PK</t>
  </si>
  <si>
    <t>HWP16254M112PK</t>
  </si>
  <si>
    <t>HWP20204M112PK</t>
  </si>
  <si>
    <t>HWP20254M112PK</t>
  </si>
  <si>
    <t>HWP20204M132PK</t>
  </si>
  <si>
    <t>HWP20254M132PK</t>
  </si>
  <si>
    <t>HWR121242PK</t>
  </si>
  <si>
    <t>HWR122442PK</t>
  </si>
  <si>
    <t>HWR143042PK</t>
  </si>
  <si>
    <t>HWR162042PK</t>
  </si>
  <si>
    <t>HWR162542PK</t>
  </si>
  <si>
    <t>HWR181842PK</t>
  </si>
  <si>
    <t>HWR182442PK</t>
  </si>
  <si>
    <t>HWR183042PK</t>
  </si>
  <si>
    <t>HWR202042PK</t>
  </si>
  <si>
    <t>HWR202442PK</t>
  </si>
  <si>
    <t>HWR202542PK</t>
  </si>
  <si>
    <t>List Price Sheet 6ZL-V</t>
  </si>
  <si>
    <t>Section 6</t>
  </si>
  <si>
    <t>Product Bulletin 6 ZLINE</t>
  </si>
  <si>
    <t>CARTON</t>
  </si>
  <si>
    <t>QUANTITY</t>
  </si>
  <si>
    <t>ZLP10101</t>
  </si>
  <si>
    <t>ZLP10202</t>
  </si>
  <si>
    <t>10x20x2</t>
  </si>
  <si>
    <t>ZLP10201</t>
  </si>
  <si>
    <t>ZLP12122</t>
  </si>
  <si>
    <t>12x12x2</t>
  </si>
  <si>
    <t>ZLP10241</t>
  </si>
  <si>
    <t>ZLP12202</t>
  </si>
  <si>
    <t>12x20x2</t>
  </si>
  <si>
    <t>ZLP10301</t>
  </si>
  <si>
    <t>ZLP12242</t>
  </si>
  <si>
    <t>ZLP12121</t>
  </si>
  <si>
    <t>ZLP14202</t>
  </si>
  <si>
    <t>ZLP12201</t>
  </si>
  <si>
    <t>ZLP14252</t>
  </si>
  <si>
    <t>ZLP12241</t>
  </si>
  <si>
    <t>ZLP15202</t>
  </si>
  <si>
    <t>ZLP12251</t>
  </si>
  <si>
    <t>ZLP16162</t>
  </si>
  <si>
    <t>ZLP12301</t>
  </si>
  <si>
    <t>ZLP16202</t>
  </si>
  <si>
    <t>ZLP14141</t>
  </si>
  <si>
    <t>ZLP16242</t>
  </si>
  <si>
    <t>ZLP14201</t>
  </si>
  <si>
    <t>ZLP16252</t>
  </si>
  <si>
    <t>ZLP14241</t>
  </si>
  <si>
    <t>ZLP18182</t>
  </si>
  <si>
    <t>18x18x2</t>
  </si>
  <si>
    <t>ZLP14251</t>
  </si>
  <si>
    <t>ZLP18202</t>
  </si>
  <si>
    <t>18x20x2</t>
  </si>
  <si>
    <t>ZLP14301</t>
  </si>
  <si>
    <t>ZLP18242</t>
  </si>
  <si>
    <t>ZLP15201</t>
  </si>
  <si>
    <t>ZLP18252</t>
  </si>
  <si>
    <t>18x25x2</t>
  </si>
  <si>
    <t>ZLP1530K1</t>
  </si>
  <si>
    <t>15x30 5/8x1</t>
  </si>
  <si>
    <t>ZLP20202</t>
  </si>
  <si>
    <t>ZLP16161</t>
  </si>
  <si>
    <t>ZLP20242</t>
  </si>
  <si>
    <t>ZLP16201</t>
  </si>
  <si>
    <t xml:space="preserve"> 6 LB.</t>
  </si>
  <si>
    <t>ZLP20252</t>
  </si>
  <si>
    <t>ZLP16241</t>
  </si>
  <si>
    <t>ZLP20302</t>
  </si>
  <si>
    <t>20x30x2</t>
  </si>
  <si>
    <t>ZLP16251</t>
  </si>
  <si>
    <t xml:space="preserve"> 8 LB.</t>
  </si>
  <si>
    <t>ZLP24242</t>
  </si>
  <si>
    <t>ZLP16301</t>
  </si>
  <si>
    <t>ZLP25252</t>
  </si>
  <si>
    <t>ZLP18181</t>
  </si>
  <si>
    <t>ZLP18201</t>
  </si>
  <si>
    <t>ZLP18241</t>
  </si>
  <si>
    <t>ZLP18251</t>
  </si>
  <si>
    <t>ZLP18301</t>
  </si>
  <si>
    <t>ZLP12244</t>
  </si>
  <si>
    <t>12x24x4</t>
  </si>
  <si>
    <t>ZLP20201</t>
  </si>
  <si>
    <t xml:space="preserve"> 7 LB.</t>
  </si>
  <si>
    <t>ZLP16204</t>
  </si>
  <si>
    <t>16x20x4</t>
  </si>
  <si>
    <t>ZLP20221</t>
  </si>
  <si>
    <t>20x22x1</t>
  </si>
  <si>
    <t>ZLP16244</t>
  </si>
  <si>
    <t>16x24x4</t>
  </si>
  <si>
    <t>ZLP20241</t>
  </si>
  <si>
    <t xml:space="preserve"> 9 LB.</t>
  </si>
  <si>
    <t>ZLP16254</t>
  </si>
  <si>
    <t>16x25x4</t>
  </si>
  <si>
    <t>ZLP20251</t>
  </si>
  <si>
    <t>ZLP18244</t>
  </si>
  <si>
    <t>18x24x4</t>
  </si>
  <si>
    <t>ZLP20301</t>
  </si>
  <si>
    <t>ZLP20204</t>
  </si>
  <si>
    <t>20x20x4</t>
  </si>
  <si>
    <t>ZLP22221</t>
  </si>
  <si>
    <t>ZLP20244</t>
  </si>
  <si>
    <t>20x24x4</t>
  </si>
  <si>
    <t>ZLP24241</t>
  </si>
  <si>
    <t xml:space="preserve"> 10 LB.</t>
  </si>
  <si>
    <t>ZLP20254</t>
  </si>
  <si>
    <t>20x25x4</t>
  </si>
  <si>
    <t>ZLP24301</t>
  </si>
  <si>
    <t>ZLP24244</t>
  </si>
  <si>
    <t>24x24x4</t>
  </si>
  <si>
    <t>ZLP25251</t>
  </si>
  <si>
    <t>Semi-Standard Sizes</t>
  </si>
  <si>
    <t>ZLP25294</t>
  </si>
  <si>
    <t>25x29x4</t>
  </si>
  <si>
    <t>ZLP28304</t>
  </si>
  <si>
    <t xml:space="preserve"> 28x30x4</t>
  </si>
  <si>
    <t>List Price Sheet 6HV-W</t>
  </si>
  <si>
    <t>PART #</t>
  </si>
  <si>
    <t>CTN</t>
  </si>
  <si>
    <t>WT</t>
  </si>
  <si>
    <t>HVP10101</t>
  </si>
  <si>
    <t>HVP10202</t>
  </si>
  <si>
    <t>HVP10201</t>
  </si>
  <si>
    <t>HVP12122</t>
  </si>
  <si>
    <t>HVP10241</t>
  </si>
  <si>
    <t>HVP12202</t>
  </si>
  <si>
    <t>HVP10301</t>
  </si>
  <si>
    <t>HVP12242</t>
  </si>
  <si>
    <t>HVP12121</t>
  </si>
  <si>
    <t>HVP14202</t>
  </si>
  <si>
    <t>HVP12201</t>
  </si>
  <si>
    <t>HVP14252</t>
  </si>
  <si>
    <t>HVP12241</t>
  </si>
  <si>
    <t>HVP15202</t>
  </si>
  <si>
    <t>HVP12251</t>
  </si>
  <si>
    <t>HVP16162</t>
  </si>
  <si>
    <t>HVP12301</t>
  </si>
  <si>
    <t>HVP16202</t>
  </si>
  <si>
    <t>HVP14141</t>
  </si>
  <si>
    <t>HVP16242</t>
  </si>
  <si>
    <t>HVP14201</t>
  </si>
  <si>
    <t>HVP16252</t>
  </si>
  <si>
    <t>HVP14241</t>
  </si>
  <si>
    <t>HVP18182</t>
  </si>
  <si>
    <t>HVP14251</t>
  </si>
  <si>
    <t>HVP18202</t>
  </si>
  <si>
    <t>HVP14301</t>
  </si>
  <si>
    <t>HVP18242</t>
  </si>
  <si>
    <t>HVP15201</t>
  </si>
  <si>
    <t>HVP18252</t>
  </si>
  <si>
    <t>HVP1530K1</t>
  </si>
  <si>
    <t>HVP20202</t>
  </si>
  <si>
    <t>HVP16161</t>
  </si>
  <si>
    <t>HVP20242</t>
  </si>
  <si>
    <t>HVP16201</t>
  </si>
  <si>
    <t>HVP20252</t>
  </si>
  <si>
    <t>HVP16241</t>
  </si>
  <si>
    <t>HVP20302</t>
  </si>
  <si>
    <t>HVP16251</t>
  </si>
  <si>
    <t>HVP24242</t>
  </si>
  <si>
    <t>HVP16301</t>
  </si>
  <si>
    <t>HVP25252</t>
  </si>
  <si>
    <t>HVP18181</t>
  </si>
  <si>
    <t>HVP18201</t>
  </si>
  <si>
    <t>HVP18241</t>
  </si>
  <si>
    <t>HVP18251</t>
  </si>
  <si>
    <t>HVP18301</t>
  </si>
  <si>
    <t>HVP12244</t>
  </si>
  <si>
    <t>HVP20201</t>
  </si>
  <si>
    <t>HVP16204</t>
  </si>
  <si>
    <t>HVP20221</t>
  </si>
  <si>
    <t>HVP16254</t>
  </si>
  <si>
    <t>HVP20241</t>
  </si>
  <si>
    <t>HVP18244</t>
  </si>
  <si>
    <t>HVP20251</t>
  </si>
  <si>
    <t>HVP20204</t>
  </si>
  <si>
    <t>HVP20301</t>
  </si>
  <si>
    <t>HVP20244</t>
  </si>
  <si>
    <t>HVP22221</t>
  </si>
  <si>
    <t>HVP20254</t>
  </si>
  <si>
    <t>HVP24241</t>
  </si>
  <si>
    <t>HVP24244</t>
  </si>
  <si>
    <t>HVP24301</t>
  </si>
  <si>
    <t>Semi-Std. Sizes</t>
  </si>
  <si>
    <t>HVP25251</t>
  </si>
  <si>
    <t>HVP25294</t>
  </si>
  <si>
    <t>(24 1/2x28 1/2)</t>
  </si>
  <si>
    <t>HVP28304</t>
  </si>
  <si>
    <t>23 LB.</t>
  </si>
  <si>
    <t>Peripheral header available on: 12x24x4 &amp; 24x24x4;</t>
  </si>
  <si>
    <t>placed on the air entering side</t>
  </si>
  <si>
    <t>Part Number; minimum of 12 per size.</t>
  </si>
  <si>
    <t xml:space="preserve">PART # </t>
  </si>
  <si>
    <t>HVP12246</t>
  </si>
  <si>
    <t>12x24x6</t>
  </si>
  <si>
    <t>HVP16206</t>
  </si>
  <si>
    <t>16x20x6</t>
  </si>
  <si>
    <t>HVP16256</t>
  </si>
  <si>
    <t>16x25x6</t>
  </si>
  <si>
    <t>HVP18246</t>
  </si>
  <si>
    <t>18x24x6</t>
  </si>
  <si>
    <t>HVP20206</t>
  </si>
  <si>
    <t>20x20x6</t>
  </si>
  <si>
    <t>HVP20246</t>
  </si>
  <si>
    <t>20x24x6</t>
  </si>
  <si>
    <t>HVP20256</t>
  </si>
  <si>
    <t>20x25x6</t>
  </si>
  <si>
    <t>HVP24246</t>
  </si>
  <si>
    <t>24x24x6</t>
  </si>
  <si>
    <t>List Price Sheet 6MR11-Z</t>
  </si>
  <si>
    <t>Product Bulletin 6 MR11</t>
  </si>
  <si>
    <t>M1110101</t>
  </si>
  <si>
    <t xml:space="preserve">3 LB. </t>
  </si>
  <si>
    <t>M1110202</t>
  </si>
  <si>
    <t xml:space="preserve">8 LB. </t>
  </si>
  <si>
    <t>M1110201</t>
  </si>
  <si>
    <t>M1112122</t>
  </si>
  <si>
    <t xml:space="preserve">6 LB. </t>
  </si>
  <si>
    <t>M1110241</t>
  </si>
  <si>
    <t>M1112202</t>
  </si>
  <si>
    <t xml:space="preserve">9 LB. </t>
  </si>
  <si>
    <t>M1110301</t>
  </si>
  <si>
    <t>M1112242</t>
  </si>
  <si>
    <t>M1112121</t>
  </si>
  <si>
    <t>M1114202</t>
  </si>
  <si>
    <t>M1112201</t>
  </si>
  <si>
    <t>M1114252</t>
  </si>
  <si>
    <t>M1112241</t>
  </si>
  <si>
    <t xml:space="preserve">7 LB. </t>
  </si>
  <si>
    <t>M1115202</t>
  </si>
  <si>
    <t>M1112251</t>
  </si>
  <si>
    <t>M1116162</t>
  </si>
  <si>
    <t>M1112301</t>
  </si>
  <si>
    <t>M1116202</t>
  </si>
  <si>
    <t>M1114141</t>
  </si>
  <si>
    <t xml:space="preserve">5 LB. </t>
  </si>
  <si>
    <t>M1116242</t>
  </si>
  <si>
    <t>M1114201</t>
  </si>
  <si>
    <t>M1116252</t>
  </si>
  <si>
    <t>M1114241</t>
  </si>
  <si>
    <t>M1118182</t>
  </si>
  <si>
    <t>M1114251</t>
  </si>
  <si>
    <t>M1118202</t>
  </si>
  <si>
    <t>M1114301</t>
  </si>
  <si>
    <t>M1118242</t>
  </si>
  <si>
    <t>M1115201</t>
  </si>
  <si>
    <t>M1118252</t>
  </si>
  <si>
    <t>M111530K1</t>
  </si>
  <si>
    <t>15x30-5/8x1</t>
  </si>
  <si>
    <t>M1120202</t>
  </si>
  <si>
    <t>M1116161</t>
  </si>
  <si>
    <t>M1120242</t>
  </si>
  <si>
    <t>M1116201</t>
  </si>
  <si>
    <t>M1120252</t>
  </si>
  <si>
    <t xml:space="preserve">17 LB. </t>
  </si>
  <si>
    <t>M1116241</t>
  </si>
  <si>
    <t>M1120302</t>
  </si>
  <si>
    <t xml:space="preserve">18 LB. </t>
  </si>
  <si>
    <t>M1116251</t>
  </si>
  <si>
    <t>M1124242</t>
  </si>
  <si>
    <t>M1116301</t>
  </si>
  <si>
    <t xml:space="preserve">10 LB. </t>
  </si>
  <si>
    <t>M1125252</t>
  </si>
  <si>
    <t>M1118181</t>
  </si>
  <si>
    <t>M1118201</t>
  </si>
  <si>
    <t>Geo-Thermal Replacement Sizes</t>
  </si>
  <si>
    <t>M1118241</t>
  </si>
  <si>
    <t xml:space="preserve">Actual </t>
  </si>
  <si>
    <t>M1118251</t>
  </si>
  <si>
    <t>M1118301</t>
  </si>
  <si>
    <t xml:space="preserve">11 LB. </t>
  </si>
  <si>
    <t>M1124282</t>
  </si>
  <si>
    <t xml:space="preserve">23-1/2 x 27-3/4 x 2 </t>
  </si>
  <si>
    <t>M1120201</t>
  </si>
  <si>
    <t>M1128302</t>
  </si>
  <si>
    <t>27-3/4 x 29-3/8 x 2</t>
  </si>
  <si>
    <t>M1120221</t>
  </si>
  <si>
    <t>M1130322</t>
  </si>
  <si>
    <t>29-3/8 x 31-3/4 x 2</t>
  </si>
  <si>
    <t>M1120241</t>
  </si>
  <si>
    <t>M1130362</t>
  </si>
  <si>
    <t>29-3/8 x 35-3/4 x 2</t>
  </si>
  <si>
    <t>M1120251</t>
  </si>
  <si>
    <t>M1120301</t>
  </si>
  <si>
    <t>M1122221</t>
  </si>
  <si>
    <t>M1124241</t>
  </si>
  <si>
    <t>M1124301</t>
  </si>
  <si>
    <t xml:space="preserve">14 LB. </t>
  </si>
  <si>
    <t>M1125251</t>
  </si>
  <si>
    <t xml:space="preserve">13 LB. </t>
  </si>
  <si>
    <t>M1112244</t>
  </si>
  <si>
    <t>M1112246</t>
  </si>
  <si>
    <t>M1116204</t>
  </si>
  <si>
    <t>M1116206</t>
  </si>
  <si>
    <t>M1116254</t>
  </si>
  <si>
    <t>M1116256</t>
  </si>
  <si>
    <t>M1118244</t>
  </si>
  <si>
    <t>M1118246</t>
  </si>
  <si>
    <t>M1120204</t>
  </si>
  <si>
    <t>M1120206</t>
  </si>
  <si>
    <t>M1120244</t>
  </si>
  <si>
    <t>M1120246</t>
  </si>
  <si>
    <t>M1120254</t>
  </si>
  <si>
    <t>M1120256</t>
  </si>
  <si>
    <t>M1124244</t>
  </si>
  <si>
    <t>M1124246</t>
  </si>
  <si>
    <t>Semi-Std. Size</t>
  </si>
  <si>
    <t>M1125294</t>
  </si>
  <si>
    <t>25x29x4
(24 1/2x28 1/2)</t>
  </si>
  <si>
    <t>List Price Sheet  6MR13-S</t>
  </si>
  <si>
    <t>Product Bulletin 6 MR13</t>
  </si>
  <si>
    <t>STANDARD SIZES</t>
  </si>
  <si>
    <t>M1310101</t>
  </si>
  <si>
    <t>M1310201</t>
  </si>
  <si>
    <t>M1310241</t>
  </si>
  <si>
    <t>M1310301</t>
  </si>
  <si>
    <t>M1312121</t>
  </si>
  <si>
    <t>M1312201</t>
  </si>
  <si>
    <t>M1312241</t>
  </si>
  <si>
    <t>M1312251</t>
  </si>
  <si>
    <t>M1312301</t>
  </si>
  <si>
    <t>M1314141</t>
  </si>
  <si>
    <t>M1314201</t>
  </si>
  <si>
    <t>M1314241</t>
  </si>
  <si>
    <t>M1314251</t>
  </si>
  <si>
    <t>M1314301</t>
  </si>
  <si>
    <t>M1315201</t>
  </si>
  <si>
    <t>M131530K1</t>
  </si>
  <si>
    <t>M1316161</t>
  </si>
  <si>
    <t>M1316201</t>
  </si>
  <si>
    <t>M1316241</t>
  </si>
  <si>
    <t>M1316251</t>
  </si>
  <si>
    <t>M1316301</t>
  </si>
  <si>
    <t>M1318181</t>
  </si>
  <si>
    <t>M1318201</t>
  </si>
  <si>
    <t>M1318241</t>
  </si>
  <si>
    <t>M1318251</t>
  </si>
  <si>
    <t>M1318301</t>
  </si>
  <si>
    <t>M1320201</t>
  </si>
  <si>
    <t>M1320221</t>
  </si>
  <si>
    <t>M1320241</t>
  </si>
  <si>
    <t>M1320251</t>
  </si>
  <si>
    <t>M1320301</t>
  </si>
  <si>
    <t>M1322221</t>
  </si>
  <si>
    <t>M1324241</t>
  </si>
  <si>
    <t>M1324301</t>
  </si>
  <si>
    <t>M1325251</t>
  </si>
  <si>
    <t>M1310202</t>
  </si>
  <si>
    <t>M1312122</t>
  </si>
  <si>
    <t>M1312202</t>
  </si>
  <si>
    <t>M1312242</t>
  </si>
  <si>
    <t>M1314202</t>
  </si>
  <si>
    <t>M1314252</t>
  </si>
  <si>
    <t>M1315202</t>
  </si>
  <si>
    <t>M1316162</t>
  </si>
  <si>
    <t>M1316202</t>
  </si>
  <si>
    <t>M1316242</t>
  </si>
  <si>
    <t>M1316252</t>
  </si>
  <si>
    <t>M1318182</t>
  </si>
  <si>
    <t>12LB.</t>
  </si>
  <si>
    <t>M1318202</t>
  </si>
  <si>
    <t>M1318242</t>
  </si>
  <si>
    <t>M1318252</t>
  </si>
  <si>
    <t>M1320202</t>
  </si>
  <si>
    <t>M1320242</t>
  </si>
  <si>
    <t>M1320252</t>
  </si>
  <si>
    <t>M1320302</t>
  </si>
  <si>
    <t>M1324242</t>
  </si>
  <si>
    <t>M1325252</t>
  </si>
  <si>
    <t>M1312244</t>
  </si>
  <si>
    <t>M1316204</t>
  </si>
  <si>
    <t>M1316254</t>
  </si>
  <si>
    <t>M1318244</t>
  </si>
  <si>
    <t>M1320204</t>
  </si>
  <si>
    <t>M1320244</t>
  </si>
  <si>
    <t>M1320254</t>
  </si>
  <si>
    <t>M1324244</t>
  </si>
  <si>
    <t>GFLOSS</t>
  </si>
  <si>
    <t>List Price Sheet 6CR-W</t>
  </si>
  <si>
    <t>Product Bulletin 6 CARB</t>
  </si>
  <si>
    <t>ZLN101014AC</t>
  </si>
  <si>
    <t>10 X 10 X 1</t>
  </si>
  <si>
    <t>ZLN102014AC</t>
  </si>
  <si>
    <t>10 X 20 X 1</t>
  </si>
  <si>
    <t>ZLN102414AC</t>
  </si>
  <si>
    <t>10 X 24 X 1</t>
  </si>
  <si>
    <t>ZLN103014AC</t>
  </si>
  <si>
    <t>10 X 30 X 1</t>
  </si>
  <si>
    <t>ZLN121214AC</t>
  </si>
  <si>
    <t>12 X 12 X 1</t>
  </si>
  <si>
    <t>ZLN122014AC</t>
  </si>
  <si>
    <t>12 X 20 X 1</t>
  </si>
  <si>
    <t>ZLN122414AC</t>
  </si>
  <si>
    <t>12 X 24 X 1</t>
  </si>
  <si>
    <t>ZLN122514AC</t>
  </si>
  <si>
    <t>12 X 25 X 1</t>
  </si>
  <si>
    <t>ZLN123014AC</t>
  </si>
  <si>
    <t>12 X 30 X 1</t>
  </si>
  <si>
    <t>ZLN141414AC</t>
  </si>
  <si>
    <t>14 X 14 X 1</t>
  </si>
  <si>
    <t>ZLN142414AC</t>
  </si>
  <si>
    <t>14 X 24 X 1</t>
  </si>
  <si>
    <t>ZLN142014AC</t>
  </si>
  <si>
    <t>14 X 20 X 1</t>
  </si>
  <si>
    <t>ZLN142514AC</t>
  </si>
  <si>
    <t>14 X 25 X 1</t>
  </si>
  <si>
    <t>ZLN143014AC</t>
  </si>
  <si>
    <t>14 x 30 x 1</t>
  </si>
  <si>
    <t>ZLN152014AC</t>
  </si>
  <si>
    <t>15 X 20 X 1</t>
  </si>
  <si>
    <t>ZLN1530K14AC</t>
  </si>
  <si>
    <t>15 x 30 5/8 x 1</t>
  </si>
  <si>
    <t>ZLN161614AC</t>
  </si>
  <si>
    <t>16 X 16 X 1</t>
  </si>
  <si>
    <t>ZLN162014AC</t>
  </si>
  <si>
    <t>16 X 20 X 1</t>
  </si>
  <si>
    <t>ZLN162414AC</t>
  </si>
  <si>
    <t>16 X 24 X 1</t>
  </si>
  <si>
    <t>ZLN162514AC</t>
  </si>
  <si>
    <t>16 X 25 X 1</t>
  </si>
  <si>
    <t>ZLN163014AC</t>
  </si>
  <si>
    <t>16 x 30 x 1</t>
  </si>
  <si>
    <t>ZLN181814AC</t>
  </si>
  <si>
    <t>18 X 18 X 1</t>
  </si>
  <si>
    <t>ZLN182014AC</t>
  </si>
  <si>
    <t>18 X 20 X 1</t>
  </si>
  <si>
    <t>ZLN182414AC</t>
  </si>
  <si>
    <t>18 X 24 X 1</t>
  </si>
  <si>
    <t>ZLN182514AC</t>
  </si>
  <si>
    <t>18 X 25 X 1</t>
  </si>
  <si>
    <t>ZLN183014AC</t>
  </si>
  <si>
    <t>18 X 30 X 1</t>
  </si>
  <si>
    <t>ZLN202014AC</t>
  </si>
  <si>
    <t>20 X 20 X 1</t>
  </si>
  <si>
    <t>ZLN202214AC</t>
  </si>
  <si>
    <t>20 X 22 X 1</t>
  </si>
  <si>
    <t>ZLN202414AC</t>
  </si>
  <si>
    <t>20 X 24 X 1</t>
  </si>
  <si>
    <t>ZLN202514AC</t>
  </si>
  <si>
    <t>20 X 25 X 1</t>
  </si>
  <si>
    <t>ZLN203014AC</t>
  </si>
  <si>
    <t xml:space="preserve">20 X 30 X 1 </t>
  </si>
  <si>
    <t>ZLN222214AC</t>
  </si>
  <si>
    <t>22 X 22 X 1</t>
  </si>
  <si>
    <t>ZLN242414AC</t>
  </si>
  <si>
    <t>24 X 24 X 1</t>
  </si>
  <si>
    <t>ZLN243014AC</t>
  </si>
  <si>
    <t>24 X 30 X 1</t>
  </si>
  <si>
    <t>ZLN252514AC</t>
  </si>
  <si>
    <t>25 X 25 X 1</t>
  </si>
  <si>
    <t>ZLN102024AC</t>
  </si>
  <si>
    <t>10 X 20 X 2</t>
  </si>
  <si>
    <t>ZLN121224AC</t>
  </si>
  <si>
    <t>12 X 12 X 2</t>
  </si>
  <si>
    <t>ZLN122024AC</t>
  </si>
  <si>
    <t>12 X 20 X 2</t>
  </si>
  <si>
    <t>ZLN122424AC</t>
  </si>
  <si>
    <t>12 X 24 X 2</t>
  </si>
  <si>
    <t>ZLN142024AC</t>
  </si>
  <si>
    <t>14 X 20 X 2</t>
  </si>
  <si>
    <t>ZLN142524AC</t>
  </si>
  <si>
    <t>14 X 25 X 2</t>
  </si>
  <si>
    <t>ZLN152024AC</t>
  </si>
  <si>
    <t>15 X 20 X 2</t>
  </si>
  <si>
    <t>ZLN161624AC</t>
  </si>
  <si>
    <t>16 X 16 X 2</t>
  </si>
  <si>
    <t>ZLN162024AC</t>
  </si>
  <si>
    <t>16 X 20 X 2</t>
  </si>
  <si>
    <t>ZLN162424AC</t>
  </si>
  <si>
    <t>16 X 24 X 2</t>
  </si>
  <si>
    <t>ZLN162524AC</t>
  </si>
  <si>
    <t>16 X 25 X 2</t>
  </si>
  <si>
    <t>ZLN181824AC</t>
  </si>
  <si>
    <t>18 X 18 X 2</t>
  </si>
  <si>
    <t>ZLN182024AC</t>
  </si>
  <si>
    <t>18 X 20 X 2</t>
  </si>
  <si>
    <t>ZLN182424AC</t>
  </si>
  <si>
    <t>18 X 24 X 2</t>
  </si>
  <si>
    <t>ZLN182524AC</t>
  </si>
  <si>
    <t>18 X 25 X 2</t>
  </si>
  <si>
    <t>ZLN202024AC</t>
  </si>
  <si>
    <t>20 X 20 X 2</t>
  </si>
  <si>
    <t>ZLN202424AC</t>
  </si>
  <si>
    <t>20 X 24 X 2</t>
  </si>
  <si>
    <t>ZLN202524AC</t>
  </si>
  <si>
    <t>20 X 25 X 2</t>
  </si>
  <si>
    <t>ZLN203024AC</t>
  </si>
  <si>
    <t>20 X 30 X 2</t>
  </si>
  <si>
    <t>ZLN242424AC</t>
  </si>
  <si>
    <t>24 X 24 X 2</t>
  </si>
  <si>
    <t>ZLN252524AC</t>
  </si>
  <si>
    <t>25 X 25 X 2</t>
  </si>
  <si>
    <t>ZLN122444AC</t>
  </si>
  <si>
    <t>12 X 24 X 4</t>
  </si>
  <si>
    <t>ZLN162044AC</t>
  </si>
  <si>
    <t>16 X 20 X 4</t>
  </si>
  <si>
    <t>ZLN162544AC</t>
  </si>
  <si>
    <t>16 X 25 X 4</t>
  </si>
  <si>
    <t>ZLN182444AC</t>
  </si>
  <si>
    <t>18 X 24 X 4</t>
  </si>
  <si>
    <t>ZLN202044AC</t>
  </si>
  <si>
    <t>20 X 20 X 4</t>
  </si>
  <si>
    <t>ZLN202444AC</t>
  </si>
  <si>
    <t>20 X 24 X 4</t>
  </si>
  <si>
    <t>ZLN202544AC</t>
  </si>
  <si>
    <t>20 X 25 X 4</t>
  </si>
  <si>
    <t>ZLN242444AC</t>
  </si>
  <si>
    <t>24 X 24 X 4</t>
  </si>
  <si>
    <t>CAR2</t>
  </si>
  <si>
    <t>List Price Sheet 6HVXM-o</t>
  </si>
  <si>
    <t>HVXM</t>
  </si>
  <si>
    <t>MR11XM</t>
  </si>
  <si>
    <t>LIST PRICE</t>
  </si>
  <si>
    <t>CTN QTY</t>
  </si>
  <si>
    <t>CTN WT</t>
  </si>
  <si>
    <t>HVP10101XM</t>
  </si>
  <si>
    <t>M1110101XM</t>
  </si>
  <si>
    <t>HVP10201XM</t>
  </si>
  <si>
    <t>M1110201XM</t>
  </si>
  <si>
    <t>HVP10241XM</t>
  </si>
  <si>
    <t>M1110241XM</t>
  </si>
  <si>
    <t>HVP10301XM</t>
  </si>
  <si>
    <t>M1110301XM</t>
  </si>
  <si>
    <t>HVP12121XM</t>
  </si>
  <si>
    <t>M1112121XM</t>
  </si>
  <si>
    <t>HVP12201XM</t>
  </si>
  <si>
    <t>M1112201XM</t>
  </si>
  <si>
    <t>HVP12241XM</t>
  </si>
  <si>
    <t>M1112241XM</t>
  </si>
  <si>
    <t>HVP12251XM</t>
  </si>
  <si>
    <t>M1112251XM</t>
  </si>
  <si>
    <t>HVP12301XM</t>
  </si>
  <si>
    <t>M1112301XM</t>
  </si>
  <si>
    <t>HVP14141XM</t>
  </si>
  <si>
    <t>M1114141XM</t>
  </si>
  <si>
    <t>HVP14201XM</t>
  </si>
  <si>
    <t>M1114201XM</t>
  </si>
  <si>
    <t>HVP14241XM</t>
  </si>
  <si>
    <t>M1114241XM</t>
  </si>
  <si>
    <t>HVP14251XM</t>
  </si>
  <si>
    <t>M1114251XM</t>
  </si>
  <si>
    <t>HVP14301XM</t>
  </si>
  <si>
    <t>M1114301XM</t>
  </si>
  <si>
    <t>HVP15201XM</t>
  </si>
  <si>
    <t>M1115201XM</t>
  </si>
  <si>
    <t>HVP1530K1XM</t>
  </si>
  <si>
    <t>M111530K1XM</t>
  </si>
  <si>
    <t>HVP16161XM</t>
  </si>
  <si>
    <t>M1116161XM</t>
  </si>
  <si>
    <t>HVP16201XM</t>
  </si>
  <si>
    <t>M1116201XM</t>
  </si>
  <si>
    <t>HVP16241XM</t>
  </si>
  <si>
    <t>M1116241XM</t>
  </si>
  <si>
    <t>HVP16251XM</t>
  </si>
  <si>
    <t>M1116251XM</t>
  </si>
  <si>
    <t>HVP16301XM</t>
  </si>
  <si>
    <t>M1116301XM</t>
  </si>
  <si>
    <t>HVP18181XM</t>
  </si>
  <si>
    <t>M1118181XM</t>
  </si>
  <si>
    <t>HVP18201XM</t>
  </si>
  <si>
    <t>M1118201XM</t>
  </si>
  <si>
    <t>HVP18241XM</t>
  </si>
  <si>
    <t>M1118241XM</t>
  </si>
  <si>
    <t>HVP18251XM</t>
  </si>
  <si>
    <t>M1118251XM</t>
  </si>
  <si>
    <t>HVP18301XM</t>
  </si>
  <si>
    <t>M1118301XM</t>
  </si>
  <si>
    <t>HVP20201XM</t>
  </si>
  <si>
    <t>M1120201XM</t>
  </si>
  <si>
    <t>HVP20221XM</t>
  </si>
  <si>
    <t>M1120221XM</t>
  </si>
  <si>
    <t>HVP20241XM</t>
  </si>
  <si>
    <t>M1120241XM</t>
  </si>
  <si>
    <t>HVP20251XM</t>
  </si>
  <si>
    <t>M1120251XM</t>
  </si>
  <si>
    <t>HVP20301XM</t>
  </si>
  <si>
    <t>M1120301XM</t>
  </si>
  <si>
    <t>HVP22221XM</t>
  </si>
  <si>
    <t>M1122221XM</t>
  </si>
  <si>
    <t>HVP24241XM</t>
  </si>
  <si>
    <t>M1124241XM</t>
  </si>
  <si>
    <t>HVP24301XM</t>
  </si>
  <si>
    <t>M1124301XM</t>
  </si>
  <si>
    <t>HVP25251XM</t>
  </si>
  <si>
    <t>M1125251XM</t>
  </si>
  <si>
    <t>HVP10202XM</t>
  </si>
  <si>
    <t>M1110202XM</t>
  </si>
  <si>
    <t>HVP12122XM</t>
  </si>
  <si>
    <t>M1112122XM</t>
  </si>
  <si>
    <t>HVP12202XM</t>
  </si>
  <si>
    <t>M1112202XM</t>
  </si>
  <si>
    <t>HVP12242XM</t>
  </si>
  <si>
    <t>M1112242XM</t>
  </si>
  <si>
    <t>HVP14202XM</t>
  </si>
  <si>
    <t>M1114202XM</t>
  </si>
  <si>
    <t>HVP14252XM</t>
  </si>
  <si>
    <t>M1114252XM</t>
  </si>
  <si>
    <t>HVP15202XM</t>
  </si>
  <si>
    <t>M1115202XM</t>
  </si>
  <si>
    <t>HVP16162XM</t>
  </si>
  <si>
    <t>M1116162XM</t>
  </si>
  <si>
    <t>HVP16202XM</t>
  </si>
  <si>
    <t>M1116202XM</t>
  </si>
  <si>
    <t>HVP16242XM</t>
  </si>
  <si>
    <t>M1116242XM</t>
  </si>
  <si>
    <t>HVP16252XM</t>
  </si>
  <si>
    <t>M1116252XM</t>
  </si>
  <si>
    <t>HVP18182XM</t>
  </si>
  <si>
    <t>M1118182XM</t>
  </si>
  <si>
    <t>HVP18202XM</t>
  </si>
  <si>
    <t>M1118202XM</t>
  </si>
  <si>
    <t>24 LB.</t>
  </si>
  <si>
    <t>HVP18242XM</t>
  </si>
  <si>
    <t>M1118242XM</t>
  </si>
  <si>
    <t>HVP18252XM</t>
  </si>
  <si>
    <t>M1118252XM</t>
  </si>
  <si>
    <t>27 LB.</t>
  </si>
  <si>
    <t>HVP20202XM</t>
  </si>
  <si>
    <t>M1120202XM</t>
  </si>
  <si>
    <t>HVP20242XM</t>
  </si>
  <si>
    <t>M1120242XM</t>
  </si>
  <si>
    <t>HVP20252XM</t>
  </si>
  <si>
    <t>M1120252XM</t>
  </si>
  <si>
    <t>HVP20302XM</t>
  </si>
  <si>
    <t>M1120302XM</t>
  </si>
  <si>
    <t>HVP24242XM</t>
  </si>
  <si>
    <t>29 LB.</t>
  </si>
  <si>
    <t>M1124242XM</t>
  </si>
  <si>
    <t>HVP25252XM</t>
  </si>
  <si>
    <t>M1125252XM</t>
  </si>
  <si>
    <t>34 LB.</t>
  </si>
  <si>
    <t>HVP12244XM</t>
  </si>
  <si>
    <t>M1112244XM</t>
  </si>
  <si>
    <t>HVP16204XM</t>
  </si>
  <si>
    <t>M1116204XM</t>
  </si>
  <si>
    <t>HVP16254XM</t>
  </si>
  <si>
    <t>M1116254XM</t>
  </si>
  <si>
    <t>HVP18244XM</t>
  </si>
  <si>
    <t>M1118244XM</t>
  </si>
  <si>
    <t>HVP20204XM</t>
  </si>
  <si>
    <t>M1120204XM</t>
  </si>
  <si>
    <t>HVP20244XM</t>
  </si>
  <si>
    <t>M1120244XM</t>
  </si>
  <si>
    <t>HVP20254XM</t>
  </si>
  <si>
    <t>M1120254XM</t>
  </si>
  <si>
    <t>HVP24244XM</t>
  </si>
  <si>
    <t>M1124244XM</t>
  </si>
  <si>
    <t>List Price Sheet 8EX-T</t>
  </si>
  <si>
    <t>Section 8</t>
  </si>
  <si>
    <t>Product Bulletin 8 Bag</t>
  </si>
  <si>
    <t xml:space="preserve">           EXCEL</t>
  </si>
  <si>
    <t xml:space="preserve">     High Efficiency Synthetic Bag</t>
  </si>
  <si>
    <t>No.</t>
  </si>
  <si>
    <t xml:space="preserve">  MERV 15</t>
  </si>
  <si>
    <t xml:space="preserve">  MERV 13</t>
  </si>
  <si>
    <t>of</t>
  </si>
  <si>
    <t>CTN.</t>
  </si>
  <si>
    <t>W x H x D</t>
  </si>
  <si>
    <t>PKTS.</t>
  </si>
  <si>
    <t>QTY.</t>
  </si>
  <si>
    <t>24x24x15</t>
  </si>
  <si>
    <t>SBG24241596</t>
  </si>
  <si>
    <t>SBG24241586</t>
  </si>
  <si>
    <t>SBG24241597</t>
  </si>
  <si>
    <t>SBG24241587</t>
  </si>
  <si>
    <t>SBG24241598</t>
  </si>
  <si>
    <t>SBG24241588</t>
  </si>
  <si>
    <t>SBG242415910</t>
  </si>
  <si>
    <t>SBG242415810</t>
  </si>
  <si>
    <t>SBG242415912</t>
  </si>
  <si>
    <t>SBG242415812</t>
  </si>
  <si>
    <t>24x24x21</t>
  </si>
  <si>
    <t>SBG24242196</t>
  </si>
  <si>
    <t>SBG24242186</t>
  </si>
  <si>
    <t>SBG24242198</t>
  </si>
  <si>
    <t>SBG24242188</t>
  </si>
  <si>
    <t>SBG242421910</t>
  </si>
  <si>
    <t>SBG242421810</t>
  </si>
  <si>
    <t>24x24x25</t>
  </si>
  <si>
    <t>SBG24242596</t>
  </si>
  <si>
    <t>SBG24242586</t>
  </si>
  <si>
    <t>SBG24242598</t>
  </si>
  <si>
    <t>SBG24242588</t>
  </si>
  <si>
    <t>SBG242425910</t>
  </si>
  <si>
    <t>SBG242425810</t>
  </si>
  <si>
    <t>24x24x29</t>
  </si>
  <si>
    <t>SBG24242996</t>
  </si>
  <si>
    <t>SBG24242986</t>
  </si>
  <si>
    <t>SBG24242998</t>
  </si>
  <si>
    <t>SBG24242988</t>
  </si>
  <si>
    <t>SBG242429910</t>
  </si>
  <si>
    <t>SBG242429810</t>
  </si>
  <si>
    <t>24x24x36</t>
  </si>
  <si>
    <t>SBG24243696</t>
  </si>
  <si>
    <t>SBG24243686</t>
  </si>
  <si>
    <t>SBG24243698</t>
  </si>
  <si>
    <t>SBG24243688</t>
  </si>
  <si>
    <t>SBG242436910</t>
  </si>
  <si>
    <t>SBG242436810</t>
  </si>
  <si>
    <t>20x24x15</t>
  </si>
  <si>
    <t>SBG20241596</t>
  </si>
  <si>
    <t>SBG20241586</t>
  </si>
  <si>
    <t>SBG20241598</t>
  </si>
  <si>
    <t>SBG20241588</t>
  </si>
  <si>
    <t>SBG202415910</t>
  </si>
  <si>
    <t>SBG202415810</t>
  </si>
  <si>
    <t>20x24x21</t>
  </si>
  <si>
    <t>SBG20242196</t>
  </si>
  <si>
    <t>SBG20242186</t>
  </si>
  <si>
    <t>SBG20242198</t>
  </si>
  <si>
    <t>SBG20242188</t>
  </si>
  <si>
    <t>SBG202421910</t>
  </si>
  <si>
    <t>SBG202421810</t>
  </si>
  <si>
    <t>20x24x25</t>
  </si>
  <si>
    <t>SBG20242596</t>
  </si>
  <si>
    <t>SBG20242586</t>
  </si>
  <si>
    <t>SBG20242598</t>
  </si>
  <si>
    <t>SBG20242588</t>
  </si>
  <si>
    <t>SBG202425910</t>
  </si>
  <si>
    <t>SBG202425810</t>
  </si>
  <si>
    <t>20x24x29</t>
  </si>
  <si>
    <t>SBG20242996</t>
  </si>
  <si>
    <t>SBG20242986</t>
  </si>
  <si>
    <t>SBG20242998</t>
  </si>
  <si>
    <t>SBG20242988</t>
  </si>
  <si>
    <t>SBG202429910</t>
  </si>
  <si>
    <t>SBG202429810</t>
  </si>
  <si>
    <t>20x24x36</t>
  </si>
  <si>
    <t>SBG20243696</t>
  </si>
  <si>
    <t>SBG20243686</t>
  </si>
  <si>
    <t>SBG20243698</t>
  </si>
  <si>
    <t>SBG20243688</t>
  </si>
  <si>
    <t>SBG202436910</t>
  </si>
  <si>
    <t>SBG202436810</t>
  </si>
  <si>
    <t>12x24x15</t>
  </si>
  <si>
    <t>SBG12241593</t>
  </si>
  <si>
    <t>SBG12241583</t>
  </si>
  <si>
    <t>SBG12241594</t>
  </si>
  <si>
    <t>SBG12241584</t>
  </si>
  <si>
    <t>SBG12241595</t>
  </si>
  <si>
    <t>SBG12241585</t>
  </si>
  <si>
    <t>SBG12241596</t>
  </si>
  <si>
    <t>SBG12241586</t>
  </si>
  <si>
    <t>12x24x21</t>
  </si>
  <si>
    <t>SBG12242193</t>
  </si>
  <si>
    <t>SBG12242183</t>
  </si>
  <si>
    <t>SBG12242194</t>
  </si>
  <si>
    <t>SBG12242184</t>
  </si>
  <si>
    <t>SBG12242195</t>
  </si>
  <si>
    <t>SBG12242185</t>
  </si>
  <si>
    <t>12x24x25</t>
  </si>
  <si>
    <t>SBG12242593</t>
  </si>
  <si>
    <t>SBG12242583</t>
  </si>
  <si>
    <t>SBG12242594</t>
  </si>
  <si>
    <t>SBG12242584</t>
  </si>
  <si>
    <t>SBG12242595</t>
  </si>
  <si>
    <t>SBG12242585</t>
  </si>
  <si>
    <t>12x24x29</t>
  </si>
  <si>
    <t>SBG12242993</t>
  </si>
  <si>
    <t>SBG12242983</t>
  </si>
  <si>
    <t>SBG12242994</t>
  </si>
  <si>
    <t>SBG12242984</t>
  </si>
  <si>
    <t>SBG12242995</t>
  </si>
  <si>
    <t>SBG12242985</t>
  </si>
  <si>
    <t>12x24x36</t>
  </si>
  <si>
    <t>SBG12243693</t>
  </si>
  <si>
    <t>SBG12243683</t>
  </si>
  <si>
    <t>SBG12243694</t>
  </si>
  <si>
    <t>SBG12243684</t>
  </si>
  <si>
    <t>SBG12243695</t>
  </si>
  <si>
    <t>SBG12243685</t>
  </si>
  <si>
    <t xml:space="preserve">            EXCEL</t>
  </si>
  <si>
    <t xml:space="preserve">               High Efficiency Synthetic Bag</t>
  </si>
  <si>
    <t xml:space="preserve">  MERV 11</t>
  </si>
  <si>
    <t xml:space="preserve">  MERV 9</t>
  </si>
  <si>
    <t>SBG24241566</t>
  </si>
  <si>
    <t>24x24x12</t>
  </si>
  <si>
    <t>SBG24241246</t>
  </si>
  <si>
    <t>SBG24241567</t>
  </si>
  <si>
    <t>SBG24241546</t>
  </si>
  <si>
    <t>SBG24241568</t>
  </si>
  <si>
    <t>SBG24241547</t>
  </si>
  <si>
    <t>SBG242415610</t>
  </si>
  <si>
    <t>SBG24241548</t>
  </si>
  <si>
    <t>SBG242415612</t>
  </si>
  <si>
    <t>SBG24242146</t>
  </si>
  <si>
    <t>SBG24242166</t>
  </si>
  <si>
    <t>SBG24242147</t>
  </si>
  <si>
    <t>SBG24242168</t>
  </si>
  <si>
    <t>SBG24242148</t>
  </si>
  <si>
    <t>SBG242421610</t>
  </si>
  <si>
    <t>20x24x12</t>
  </si>
  <si>
    <t>SBG20241244</t>
  </si>
  <si>
    <t>SBG24242566</t>
  </si>
  <si>
    <t>SBG20241245</t>
  </si>
  <si>
    <t>SBG24242568</t>
  </si>
  <si>
    <t>SBG20241246</t>
  </si>
  <si>
    <t>SBG242425610</t>
  </si>
  <si>
    <t>SBG20241546</t>
  </si>
  <si>
    <t>SBG24242966</t>
  </si>
  <si>
    <t>SBG20241547</t>
  </si>
  <si>
    <t>SBG24242968</t>
  </si>
  <si>
    <t>SBG20241548</t>
  </si>
  <si>
    <t>SBG242429610</t>
  </si>
  <si>
    <t>SBG20242146</t>
  </si>
  <si>
    <t>SBG24243666</t>
  </si>
  <si>
    <t>SBG20242147</t>
  </si>
  <si>
    <t>SBG24243668</t>
  </si>
  <si>
    <t>SBG20242148</t>
  </si>
  <si>
    <t>SBG242436610</t>
  </si>
  <si>
    <t>20x20x12</t>
  </si>
  <si>
    <t>SBG20201244</t>
  </si>
  <si>
    <t>SBG20241566</t>
  </si>
  <si>
    <t>SBG20201245</t>
  </si>
  <si>
    <t>SBG20241568</t>
  </si>
  <si>
    <t>SBG20201246</t>
  </si>
  <si>
    <t>SBG202415610</t>
  </si>
  <si>
    <t>20x20x21</t>
  </si>
  <si>
    <t>SBG20202145</t>
  </si>
  <si>
    <t>SBG20242166</t>
  </si>
  <si>
    <t>SBG20202146</t>
  </si>
  <si>
    <t>SBG20242168</t>
  </si>
  <si>
    <t>SBG20202147</t>
  </si>
  <si>
    <t>SBG202421610</t>
  </si>
  <si>
    <t>12x24x12</t>
  </si>
  <si>
    <t>SBG12241243</t>
  </si>
  <si>
    <t>SBG20242566</t>
  </si>
  <si>
    <t>SBG12241543</t>
  </si>
  <si>
    <t>SBG20242568</t>
  </si>
  <si>
    <t>SBG12241544</t>
  </si>
  <si>
    <t>SBG202425610</t>
  </si>
  <si>
    <t>SBG12241545</t>
  </si>
  <si>
    <t>SBG20242966</t>
  </si>
  <si>
    <t>SBG12241546</t>
  </si>
  <si>
    <t>SBG20242968</t>
  </si>
  <si>
    <t>SBG12242143</t>
  </si>
  <si>
    <t>SBG202429610</t>
  </si>
  <si>
    <t>SBG12242144</t>
  </si>
  <si>
    <t>SBG20243666</t>
  </si>
  <si>
    <t>SBG12242145</t>
  </si>
  <si>
    <t>SBG20243668</t>
  </si>
  <si>
    <t>SBG12242146</t>
  </si>
  <si>
    <t>SBG202436610</t>
  </si>
  <si>
    <t>OPTIONS:</t>
  </si>
  <si>
    <t>SBG12241563</t>
  </si>
  <si>
    <t>For pricing on 20 x 20 face dimension use 20 x 24 List Price</t>
  </si>
  <si>
    <t>SBG12241564</t>
  </si>
  <si>
    <t>SBG12241565</t>
  </si>
  <si>
    <t>SBG12241566</t>
  </si>
  <si>
    <t>Other special Size Length Bags  - Use Next Largest Depth Size</t>
  </si>
  <si>
    <t>SBG12242163</t>
  </si>
  <si>
    <t>SBG12242164</t>
  </si>
  <si>
    <t>Reverse Dimension 24 x 12 Header use 24 x 24 List Price for</t>
  </si>
  <si>
    <t>SBG12242165</t>
  </si>
  <si>
    <t>the desired depth and pocket amount</t>
  </si>
  <si>
    <t>SBG12242563</t>
  </si>
  <si>
    <t>Reverse Dimension 24 x 20 Header use 24 x 24 List Price for</t>
  </si>
  <si>
    <t>SBG12242564</t>
  </si>
  <si>
    <t>the desired depth and pocket amount and add +15%</t>
  </si>
  <si>
    <t>SBG12242565</t>
  </si>
  <si>
    <t>SBG12242963</t>
  </si>
  <si>
    <t>1-1/8-inch Header Available - Add $8.00 to List Price</t>
  </si>
  <si>
    <t>SBG12242964</t>
  </si>
  <si>
    <t>Please specify when ordering</t>
  </si>
  <si>
    <t>SBG12242965</t>
  </si>
  <si>
    <t>SBG12243663</t>
  </si>
  <si>
    <t>Hanger Loops available:</t>
  </si>
  <si>
    <t>Add $3.00 list per loop</t>
  </si>
  <si>
    <t>SBG12243664</t>
  </si>
  <si>
    <t>Gasket available:</t>
  </si>
  <si>
    <t>Add $7.00 List for 4 sides</t>
  </si>
  <si>
    <t>SBG12243665</t>
  </si>
  <si>
    <t>Add $6.00 List for 2 sides</t>
  </si>
  <si>
    <t>Add $4.75 List for 1 side</t>
  </si>
  <si>
    <t>Special Header Size Excel Bags-Use Next Largest Size + 30% Added to List Price</t>
  </si>
  <si>
    <t>Special size Excel Bags are non-returnable</t>
  </si>
  <si>
    <t>List Price Sheet 8PK-U</t>
  </si>
  <si>
    <t xml:space="preserve">    PURAPAK</t>
  </si>
  <si>
    <t xml:space="preserve">     High Efficiency Fiberglass Bag</t>
  </si>
  <si>
    <t xml:space="preserve">  MERV 15  (90-95%)</t>
  </si>
  <si>
    <t xml:space="preserve">  MERV 13  (80-85%)</t>
  </si>
  <si>
    <t>MERV 15 &amp; 13</t>
  </si>
  <si>
    <t xml:space="preserve">  MERV 11  (60-65%)</t>
  </si>
  <si>
    <t>MERV 11</t>
  </si>
  <si>
    <t>PBG24241596</t>
  </si>
  <si>
    <t>PBG24241586</t>
  </si>
  <si>
    <t>PBG24241566</t>
  </si>
  <si>
    <t>PBG24241597</t>
  </si>
  <si>
    <t>PBG24241587</t>
  </si>
  <si>
    <t>PBG24241567</t>
  </si>
  <si>
    <t>PBG24241598</t>
  </si>
  <si>
    <t>PBG24241588</t>
  </si>
  <si>
    <t>PBG24241568</t>
  </si>
  <si>
    <t>PBG242415910</t>
  </si>
  <si>
    <t>PBG242415810</t>
  </si>
  <si>
    <t>PBG242415610</t>
  </si>
  <si>
    <t>PBG242415912</t>
  </si>
  <si>
    <t>PBG242415812</t>
  </si>
  <si>
    <t>PBG242415612</t>
  </si>
  <si>
    <t>PBG24242196</t>
  </si>
  <si>
    <t>PBG24242186</t>
  </si>
  <si>
    <t>PBG24242166</t>
  </si>
  <si>
    <t>PBG24242198</t>
  </si>
  <si>
    <t>PBG24242188</t>
  </si>
  <si>
    <t>PBG24242168</t>
  </si>
  <si>
    <t>PBG242421910</t>
  </si>
  <si>
    <t>PBG242421810</t>
  </si>
  <si>
    <t>PBG242421610</t>
  </si>
  <si>
    <t>PBG24242596</t>
  </si>
  <si>
    <t>PBG24242586</t>
  </si>
  <si>
    <t>PBG24242566</t>
  </si>
  <si>
    <t>PBG24242598</t>
  </si>
  <si>
    <t>PBG24242588</t>
  </si>
  <si>
    <t>PBG24242568</t>
  </si>
  <si>
    <t>PBG242425910</t>
  </si>
  <si>
    <t>PBG242425810</t>
  </si>
  <si>
    <t>PBG242425610</t>
  </si>
  <si>
    <t>PBG24242996</t>
  </si>
  <si>
    <t>PBG24242986</t>
  </si>
  <si>
    <t>PBG24242966</t>
  </si>
  <si>
    <t>PBG24242998</t>
  </si>
  <si>
    <t>PBG24242988</t>
  </si>
  <si>
    <t>PBG24242968</t>
  </si>
  <si>
    <t>PBG242429910</t>
  </si>
  <si>
    <t>PBG242429810</t>
  </si>
  <si>
    <t>PBG242429610</t>
  </si>
  <si>
    <t>PBG24243696</t>
  </si>
  <si>
    <t>PBG24243686</t>
  </si>
  <si>
    <t>PBG24243666</t>
  </si>
  <si>
    <t>PBG24243698</t>
  </si>
  <si>
    <t>PBG24243688</t>
  </si>
  <si>
    <t>PBG24243668</t>
  </si>
  <si>
    <t>PBG242436910</t>
  </si>
  <si>
    <t>PBG242436810</t>
  </si>
  <si>
    <t>PBG242436610</t>
  </si>
  <si>
    <t>PBG20241596</t>
  </si>
  <si>
    <t>PBG20241586</t>
  </si>
  <si>
    <t>PBG20241566</t>
  </si>
  <si>
    <t>PBG20241598</t>
  </si>
  <si>
    <t>PBG20241588</t>
  </si>
  <si>
    <t>PBG20241568</t>
  </si>
  <si>
    <t>PBG202415910</t>
  </si>
  <si>
    <t>PBG202415810</t>
  </si>
  <si>
    <t>PBG202415610</t>
  </si>
  <si>
    <t>PBG20242196</t>
  </si>
  <si>
    <t>PBG20242186</t>
  </si>
  <si>
    <t>PBG20242166</t>
  </si>
  <si>
    <t>PBG20242198</t>
  </si>
  <si>
    <t>PBG20242188</t>
  </si>
  <si>
    <t>PBG20242168</t>
  </si>
  <si>
    <t>PBG202421910</t>
  </si>
  <si>
    <t>PBG202421810</t>
  </si>
  <si>
    <t>PBG202421610</t>
  </si>
  <si>
    <t>PBG20242596</t>
  </si>
  <si>
    <t>PBG20242586</t>
  </si>
  <si>
    <t>PBG20242566</t>
  </si>
  <si>
    <t>PBG20242598</t>
  </si>
  <si>
    <t>PBG20242588</t>
  </si>
  <si>
    <t>PBG20242568</t>
  </si>
  <si>
    <t>PBG202425910</t>
  </si>
  <si>
    <t>PBG202425810</t>
  </si>
  <si>
    <t>PBG202425610</t>
  </si>
  <si>
    <t>PBG20242996</t>
  </si>
  <si>
    <t>PBG20242986</t>
  </si>
  <si>
    <t>PBG20242966</t>
  </si>
  <si>
    <t>PBG20242998</t>
  </si>
  <si>
    <t>PBG20242988</t>
  </si>
  <si>
    <t>PBG20242968</t>
  </si>
  <si>
    <t>PBG202429910</t>
  </si>
  <si>
    <t>PBG202429810</t>
  </si>
  <si>
    <t>PBG202429610</t>
  </si>
  <si>
    <t>PBG20243696</t>
  </si>
  <si>
    <t>PBG20243686</t>
  </si>
  <si>
    <t>PBG20243666</t>
  </si>
  <si>
    <t>PBG20243698</t>
  </si>
  <si>
    <t>PBG20243688</t>
  </si>
  <si>
    <t>PBG20243668</t>
  </si>
  <si>
    <t>PBG202436910</t>
  </si>
  <si>
    <t>PBG202436810</t>
  </si>
  <si>
    <t>PBG202436610</t>
  </si>
  <si>
    <t>PBG12241593</t>
  </si>
  <si>
    <t>PBG12241583</t>
  </si>
  <si>
    <t>PBG12241563</t>
  </si>
  <si>
    <t>PBG12241594</t>
  </si>
  <si>
    <t>PBG12241584</t>
  </si>
  <si>
    <t>PBG12241564</t>
  </si>
  <si>
    <t>PBG12241595</t>
  </si>
  <si>
    <t>PBG12241585</t>
  </si>
  <si>
    <t>PBG12241565</t>
  </si>
  <si>
    <t>PBG12241596</t>
  </si>
  <si>
    <t>PBG12241586</t>
  </si>
  <si>
    <t>PBG12241566</t>
  </si>
  <si>
    <t>PBG12242193</t>
  </si>
  <si>
    <t>PBG12242183</t>
  </si>
  <si>
    <t>PBG12242163</t>
  </si>
  <si>
    <t>PBG12242194</t>
  </si>
  <si>
    <t>PBG12242184</t>
  </si>
  <si>
    <t>PBG12242164</t>
  </si>
  <si>
    <t>PBG12242195</t>
  </si>
  <si>
    <t>PBG12242185</t>
  </si>
  <si>
    <t>PBG12242165</t>
  </si>
  <si>
    <t>PBG12242593</t>
  </si>
  <si>
    <t>PBG12242583</t>
  </si>
  <si>
    <t>PBG12242563</t>
  </si>
  <si>
    <t>PBG12242594</t>
  </si>
  <si>
    <t>PBG12242584</t>
  </si>
  <si>
    <t>PBG12242564</t>
  </si>
  <si>
    <t>PBG12242595</t>
  </si>
  <si>
    <t>PBG12242585</t>
  </si>
  <si>
    <t>PBG12242565</t>
  </si>
  <si>
    <t>PBG12242993</t>
  </si>
  <si>
    <t>PBG12242983</t>
  </si>
  <si>
    <t>PBG12242963</t>
  </si>
  <si>
    <t>PBG12242994</t>
  </si>
  <si>
    <t>PBG12242984</t>
  </si>
  <si>
    <t>PBG12242964</t>
  </si>
  <si>
    <t>PBG12242995</t>
  </si>
  <si>
    <t>PBG12242985</t>
  </si>
  <si>
    <t>PBG12242965</t>
  </si>
  <si>
    <t>PBG12243693</t>
  </si>
  <si>
    <t>PBG12243683</t>
  </si>
  <si>
    <t>PBG12243663</t>
  </si>
  <si>
    <t>PBG12243694</t>
  </si>
  <si>
    <t>PBG12243684</t>
  </si>
  <si>
    <t>PBG12243664</t>
  </si>
  <si>
    <t>PBG12243695</t>
  </si>
  <si>
    <t>PBG12243685</t>
  </si>
  <si>
    <t>PBG12243665</t>
  </si>
  <si>
    <t>Hanger Loops Available:  Add $3.00 per loop to list</t>
  </si>
  <si>
    <t>Gasket Available:</t>
  </si>
  <si>
    <t>Add $7.00 List for (4) sides</t>
  </si>
  <si>
    <t>Add $6.00 List for (2) sides</t>
  </si>
  <si>
    <t>Add $4.75 List for (1) side</t>
  </si>
  <si>
    <t>List Price Sheet 9PK-T</t>
  </si>
  <si>
    <t>Section 9</t>
  </si>
  <si>
    <t>Product Bulletin 9 ZPAK</t>
  </si>
  <si>
    <t>Synthetic Media</t>
  </si>
  <si>
    <t xml:space="preserve">Rigid High Efficiency Air Filter </t>
  </si>
  <si>
    <t>Base Part</t>
  </si>
  <si>
    <t>Standard Size</t>
  </si>
  <si>
    <t xml:space="preserve">                    EFFICIENCY</t>
  </si>
  <si>
    <t>Approx. Unit</t>
  </si>
  <si>
    <t>MERV 9</t>
  </si>
  <si>
    <t>MERV 13</t>
  </si>
  <si>
    <t>MERV 14</t>
  </si>
  <si>
    <t>Weight lb.</t>
  </si>
  <si>
    <t>ZPS242412M9</t>
  </si>
  <si>
    <t>ZPS242412M11</t>
  </si>
  <si>
    <t>ZPS242412M13</t>
  </si>
  <si>
    <t>ZPS242412M14</t>
  </si>
  <si>
    <t>ZPS242412</t>
  </si>
  <si>
    <t xml:space="preserve">24 x 24 x 12 </t>
  </si>
  <si>
    <t>ZPS122412M9</t>
  </si>
  <si>
    <t>ZPS122412M11</t>
  </si>
  <si>
    <t>ZPS122412M13</t>
  </si>
  <si>
    <t>ZPS122412M14</t>
  </si>
  <si>
    <t>ZPS122412</t>
  </si>
  <si>
    <t>12 x 24 x 12</t>
  </si>
  <si>
    <t>ZPS202012M9</t>
  </si>
  <si>
    <t>ZPS202012M11</t>
  </si>
  <si>
    <t>ZPS202012M13</t>
  </si>
  <si>
    <t>ZPS202012M14</t>
  </si>
  <si>
    <t>ZPS202012</t>
  </si>
  <si>
    <t>20 x 20 x 12</t>
  </si>
  <si>
    <t>ZPS202412M9</t>
  </si>
  <si>
    <t>ZPS202412M11</t>
  </si>
  <si>
    <t>ZPS202412M13</t>
  </si>
  <si>
    <t>ZPS202412M14</t>
  </si>
  <si>
    <t>ZPS202412</t>
  </si>
  <si>
    <t>20 x 24 x 12</t>
  </si>
  <si>
    <t>ZPS252012M9</t>
  </si>
  <si>
    <t>ZPS252012M11</t>
  </si>
  <si>
    <t>ZPS252012M13</t>
  </si>
  <si>
    <t>ZPS252012M14</t>
  </si>
  <si>
    <t>ZPS252012</t>
  </si>
  <si>
    <t>25 x 20 x 12</t>
  </si>
  <si>
    <t>ZPS24246M</t>
  </si>
  <si>
    <t>ZPS24246M11</t>
  </si>
  <si>
    <t>ZPS24246M13</t>
  </si>
  <si>
    <t>ZPS24246M14</t>
  </si>
  <si>
    <t>ZPS24246</t>
  </si>
  <si>
    <t xml:space="preserve">24 x 24 x 6 </t>
  </si>
  <si>
    <t>ZPS12246M</t>
  </si>
  <si>
    <t>ZPS12246M11</t>
  </si>
  <si>
    <t>ZPS12246M13</t>
  </si>
  <si>
    <t>ZPS12246M14</t>
  </si>
  <si>
    <t>ZPS12246</t>
  </si>
  <si>
    <t xml:space="preserve">12 x 24 x 6 </t>
  </si>
  <si>
    <t>ZPS20206M</t>
  </si>
  <si>
    <t>ZPS20206M11</t>
  </si>
  <si>
    <t>ZPS20206M13</t>
  </si>
  <si>
    <t>ZPS20206M14</t>
  </si>
  <si>
    <t>ZPS20206</t>
  </si>
  <si>
    <t>20 x 20 x 6</t>
  </si>
  <si>
    <t>ZPS20246M</t>
  </si>
  <si>
    <t>ZPS20246M11</t>
  </si>
  <si>
    <t>ZPS20246M13</t>
  </si>
  <si>
    <t>ZPS20246M14</t>
  </si>
  <si>
    <t>ZPS20246</t>
  </si>
  <si>
    <t>20 x 24 x 6</t>
  </si>
  <si>
    <t>ZPS25206M</t>
  </si>
  <si>
    <t>ZPS25206M11</t>
  </si>
  <si>
    <t>ZPS25206M13</t>
  </si>
  <si>
    <t>ZPS25206M14</t>
  </si>
  <si>
    <t>ZPS25206</t>
  </si>
  <si>
    <t>25 x 20 x 6</t>
  </si>
  <si>
    <t>NOTE:  The following Sizes &amp; Part Numbers are normally in Stock for Quick Shipment</t>
  </si>
  <si>
    <t>Size &amp; Description</t>
  </si>
  <si>
    <t>24 x 24 x 12 MERV 14 Header</t>
  </si>
  <si>
    <t>ZPS24241295HO</t>
  </si>
  <si>
    <t>24 x 24 x 12 MERV 14 Box</t>
  </si>
  <si>
    <t>ZPS24241295BO</t>
  </si>
  <si>
    <t>12 x 24 x 12 MERV 14 Header</t>
  </si>
  <si>
    <t>ZPS12241295HO</t>
  </si>
  <si>
    <t>12 x 24 x 12 MERV 14 Box</t>
  </si>
  <si>
    <t>ZPS12241295BO</t>
  </si>
  <si>
    <t>To insure that Z-Paks are fabricated to meet job requirements, order by the exact Part Number requirement.</t>
  </si>
  <si>
    <t xml:space="preserve">       Example:  24x24x12 MERV 14 Single Header with Side Load Gasket.</t>
  </si>
  <si>
    <t xml:space="preserve">Base </t>
  </si>
  <si>
    <t>Frame</t>
  </si>
  <si>
    <t xml:space="preserve"> * Gasket Location</t>
  </si>
  <si>
    <t>Efficiency</t>
  </si>
  <si>
    <t>Style</t>
  </si>
  <si>
    <t>(Number = sides)</t>
  </si>
  <si>
    <t>Select the Character</t>
  </si>
  <si>
    <t>45  = MERV 9</t>
  </si>
  <si>
    <t>B  =  Box</t>
  </si>
  <si>
    <t>O  =  No Gasket (0)</t>
  </si>
  <si>
    <t>Base Part Number for Desired Size</t>
  </si>
  <si>
    <t>Box Style</t>
  </si>
  <si>
    <t>65  =  MERV 11</t>
  </si>
  <si>
    <t xml:space="preserve">     H =  Header</t>
  </si>
  <si>
    <t>A  =  Air Exit (4)</t>
  </si>
  <si>
    <t>or</t>
  </si>
  <si>
    <t>B  =  Air Entry (4)</t>
  </si>
  <si>
    <t>85  =  MERV 13</t>
  </si>
  <si>
    <t xml:space="preserve">  DH  =  Double </t>
  </si>
  <si>
    <t>C  =  Air Exit/Entry (8)</t>
  </si>
  <si>
    <t>Insert Exact Size and Efficiency</t>
  </si>
  <si>
    <t xml:space="preserve">            Header</t>
  </si>
  <si>
    <t>D  =  Side Load (2)</t>
  </si>
  <si>
    <t>For Special Size Z-Pak Series S.</t>
  </si>
  <si>
    <t>95  =  MERV 14</t>
  </si>
  <si>
    <t>Single Header</t>
  </si>
  <si>
    <t>E  =  Air Entry/Exit (8)</t>
  </si>
  <si>
    <t>(Contact Factory for availability</t>
  </si>
  <si>
    <t>F  =  Air Entry (4)</t>
  </si>
  <si>
    <t>on Special Sizes)</t>
  </si>
  <si>
    <t>H  =   Air Exit (4)</t>
  </si>
  <si>
    <t>J   =  Side Load (2)</t>
  </si>
  <si>
    <t>S  =  Side Load (1)</t>
  </si>
  <si>
    <t>Double Header</t>
  </si>
  <si>
    <t>K  =  Air Entry/ Exit (8)</t>
  </si>
  <si>
    <t>M  =  Air Entry (4)</t>
  </si>
  <si>
    <t>P  =  Air Exit (4)</t>
  </si>
  <si>
    <t>Q  =  Side Load (2)</t>
  </si>
  <si>
    <t>* Foam Gasketing is optional on Z-Pak Filters:</t>
  </si>
  <si>
    <t>Special Size Z-Paks used next largest size and add</t>
  </si>
  <si>
    <t>Add $12.50 to List for (8) sides</t>
  </si>
  <si>
    <t>NOTE:  Z-Pak GT (Gas Turbine Series) add +20% to List Price</t>
  </si>
  <si>
    <t xml:space="preserve">             Z-Pak GT Available in 24x24 &amp; 12x24 Face Dimensions</t>
  </si>
  <si>
    <t xml:space="preserve">Z-Pak </t>
  </si>
  <si>
    <t>Fiberglass Media</t>
  </si>
  <si>
    <t>EFFICIENCY</t>
  </si>
  <si>
    <t>MERV 15</t>
  </si>
  <si>
    <t>ZPK242412M9</t>
  </si>
  <si>
    <t>ZPK242412M1</t>
  </si>
  <si>
    <t>ZPK242412M13</t>
  </si>
  <si>
    <t>ZPK242412M15</t>
  </si>
  <si>
    <t>ZPK242412</t>
  </si>
  <si>
    <t>ZPK122412M9</t>
  </si>
  <si>
    <t>ZPK122412M1</t>
  </si>
  <si>
    <t>ZPK122412M13</t>
  </si>
  <si>
    <t>ZPK122412M15</t>
  </si>
  <si>
    <t>ZPK122412</t>
  </si>
  <si>
    <t>ZPK202012M9</t>
  </si>
  <si>
    <t>ZPK202012M1</t>
  </si>
  <si>
    <t>ZPK202012M13</t>
  </si>
  <si>
    <t>ZPK202012M15</t>
  </si>
  <si>
    <t>ZPK202012</t>
  </si>
  <si>
    <t>ZPK202412M9</t>
  </si>
  <si>
    <t>ZPK202412M1</t>
  </si>
  <si>
    <t>ZPK202412M13</t>
  </si>
  <si>
    <t>ZPK202412M15</t>
  </si>
  <si>
    <t>ZPK202412</t>
  </si>
  <si>
    <t>ZPK252012M9</t>
  </si>
  <si>
    <t>ZPK252012M1</t>
  </si>
  <si>
    <t>ZPK252012M13</t>
  </si>
  <si>
    <t>ZPK252012M15</t>
  </si>
  <si>
    <t>ZPK252012</t>
  </si>
  <si>
    <t>ZPK24246M9</t>
  </si>
  <si>
    <t>ZPK24246M1</t>
  </si>
  <si>
    <t>ZPK24246M13</t>
  </si>
  <si>
    <t>ZPK24246M15</t>
  </si>
  <si>
    <t>ZPK24246</t>
  </si>
  <si>
    <t>ZPK12246M9</t>
  </si>
  <si>
    <t>ZPK12246M1</t>
  </si>
  <si>
    <t>ZPK12246M13</t>
  </si>
  <si>
    <t>ZPK12246M15</t>
  </si>
  <si>
    <t>ZPK12246</t>
  </si>
  <si>
    <t>ZPK20206M9</t>
  </si>
  <si>
    <t>ZPK20206M1</t>
  </si>
  <si>
    <t>ZPK20206M13</t>
  </si>
  <si>
    <t>ZPK20206M15</t>
  </si>
  <si>
    <t>ZPK20206</t>
  </si>
  <si>
    <t>ZPK20246M9</t>
  </si>
  <si>
    <t>ZPK20246M1</t>
  </si>
  <si>
    <t>ZPK20246M13</t>
  </si>
  <si>
    <t>ZPK20246M15</t>
  </si>
  <si>
    <t>ZPK20246</t>
  </si>
  <si>
    <t>ZPK25206M9</t>
  </si>
  <si>
    <t>ZPK25206M1</t>
  </si>
  <si>
    <t>ZPK25206M13</t>
  </si>
  <si>
    <t>ZPK25206M15</t>
  </si>
  <si>
    <t>ZPK25206</t>
  </si>
  <si>
    <t>Example:  24x24x12 MERV 14 Single Header with Side Load Gasket.</t>
  </si>
  <si>
    <t xml:space="preserve">                     Base </t>
  </si>
  <si>
    <t xml:space="preserve">               Part Number</t>
  </si>
  <si>
    <t>95  =  MERV 15</t>
  </si>
  <si>
    <t>For Special Size Z-Pak.</t>
  </si>
  <si>
    <t>24 x 24 x 4</t>
  </si>
  <si>
    <t>12 x 24 x 4</t>
  </si>
  <si>
    <t>20 x 24 x 4</t>
  </si>
  <si>
    <t>List Price Sheet 11PURIILR-B</t>
  </si>
  <si>
    <t>Section 11</t>
  </si>
  <si>
    <t>Product Bulletin 11 PURIILR</t>
  </si>
  <si>
    <t>PURACELL® II LR</t>
  </si>
  <si>
    <t>Plastic Media Separators</t>
  </si>
  <si>
    <t xml:space="preserve">ACTUAL </t>
  </si>
  <si>
    <t xml:space="preserve">UNIT </t>
  </si>
  <si>
    <t>CASE</t>
  </si>
  <si>
    <t>W X H X D</t>
  </si>
  <si>
    <t>PURSLR2424495</t>
  </si>
  <si>
    <t>PURSLR2520495</t>
  </si>
  <si>
    <t>25 x 20 x 4</t>
  </si>
  <si>
    <t>PURSLR2024495</t>
  </si>
  <si>
    <t>PURSLR2020495</t>
  </si>
  <si>
    <t>20 x 20 x 4</t>
  </si>
  <si>
    <t>PURSLR1824495</t>
  </si>
  <si>
    <t>18 x 24 x 4</t>
  </si>
  <si>
    <t>PURSLR2516495</t>
  </si>
  <si>
    <t>25 x 16 x 4</t>
  </si>
  <si>
    <t>PURSLR1620495</t>
  </si>
  <si>
    <t>16 x 20 x 4</t>
  </si>
  <si>
    <t>PURSLR1224495</t>
  </si>
  <si>
    <t>PURACELL® II  P-LR &amp; PH-LR</t>
  </si>
  <si>
    <t>BASE</t>
  </si>
  <si>
    <t>UNIT PRICE</t>
  </si>
  <si>
    <t>APPROX</t>
  </si>
  <si>
    <t>MODEL</t>
  </si>
  <si>
    <t>BOX (B)</t>
  </si>
  <si>
    <t>HEADER (H)</t>
  </si>
  <si>
    <t>CTN WT. (LB)</t>
  </si>
  <si>
    <t>STYLE</t>
  </si>
  <si>
    <t>BOX</t>
  </si>
  <si>
    <t>HDR</t>
  </si>
  <si>
    <t>Standard Sizes</t>
  </si>
  <si>
    <t>* 202549</t>
  </si>
  <si>
    <t>* 162549</t>
  </si>
  <si>
    <t xml:space="preserve"> * Model Number Size Configuration may be produced as 20x25 or 25x20 and 16x25 or 25x16.</t>
  </si>
  <si>
    <t>Foam Gasket is optional:        Add  $12.50 to List for (8) sides.</t>
  </si>
  <si>
    <t xml:space="preserve">                                                     Add $7.00 to List for (4) sides.</t>
  </si>
  <si>
    <t xml:space="preserve">                                                     Add $6.00 to List for (2) sides.</t>
  </si>
  <si>
    <t xml:space="preserve">                                                     Add $4.75 to List for (1) sides.</t>
  </si>
  <si>
    <t>Puracell LR P &amp; PH</t>
  </si>
  <si>
    <t>*Gasket Location</t>
  </si>
  <si>
    <t>Prefix ID</t>
  </si>
  <si>
    <t>(Number = Sides)</t>
  </si>
  <si>
    <t>PUPSLR</t>
  </si>
  <si>
    <t xml:space="preserve"> B  =  Box</t>
  </si>
  <si>
    <t>Select the Base</t>
  </si>
  <si>
    <t>O  =  No Gasket (0)</t>
  </si>
  <si>
    <t>Part Number for Desired Size</t>
  </si>
  <si>
    <t>H = Single Header</t>
  </si>
  <si>
    <t>and Efficiency</t>
  </si>
  <si>
    <t>A = Air Exit (4)</t>
  </si>
  <si>
    <t>B = Air Entry (4)</t>
  </si>
  <si>
    <t>C = Air Exit/Entry (8)</t>
  </si>
  <si>
    <t>D = Side Load (2)</t>
  </si>
  <si>
    <t>  Single Header</t>
  </si>
  <si>
    <t>E = Air Exit/Entry (8)</t>
  </si>
  <si>
    <t>F = Air Entry (4)</t>
  </si>
  <si>
    <t>H = Air Exit (4)</t>
  </si>
  <si>
    <t>J = Side Load (2)</t>
  </si>
  <si>
    <t>*S = Side Load (1)</t>
  </si>
  <si>
    <t>35% Margin</t>
  </si>
  <si>
    <t>30% Margin</t>
  </si>
  <si>
    <t>25% Margin</t>
  </si>
  <si>
    <t xml:space="preserve">The Z-Line Series </t>
  </si>
  <si>
    <t>MADE-TO-ORDER SIZES</t>
  </si>
  <si>
    <t>Gross Area</t>
  </si>
  <si>
    <t xml:space="preserve">Part </t>
  </si>
  <si>
    <t xml:space="preserve">List </t>
  </si>
  <si>
    <t>Square Inches</t>
  </si>
  <si>
    <t>Price</t>
  </si>
  <si>
    <t>Less than 150"</t>
  </si>
  <si>
    <t>ZLPSP1A</t>
  </si>
  <si>
    <t>ZLPSP2A</t>
  </si>
  <si>
    <t>ZLPSP4A</t>
  </si>
  <si>
    <t>150-199"</t>
  </si>
  <si>
    <t>ZLPSP1B</t>
  </si>
  <si>
    <t>ZLPSP2B</t>
  </si>
  <si>
    <t>ZLPSP4B</t>
  </si>
  <si>
    <t>200-249"</t>
  </si>
  <si>
    <t>ZLPSP1C</t>
  </si>
  <si>
    <t>ZLPSP2C</t>
  </si>
  <si>
    <t>ZLPSP4C</t>
  </si>
  <si>
    <t>250-299"</t>
  </si>
  <si>
    <t>ZLPSP1D</t>
  </si>
  <si>
    <t>ZLPSP2D</t>
  </si>
  <si>
    <t>ZLPSP4D</t>
  </si>
  <si>
    <t>300-399"</t>
  </si>
  <si>
    <t>ZLPSP1E</t>
  </si>
  <si>
    <t>ZLPSP2E</t>
  </si>
  <si>
    <t>ZLPSP4E</t>
  </si>
  <si>
    <t>400-499"</t>
  </si>
  <si>
    <t>ZLPSP1F</t>
  </si>
  <si>
    <t>ZLPSP2F</t>
  </si>
  <si>
    <t>ZLPSP4F</t>
  </si>
  <si>
    <t>500-599"</t>
  </si>
  <si>
    <t>ZLPSP1G</t>
  </si>
  <si>
    <t>ZLPSP2G</t>
  </si>
  <si>
    <t>ZLPSP4G</t>
  </si>
  <si>
    <t>600-699"</t>
  </si>
  <si>
    <t>ZLPSP1H</t>
  </si>
  <si>
    <t>ZLPSP2H</t>
  </si>
  <si>
    <t>ZLPSP4H</t>
  </si>
  <si>
    <t>700-799"</t>
  </si>
  <si>
    <t>ZLPSP1I</t>
  </si>
  <si>
    <t>ZLPSP2I</t>
  </si>
  <si>
    <t>ZLPSP4I</t>
  </si>
  <si>
    <t>800-899"</t>
  </si>
  <si>
    <t>ZLPSP1J</t>
  </si>
  <si>
    <t>ZLPSP2J</t>
  </si>
  <si>
    <t>ZLPSP4J</t>
  </si>
  <si>
    <t>ZLPSP1K</t>
  </si>
  <si>
    <t>ZLPSP2K</t>
  </si>
  <si>
    <t>ZLPSP4K</t>
  </si>
  <si>
    <t xml:space="preserve">*  MINIMUM: </t>
  </si>
  <si>
    <t>12 Per size; Less than 12 per size add +40% to each filter.</t>
  </si>
  <si>
    <t>Made to order filters are bulk packed.</t>
  </si>
  <si>
    <t>* OPTIONS: For higher efficiency media use the following to calculate list price:</t>
  </si>
  <si>
    <t>*  DOUBLE SIZE:  Z-Line Optional 65%, 85% &amp; 95% pleated filters.</t>
  </si>
  <si>
    <t xml:space="preserve">     a)  65%  Filters:  take list price  x  2.75  for standard or special sizes.</t>
  </si>
  <si>
    <t xml:space="preserve">     b)  85%  Filters:  take list price  x  4.35  for standard or special sizes.</t>
  </si>
  <si>
    <t xml:space="preserve">     c)  95%  Filters:  take  list price  x  4.75  for standard or special sizes.</t>
  </si>
  <si>
    <t>List</t>
  </si>
  <si>
    <t>HVPSP1A</t>
  </si>
  <si>
    <t>HVPSP1B</t>
  </si>
  <si>
    <t>HVPSP1C</t>
  </si>
  <si>
    <t>HVPSP1D</t>
  </si>
  <si>
    <t>HVPSP1E</t>
  </si>
  <si>
    <t>HVPSP1F</t>
  </si>
  <si>
    <t>HVPSP1G</t>
  </si>
  <si>
    <t>HVPSP1H</t>
  </si>
  <si>
    <t>HVPSP1I</t>
  </si>
  <si>
    <t>HVPSP1J</t>
  </si>
  <si>
    <t>HVPSP1K</t>
  </si>
  <si>
    <t>HVPSP2A</t>
  </si>
  <si>
    <t>HVPSP2B</t>
  </si>
  <si>
    <t>HVPSP2C</t>
  </si>
  <si>
    <t>HVPSP2D</t>
  </si>
  <si>
    <t>HVPSP2E</t>
  </si>
  <si>
    <t>HVPSP2F</t>
  </si>
  <si>
    <t>HVPSP2G</t>
  </si>
  <si>
    <t>HVPSP2H</t>
  </si>
  <si>
    <t>HVPSP2I</t>
  </si>
  <si>
    <t>HVPSP2J</t>
  </si>
  <si>
    <t>HVPSP2K</t>
  </si>
  <si>
    <t>HVPSP4A</t>
  </si>
  <si>
    <t>HVPSP4B</t>
  </si>
  <si>
    <t>HVPSP4C</t>
  </si>
  <si>
    <t>HVPSP4D</t>
  </si>
  <si>
    <t>HVPSP4E</t>
  </si>
  <si>
    <t>HVPSP4F</t>
  </si>
  <si>
    <t>HVPSP4G</t>
  </si>
  <si>
    <t>HVPSP4H</t>
  </si>
  <si>
    <t>HVPSP4I</t>
  </si>
  <si>
    <t>HVPSP4J</t>
  </si>
  <si>
    <t>HVPSP4K</t>
  </si>
  <si>
    <t xml:space="preserve">MINIMUM: </t>
  </si>
  <si>
    <t>DOUBLE SIZE:</t>
  </si>
  <si>
    <t>double size HV, calculate 1/2 of the square inches for the desired size</t>
  </si>
  <si>
    <t>H</t>
  </si>
  <si>
    <t>W</t>
  </si>
  <si>
    <t>TOTAL</t>
  </si>
  <si>
    <t>The Z-Line Series  ZL</t>
  </si>
  <si>
    <t xml:space="preserve">ZL  1  </t>
  </si>
  <si>
    <t xml:space="preserve">ZL  2  </t>
  </si>
  <si>
    <t xml:space="preserve">ZL  4  </t>
  </si>
  <si>
    <t>Less than 150</t>
  </si>
  <si>
    <t>150-199</t>
  </si>
  <si>
    <t>200-249</t>
  </si>
  <si>
    <t>250-299</t>
  </si>
  <si>
    <t>300-399</t>
  </si>
  <si>
    <t>400-499</t>
  </si>
  <si>
    <t>500-599</t>
  </si>
  <si>
    <t>600-699</t>
  </si>
  <si>
    <t>700-799</t>
  </si>
  <si>
    <t>800-899</t>
  </si>
  <si>
    <t>900-999</t>
  </si>
  <si>
    <t>*  DOUBLE SIZE:  Z-Line ZL pleated filters</t>
  </si>
  <si>
    <t xml:space="preserve"> * The minimum dimensions of a special size is 4 x 4.</t>
  </si>
  <si>
    <t>Optional Made to Order 65%, 85% &amp; 95% filters are if both dimensions are larger than 24 3/4, or if either dimension is larger than 35 it is considered a double size filter.  To figure the price on a double size size optional efficiency, calculate 1/2 of the square inches for the desired size and double the list price.</t>
  </si>
  <si>
    <t>The Z-Line Series HV</t>
  </si>
  <si>
    <t xml:space="preserve"> 1 STANDARD</t>
  </si>
  <si>
    <t>2 STANDARD</t>
  </si>
  <si>
    <t xml:space="preserve"> 4 STANDARD</t>
  </si>
  <si>
    <t xml:space="preserve">Add +35% to List Price.  Add HDR to the end of </t>
  </si>
  <si>
    <t>6 STANDARD</t>
  </si>
  <si>
    <t>HV  1</t>
  </si>
  <si>
    <t>*The minimum size of special size HV pleats is 4 x 4.</t>
  </si>
  <si>
    <t>If both dimensions are larger than 28, or if either dimension is larger</t>
  </si>
  <si>
    <t>than 35 it is considered a double size filter.  To figure the price on a</t>
  </si>
  <si>
    <t>and then double the list price. The maximum length dimension is 96.</t>
  </si>
  <si>
    <t>6 Special-Size HV  Pleats: add 55% to the 4 list price.</t>
  </si>
  <si>
    <t>The Z-Line Series MR-11</t>
  </si>
  <si>
    <t>The Z-Line Series MR-13</t>
  </si>
  <si>
    <t>The Z-Line Series CARBOTRON</t>
  </si>
  <si>
    <t>1 STANDARD</t>
  </si>
  <si>
    <t>4 STANDARD</t>
  </si>
  <si>
    <t>The Z-Line Series HVXM and MR11XM</t>
  </si>
  <si>
    <t>1 STD SIZES</t>
  </si>
  <si>
    <t>2 STD SIZES</t>
  </si>
  <si>
    <t>4 STD SIZES</t>
  </si>
  <si>
    <t>For pricing on standard size face dimension 22 depth use</t>
  </si>
  <si>
    <t>21 List Price and for 30 use 29 List Price</t>
  </si>
  <si>
    <t>Z-PAK SERIES S</t>
  </si>
  <si>
    <t xml:space="preserve">                              Part Number =  ZPS24241295HJ</t>
  </si>
  <si>
    <t xml:space="preserve">                ZPS242412</t>
  </si>
  <si>
    <t>J</t>
  </si>
  <si>
    <t>+ 30% to List Price.  Maximum height = 24 nominal</t>
  </si>
  <si>
    <t>Part Number =  ZPK24241295HJ</t>
  </si>
  <si>
    <t xml:space="preserve">                ZPK242412</t>
  </si>
  <si>
    <t>+ 30% to List Price.  Maximum height = 24 nominal.</t>
  </si>
  <si>
    <t>4 BEVERAGE BOARD FRAME SYNTHETIC MEDIA</t>
  </si>
  <si>
    <t>23 3/8 x 23 3/8 x 3 3/4</t>
  </si>
  <si>
    <t>24 1/2” x 19 1/2 x 3 3/4</t>
  </si>
  <si>
    <t>19 3/8 x 23 3/8 x 3 3/4</t>
  </si>
  <si>
    <t>19 1/2 x 19 1/2 x 3 3/4</t>
  </si>
  <si>
    <t>17 1/2 x 23 1/2 x 3 3/4</t>
  </si>
  <si>
    <t>24 1/2” x 15 1/2 x 3 3/4</t>
  </si>
  <si>
    <t>15 1/2 x 19 1/2 x 3 3/4</t>
  </si>
  <si>
    <t>11 3/8 x 23 3/8 x 3 3/4</t>
  </si>
  <si>
    <t xml:space="preserve">4 PLASTIC FRAME SYNTHETIC MEDIA </t>
  </si>
  <si>
    <t>19 1/2 x 24 1/2” x 3 3/4</t>
  </si>
  <si>
    <t>15 1/2 x 24 1/2” x 3 3/4</t>
  </si>
  <si>
    <t>The Z-Line Series</t>
  </si>
  <si>
    <t>MR-11   1"</t>
  </si>
  <si>
    <t>M11SP1A</t>
  </si>
  <si>
    <t>M11SP1B</t>
  </si>
  <si>
    <t>M11SP1C</t>
  </si>
  <si>
    <t>M11SP1D</t>
  </si>
  <si>
    <t>M11SP1E</t>
  </si>
  <si>
    <t>M11SP1F</t>
  </si>
  <si>
    <t>M11SP1G</t>
  </si>
  <si>
    <t>M11SP1H</t>
  </si>
  <si>
    <t>M11SP1I</t>
  </si>
  <si>
    <t>M11SP1J</t>
  </si>
  <si>
    <t>MR-11   2"</t>
  </si>
  <si>
    <t>M11SP2A</t>
  </si>
  <si>
    <t>M11SP2B</t>
  </si>
  <si>
    <t>M11SP2C</t>
  </si>
  <si>
    <t>M11SP2D</t>
  </si>
  <si>
    <t>M11SP2E</t>
  </si>
  <si>
    <t>M11SP2F</t>
  </si>
  <si>
    <t>M11SP2G</t>
  </si>
  <si>
    <t>M11SP2H</t>
  </si>
  <si>
    <t>M11SP2I</t>
  </si>
  <si>
    <t>M11SP2J</t>
  </si>
  <si>
    <t>MR-11   4"</t>
  </si>
  <si>
    <t>M11SP4A</t>
  </si>
  <si>
    <t>M11SP4B</t>
  </si>
  <si>
    <t>M11SP4C</t>
  </si>
  <si>
    <t>M11SP4D</t>
  </si>
  <si>
    <t>M11SP4E</t>
  </si>
  <si>
    <t>M11SP4F</t>
  </si>
  <si>
    <t>M11SP4G</t>
  </si>
  <si>
    <t>M11SP4H</t>
  </si>
  <si>
    <t>M11SP4I</t>
  </si>
  <si>
    <t>M11SP4J</t>
  </si>
  <si>
    <t xml:space="preserve">*MINIMUM: </t>
  </si>
  <si>
    <t>12 Per size; Less than 12 per size add 40% to each filter.</t>
  </si>
  <si>
    <t>Made-To-Order filters are bulk packed.</t>
  </si>
  <si>
    <t xml:space="preserve"> * The minimum size of a special size is 4" x 4".</t>
  </si>
  <si>
    <t>*DOUBLE SIZE:</t>
  </si>
  <si>
    <t xml:space="preserve">If both dimensions are larger than 24 3/4”, or if either dimension is </t>
  </si>
  <si>
    <t>larger than 35” it is considered a double size filter .</t>
  </si>
  <si>
    <t>To figure the price on a double size MR-11 calculate 1/2 of the square</t>
  </si>
  <si>
    <t>inches for the desired size and then double the list price.</t>
  </si>
  <si>
    <t>The maximum length dimension is 96".</t>
  </si>
  <si>
    <t>6" Special-Size Pleats: add 55% to the 4" list price.</t>
  </si>
  <si>
    <t>MR-13  1"</t>
  </si>
  <si>
    <t>M13SP1A</t>
  </si>
  <si>
    <t>M13SP1B</t>
  </si>
  <si>
    <t>M13SP1C</t>
  </si>
  <si>
    <t>M13SP1D</t>
  </si>
  <si>
    <t>M13SP1E</t>
  </si>
  <si>
    <t>M13SP1F</t>
  </si>
  <si>
    <t>M13SP1G</t>
  </si>
  <si>
    <t>M13SP1H</t>
  </si>
  <si>
    <t>M13SP1I</t>
  </si>
  <si>
    <t>M13SP1J</t>
  </si>
  <si>
    <t>MR-13  2"</t>
  </si>
  <si>
    <t>M13SP2A</t>
  </si>
  <si>
    <t>M13SP2B</t>
  </si>
  <si>
    <t>M13SP2C</t>
  </si>
  <si>
    <t>M13SP2D</t>
  </si>
  <si>
    <t>M13SP2E</t>
  </si>
  <si>
    <t>M13SP2F</t>
  </si>
  <si>
    <t>M13SP2G</t>
  </si>
  <si>
    <t>M13SP2H</t>
  </si>
  <si>
    <t>M13SP2I</t>
  </si>
  <si>
    <t>M13SP2J</t>
  </si>
  <si>
    <t>MR-13   4"</t>
  </si>
  <si>
    <t>M13SP4A</t>
  </si>
  <si>
    <t>M13SP4B</t>
  </si>
  <si>
    <t>M13SP4C</t>
  </si>
  <si>
    <t>M13SP4D</t>
  </si>
  <si>
    <t>RPSGFLOSS</t>
  </si>
  <si>
    <t>M13SP4E</t>
  </si>
  <si>
    <t>M13SP4F</t>
  </si>
  <si>
    <t>M13SP4G</t>
  </si>
  <si>
    <t>M13SP4H</t>
  </si>
  <si>
    <t>M13SP4I</t>
  </si>
  <si>
    <t>M13SP4J</t>
  </si>
  <si>
    <t>12 Per size; less than 12 per size add +40% to each filter.</t>
  </si>
  <si>
    <t>To figure the price on a double size MR-13 calculate 1/2 of the square</t>
  </si>
  <si>
    <t>The maximum length is 96".</t>
  </si>
  <si>
    <t>6" Special Size MR-13 Pleats:  add 55% to 4" list price</t>
  </si>
  <si>
    <t xml:space="preserve">CARBOTRON 1" </t>
  </si>
  <si>
    <t>GROSS AREA</t>
  </si>
  <si>
    <t>Part</t>
  </si>
  <si>
    <t>SQ. INCHES</t>
  </si>
  <si>
    <t>LESS THAN 150</t>
  </si>
  <si>
    <t>ZLNSP14ACA</t>
  </si>
  <si>
    <t>ZLNSP14ACB</t>
  </si>
  <si>
    <t>ZLNSP14ACC</t>
  </si>
  <si>
    <t>ZLNSP14ACD</t>
  </si>
  <si>
    <t>ZLNSP14ACE</t>
  </si>
  <si>
    <t>ZLNSP14ACF</t>
  </si>
  <si>
    <t>ZLNSP14ACG</t>
  </si>
  <si>
    <t>ZLNSP14ACH</t>
  </si>
  <si>
    <t>700-882</t>
  </si>
  <si>
    <t>ZLNSP14ACI</t>
  </si>
  <si>
    <t xml:space="preserve">CARBOTRON 2" </t>
  </si>
  <si>
    <t>ZLNSP24ACA</t>
  </si>
  <si>
    <t>ZLNSP24ACB</t>
  </si>
  <si>
    <t>ZLNSP24ACC</t>
  </si>
  <si>
    <t>ZLNSP24ACD</t>
  </si>
  <si>
    <t>ZLNSP24ACE</t>
  </si>
  <si>
    <t>ZLNSP24ACF</t>
  </si>
  <si>
    <t>ZLNSP24ACG</t>
  </si>
  <si>
    <t>ZLNSP24ACH</t>
  </si>
  <si>
    <t>ZLNSP24ACI</t>
  </si>
  <si>
    <t xml:space="preserve">CARBOTRON 4" </t>
  </si>
  <si>
    <t>ZLNSP44ACA</t>
  </si>
  <si>
    <t>ZLNSP44ACB</t>
  </si>
  <si>
    <t>ZLNSP44ACC</t>
  </si>
  <si>
    <t>ZLNSP44ACD</t>
  </si>
  <si>
    <t>ZLNSP44ACE</t>
  </si>
  <si>
    <t>ZLNSP44ACF</t>
  </si>
  <si>
    <t>ZLNSP44ACG</t>
  </si>
  <si>
    <t>ZLNSP44ACH</t>
  </si>
  <si>
    <t>ZLNSP44ACI</t>
  </si>
  <si>
    <t>Minimum of 12 pieces per size; less than 12 add +40% to each filter.</t>
  </si>
  <si>
    <t>* DOUBLE SIZE:  Z-Line Series "Carbotron" Pleated Filters</t>
  </si>
  <si>
    <t>If both dimensions are larger than 25”, or if either dimension</t>
  </si>
  <si>
    <t>is larger than 35” it is considered a double size filter.</t>
  </si>
  <si>
    <t>To figure the price on a double size Carbotron, calculate 1/2 of the square</t>
  </si>
  <si>
    <t>L</t>
  </si>
  <si>
    <t xml:space="preserve">If both dimensions are larger that 28, or if either dimension is larger than 35, it is considered a double size filter. </t>
  </si>
  <si>
    <t>To figure the price on a double size ZL, calculate 1/2 of the square inches for the desired size and then double the list price. The maximum length dimension is 96.</t>
  </si>
  <si>
    <t>inches h</t>
  </si>
  <si>
    <t>inches l</t>
  </si>
  <si>
    <t>PRICE 1"</t>
  </si>
  <si>
    <t>PRICE 2"</t>
  </si>
  <si>
    <t>*Note. Insert sizes in their appropiate size cells, use the result based on the depth (width) inches</t>
  </si>
  <si>
    <t>HV 2</t>
  </si>
  <si>
    <t>HV 4</t>
  </si>
  <si>
    <t>AFC COST</t>
  </si>
  <si>
    <t>20% Margin</t>
  </si>
  <si>
    <t>PRICE 4"</t>
  </si>
  <si>
    <t>DOUBLE SIZE PRICING</t>
  </si>
  <si>
    <t>15% Margin</t>
  </si>
  <si>
    <t>DISTRIBUTOR MULTIPLIER SHEET</t>
  </si>
  <si>
    <t>PRICES SUBJECT TO CHANGE WITHOUT NOTICE</t>
  </si>
  <si>
    <t>Search Date: 4/9/2025</t>
  </si>
  <si>
    <t>Page 1 of 3</t>
  </si>
  <si>
    <t>Discount Code Effective Date</t>
  </si>
  <si>
    <t>DVNCF-D2014 Mar 01, 2014</t>
  </si>
  <si>
    <t>Freight Terms</t>
  </si>
  <si>
    <t>Consolidated to Full Truckload Prepaid</t>
  </si>
  <si>
    <t>P.O. BOX 80759</t>
  </si>
  <si>
    <t>RCHO STA MARG, CA 92688-0759</t>
  </si>
  <si>
    <t>United States</t>
  </si>
  <si>
    <t>ADVANCED FILTRATION CONC</t>
  </si>
  <si>
    <t>Customer No: DVNCF</t>
  </si>
  <si>
    <t>Section Product Price Sheet Listed Quantity Discount Multiplier</t>
  </si>
  <si>
    <t>DISPOSABLE FILTERS:</t>
  </si>
  <si>
    <t>PADS &amp; BULK MEDIA:</t>
  </si>
  <si>
    <t>POLY RINGS, SLEEVES, &amp; LINKS:</t>
  </si>
  <si>
    <t>AIR CLEANER REPLACEMENT FILTERS:</t>
  </si>
  <si>
    <t>Z-LINE PLEATED FILTERS:</t>
  </si>
  <si>
    <t>CUBES &amp; CARTRIDGE FILTERS:</t>
  </si>
  <si>
    <t>BAG FILTERS:</t>
  </si>
  <si>
    <t>Z-PAK RIGID CELL FILTERS:</t>
  </si>
  <si>
    <t>MAGNA RIGID CELL FILTERS:</t>
  </si>
  <si>
    <t>MAGNA 600, 800, 900 SERIES &amp; MAGNA</t>
  </si>
  <si>
    <t>HT SERIES</t>
  </si>
  <si>
    <t>10MAG -</t>
  </si>
  <si>
    <t>10MAGHT</t>
  </si>
  <si>
    <t>PURACELL MINI-PLEAT FILTERS:</t>
  </si>
  <si>
    <t>PURACELL II M / MH MINI-PLT SERIES -</t>
  </si>
  <si>
    <t>PUG</t>
  </si>
  <si>
    <t>PURACELL II M / MH SYN MINI-PLT</t>
  </si>
  <si>
    <t>SERIES - PUGS</t>
  </si>
  <si>
    <t>PURACELL II P / PH MINI-PLT SERIES -</t>
  </si>
  <si>
    <t>PUPF</t>
  </si>
  <si>
    <t>PURACELL II PS / PHS SYN MINI-PLT</t>
  </si>
  <si>
    <t>SERIES - PURPS</t>
  </si>
  <si>
    <t>PURACELL II 2" P-S Synthetic Mini-Pleat</t>
  </si>
  <si>
    <t>Series - PURPS2</t>
  </si>
  <si>
    <t>PURACELL II LR Bev Board Frame,</t>
  </si>
  <si>
    <t>PURSLR</t>
  </si>
  <si>
    <t>PURACELL V MINI-PLEAT FILTERS</t>
  </si>
  <si>
    <t>Section</t>
  </si>
  <si>
    <t>Product</t>
  </si>
  <si>
    <t>Sheet</t>
  </si>
  <si>
    <t>Listed</t>
  </si>
  <si>
    <t>Quantity</t>
  </si>
  <si>
    <t>Discount</t>
  </si>
  <si>
    <t>Case Quantity</t>
  </si>
  <si>
    <t xml:space="preserve">Any Quantity </t>
  </si>
  <si>
    <t xml:space="preserve">900 SERIES &amp; </t>
  </si>
  <si>
    <t>MH MINI-PLT S</t>
  </si>
  <si>
    <t>/ MH SYN MINI</t>
  </si>
  <si>
    <t>PH MINI-PLT S</t>
  </si>
  <si>
    <t>/ PHS SYN MIN</t>
  </si>
  <si>
    <t>2" P-S Synthe</t>
  </si>
  <si>
    <t xml:space="preserve">LR Bev Board </t>
  </si>
  <si>
    <t>1" GDS DISPOSABLE 1GDS-B</t>
  </si>
  <si>
    <t>2" GDS DISPOSABLE 1GDS-B</t>
  </si>
  <si>
    <t>GTA MADE-TO-ORDER DISPOSABLE 1FG</t>
  </si>
  <si>
    <t>FIBERGLASS PRE-CUT PADS 2PD</t>
  </si>
  <si>
    <t>POLYESTER PRE-CUT PADS 2PD</t>
  </si>
  <si>
    <t>HOGSHAIR PRECUT PADS 2PD</t>
  </si>
  <si>
    <t>SERVICE ROLLS FIBERGLASS 2BK</t>
  </si>
  <si>
    <t>SERVICE ROLLS SYNTHETIC 2BK</t>
  </si>
  <si>
    <t>FIBERGLASS BULK MEDIA 2BK</t>
  </si>
  <si>
    <t>POLYESTER BULK ROLL 2BK</t>
  </si>
  <si>
    <t>U TRIM FOAM 2BK</t>
  </si>
  <si>
    <t>HOGGHAIR MEDIA 2BK</t>
  </si>
  <si>
    <t>EC II FG AUTOMATIC ROLL FILTER 3AR</t>
  </si>
  <si>
    <t>1250 POLY AUTOMATIC ROLL FILTER 3AR</t>
  </si>
  <si>
    <t>PHOENIX SERIES - SYNTHETIC 3AR</t>
  </si>
  <si>
    <t>POLY-RING/SLEEVES/LINKS 4PR</t>
  </si>
  <si>
    <t>SPECIAL POLY RINGS/LINKS/SLEEVES 4PR</t>
  </si>
  <si>
    <t>POLY-SLEEVE SERVICE ROLLS 4PR</t>
  </si>
  <si>
    <t>Z-LINE 700 SG/700 SGX SERIES 5AC</t>
  </si>
  <si>
    <t>Z-LINE 300/500 AB SERIES 5AC</t>
  </si>
  <si>
    <t>Z-LINE 400 HW 5AC</t>
  </si>
  <si>
    <t>ZPM PLEATED MEDIA INSERTS 6SB</t>
  </si>
  <si>
    <t>ZL 1" PLEAT 6ZL</t>
  </si>
  <si>
    <t>ZL 2" PLEAT 6ZL</t>
  </si>
  <si>
    <t>ZL 4" PLEAT 6ZL</t>
  </si>
  <si>
    <t>1" ZL MADE-TO-ORDER 6ZL</t>
  </si>
  <si>
    <t>2" ZL MADE-TO-ORDER 6ZL</t>
  </si>
  <si>
    <t>4" ZL MADE-TO-ORDER 6ZL</t>
  </si>
  <si>
    <t>HV 1" PLEATS 6HV</t>
  </si>
  <si>
    <t>HV 2" PLEATS 6HV</t>
  </si>
  <si>
    <t>HV 4" PLEATS 6HV</t>
  </si>
  <si>
    <t>HV - MADE-TO-ORDER 6HV</t>
  </si>
  <si>
    <t>MR-11 STANDARD SIZE 1" 6MR11</t>
  </si>
  <si>
    <t>MR-11 STANDARD SIZE 2" 6MR11</t>
  </si>
  <si>
    <t>MR-11 STANDARD SIZE 4" 6MR11</t>
  </si>
  <si>
    <t>MR-11 PLEAT - MADE-TO-ORDER 6MR11</t>
  </si>
  <si>
    <t>MR-13 STANDARD SIZE 1" 6MR13-B</t>
  </si>
  <si>
    <t>MR-13 STANDARD SIZE 2" 6MR13-B</t>
  </si>
  <si>
    <t>MR-13 STANDARD SIZE 4" 6MR13-B</t>
  </si>
  <si>
    <t>MR-13 PLEAT - MADE-TO-ORDER 6MR13-B</t>
  </si>
  <si>
    <t>6CR</t>
  </si>
  <si>
    <t>CARBOTRON PLEATED FILTER 6CR</t>
  </si>
  <si>
    <t>Z-LINE 1000 SERIES 6UL</t>
  </si>
  <si>
    <t>QUAD 440 / 420 POLYESTER BAG 7QC</t>
  </si>
  <si>
    <t>POLY-CUBE FILTERS 7QC</t>
  </si>
  <si>
    <t>K-PAK FILTERS 7QC</t>
  </si>
  <si>
    <t>EXCEL SYNTHETIC BAG 8EX</t>
  </si>
  <si>
    <t>PURAPAK FIBERGLASS BAG 8PK</t>
  </si>
  <si>
    <t>OIL MIST BAG 8PK</t>
  </si>
  <si>
    <t>FIBERGLASS Z-PAK RIGID FILTER 9ZK</t>
  </si>
  <si>
    <t>SYNTHETIC Z-PAK RIGID FILTER 9ZK</t>
  </si>
  <si>
    <t>MAGNA 950, 1000, 1100 SERIES 10MAG</t>
  </si>
  <si>
    <t>MAGNA TURBINE 10MAG</t>
  </si>
  <si>
    <t>PURACELL II MINI-PLEAT SERIES - PUR 11PUR</t>
  </si>
  <si>
    <t>11PUG</t>
  </si>
  <si>
    <t>11PUR-P</t>
  </si>
  <si>
    <t>12PURVPSVPXS</t>
  </si>
  <si>
    <t>11PUR</t>
  </si>
  <si>
    <t>11PUR II LR</t>
  </si>
  <si>
    <t>PURACELL II LR Plastic Frame, PURPSLR 11PUR II LR</t>
  </si>
  <si>
    <t>PURACELL V - PUV PURV VX</t>
  </si>
  <si>
    <t>PURACELL VP - PUP 12PURVPVPX</t>
  </si>
  <si>
    <t>PURACELL VPX - PUX 12PURVPSVPXS</t>
  </si>
  <si>
    <t>Any Quantity</t>
  </si>
  <si>
    <t>gg</t>
  </si>
  <si>
    <t>cent</t>
  </si>
  <si>
    <t>hbh</t>
  </si>
  <si>
    <t>Childrens Hospital of Los Angeles</t>
  </si>
  <si>
    <t>Glendale Adventist Medical Center</t>
  </si>
  <si>
    <t>Emanate Health:Queen of the Valley</t>
  </si>
  <si>
    <t>Emanate Health:Inter-Community Campus</t>
  </si>
  <si>
    <t>Emanate Health:Foothill Presbyterian Hospital</t>
  </si>
  <si>
    <t>Placentia-Linda Hospital</t>
  </si>
  <si>
    <t>Providence Tarzana Medical Center</t>
  </si>
  <si>
    <t>CHOC Children's Hospital</t>
  </si>
  <si>
    <t>Providence Saint Joseph - MAIN Burbank</t>
  </si>
  <si>
    <t>Providence Little Co. of Mary- San Pedro</t>
  </si>
  <si>
    <t>Cedars-Sinai Marina Hospital</t>
  </si>
  <si>
    <t>St Joseph Hospital – Orange</t>
  </si>
  <si>
    <t>Garden Grove Hospital and Medical Center</t>
  </si>
  <si>
    <t>Huntington Beach Hospital</t>
  </si>
  <si>
    <t>Centinela Hospital Medical Center</t>
  </si>
  <si>
    <t>City of Hope National Medical Center – IRVINE</t>
  </si>
  <si>
    <t>City of Hope National Medical Center – DUARTE</t>
  </si>
  <si>
    <t>Pepperdine University</t>
  </si>
  <si>
    <t>Palmdale Regional Medical Center</t>
  </si>
  <si>
    <t>Valley Presbyterian Hospital</t>
  </si>
  <si>
    <t>Aerojet RocketDyne</t>
  </si>
  <si>
    <t>St. Francis Medical Center</t>
  </si>
  <si>
    <t>La Palma Intercommunity Hospital</t>
  </si>
  <si>
    <t>Encino Hospital Medical Center</t>
  </si>
  <si>
    <t>West Anaheim Medical Center</t>
  </si>
  <si>
    <t>Sherman Oaks Hospital</t>
  </si>
  <si>
    <t>Chino Valley Medical Center</t>
  </si>
  <si>
    <t>White Memorial Montebello</t>
  </si>
  <si>
    <t>Adventist Health Simi Valley</t>
  </si>
  <si>
    <t>USC Arcadia Hospital</t>
  </si>
  <si>
    <t>San Dimas Community Hospital</t>
  </si>
  <si>
    <t>Mission Aire</t>
  </si>
  <si>
    <t>Desert Valley Hospital</t>
  </si>
  <si>
    <t>Montclair Hospital Medical Center</t>
  </si>
  <si>
    <t>Eisenhower Medical Center</t>
  </si>
  <si>
    <t>Northridge Hospital Medical Center</t>
  </si>
  <si>
    <t>VA Loma Linda Health Care Center</t>
  </si>
  <si>
    <t>PIH Health Whittier Hospital</t>
  </si>
  <si>
    <t>Providence Little Company of Mary – Torrance</t>
  </si>
  <si>
    <t>Global Communications Semiconductors, LLC</t>
  </si>
  <si>
    <t>Huntington Memorial Hospital</t>
  </si>
  <si>
    <t>VA - West Los Angeles</t>
  </si>
  <si>
    <t xml:space="preserve">PATTON </t>
  </si>
  <si>
    <t>AEROSPACE</t>
  </si>
  <si>
    <t>HRL LABORATORIES</t>
  </si>
  <si>
    <t>Cedar-Sinai Medical Center</t>
  </si>
  <si>
    <t>GG</t>
  </si>
  <si>
    <t>FINALS</t>
  </si>
  <si>
    <t>NEW</t>
  </si>
  <si>
    <t>OLD</t>
  </si>
  <si>
    <t>PRES</t>
  </si>
  <si>
    <t>MEDIA</t>
  </si>
  <si>
    <t>total</t>
  </si>
  <si>
    <t>id</t>
  </si>
  <si>
    <t>part_number</t>
  </si>
  <si>
    <t>description</t>
  </si>
  <si>
    <t>on_hand</t>
  </si>
  <si>
    <t>Physical Count</t>
  </si>
  <si>
    <t>004DN025BN4HC</t>
  </si>
  <si>
    <t>004DN025BN4HC  ..Hydac Replacement Pressure Filter Element, 25 Micron, NBR Seal</t>
  </si>
  <si>
    <t>0060R005ON-Hydac</t>
  </si>
  <si>
    <t>Hydac Filter Element 1262932</t>
  </si>
  <si>
    <t>012-100093-MIGTEST</t>
  </si>
  <si>
    <t>Down Stream Gasketing, Neoprene</t>
  </si>
  <si>
    <t>1010-2ply</t>
  </si>
  <si>
    <t>10x10 2-Ply Poly Panel</t>
  </si>
  <si>
    <t>1010-3ply</t>
  </si>
  <si>
    <t>10x10 3-Ply Poly Panel</t>
  </si>
  <si>
    <t>1012-3ply</t>
  </si>
  <si>
    <t>10x12 3-Ply Poly Panel</t>
  </si>
  <si>
    <t>1020-2ply</t>
  </si>
  <si>
    <t>10x20 2-Ply Poly Panel</t>
  </si>
  <si>
    <t>1020-3ply</t>
  </si>
  <si>
    <t>10x20 3-Ply Poly Panel</t>
  </si>
  <si>
    <t>1025-3ply</t>
  </si>
  <si>
    <t>10x25 3-Ply Poly Panel</t>
  </si>
  <si>
    <t>1030-3ply</t>
  </si>
  <si>
    <t>10x30 3-Ply Poly Panel</t>
  </si>
  <si>
    <t>1040-2ply</t>
  </si>
  <si>
    <t>10x40 2-Ply Poly Panel</t>
  </si>
  <si>
    <t>1080-2ply</t>
  </si>
  <si>
    <t>10x80 2-Ply Poly Panel</t>
  </si>
  <si>
    <t>1142-2ply</t>
  </si>
  <si>
    <t>11x42 MZP 2-Ply Poly Panel</t>
  </si>
  <si>
    <t>12.24.2 Nova Pleat</t>
  </si>
  <si>
    <t>12x24x2 NovaPleat No Wire</t>
  </si>
  <si>
    <t>1212-2Ply</t>
  </si>
  <si>
    <t>12x12 2-Ply Panel</t>
  </si>
  <si>
    <t>1212-3Ply</t>
  </si>
  <si>
    <t>12x12 3-Ply Panel</t>
  </si>
  <si>
    <t>12120-2ply</t>
  </si>
  <si>
    <t>12x120 2-Ply Poly Panel</t>
  </si>
  <si>
    <t>12120-3ply</t>
  </si>
  <si>
    <t>12x120 3-Ply Poly Panel</t>
  </si>
  <si>
    <t>1212W-2Ply-P</t>
  </si>
  <si>
    <t>12"  x 12"   2 Ply Panel Filter</t>
  </si>
  <si>
    <t>12144-2PLY-6L</t>
  </si>
  <si>
    <t>12x144 2 Ply Poly Panel</t>
  </si>
  <si>
    <t>12144-3PLY-6L</t>
  </si>
  <si>
    <t>12x144 3 Ply Poly Panel</t>
  </si>
  <si>
    <t>1218-2ply</t>
  </si>
  <si>
    <t>12x18 2-Ply Poly Panel</t>
  </si>
  <si>
    <t>1218-3ply</t>
  </si>
  <si>
    <t>12x18 3-Ply Poly Panel</t>
  </si>
  <si>
    <t>1218-5050WW-P</t>
  </si>
  <si>
    <t>12x18 2-Ply Panel</t>
  </si>
  <si>
    <t>1220-2ply</t>
  </si>
  <si>
    <t>12x20 2-Ply Poly Panel</t>
  </si>
  <si>
    <t>1220-3ply</t>
  </si>
  <si>
    <t>12x20 3-Ply Poly Panel</t>
  </si>
  <si>
    <t>1224-2ply</t>
  </si>
  <si>
    <t>12x24 2-Ply Poly Panel</t>
  </si>
  <si>
    <t>1224-3ply</t>
  </si>
  <si>
    <t>12x24 3-Ply Poly Panel</t>
  </si>
  <si>
    <t>1224-SPORAX</t>
  </si>
  <si>
    <t>12x24 Rigid Pad w/Sporax</t>
  </si>
  <si>
    <t>1224W-3PLY-P</t>
  </si>
  <si>
    <t>12x24 3 Ply Poly Panel</t>
  </si>
  <si>
    <t>1230-2Ply</t>
  </si>
  <si>
    <t>12x30 2-Ply Panel</t>
  </si>
  <si>
    <t>1238-2ply</t>
  </si>
  <si>
    <t>12x38 2-Ply Poly Panel</t>
  </si>
  <si>
    <t>1243-2ply</t>
  </si>
  <si>
    <t>12x43 2-Ply Poly Panel</t>
  </si>
  <si>
    <t>1243-3ply</t>
  </si>
  <si>
    <t>12x43 3-Ply Poly Panel</t>
  </si>
  <si>
    <t>1248W-2PLY-P</t>
  </si>
  <si>
    <t>12x48 2 Ply Poly Panel</t>
  </si>
  <si>
    <t>1248W-3PLY-P</t>
  </si>
  <si>
    <t>12x48 3 Ply Poly Panel</t>
  </si>
  <si>
    <t>1272-2Ply</t>
  </si>
  <si>
    <t>12x72 2-Ply Poly Panel</t>
  </si>
  <si>
    <t>1272-3Ply</t>
  </si>
  <si>
    <t>12x72 3-Ply Poly Panel Special</t>
  </si>
  <si>
    <t>1280-2ply</t>
  </si>
  <si>
    <t>12x80 2-Ply Poly Link</t>
  </si>
  <si>
    <t>1280-3-Ply</t>
  </si>
  <si>
    <t>12x80 3-Ply Poly Panel</t>
  </si>
  <si>
    <t>1296-2ply</t>
  </si>
  <si>
    <t>12x96 2-Ply Poly Panel Special</t>
  </si>
  <si>
    <t>1296-3Ply</t>
  </si>
  <si>
    <t>12x96 3-Ply Poly Panel Special</t>
  </si>
  <si>
    <t>1321-2ply</t>
  </si>
  <si>
    <t>13x21 2-Ply Poly Panel</t>
  </si>
  <si>
    <t>1321-3ply</t>
  </si>
  <si>
    <t>13x21 3-Ply Poly Panel</t>
  </si>
  <si>
    <t>1322-2ply</t>
  </si>
  <si>
    <t>13x22 2-Ply Poly Panel</t>
  </si>
  <si>
    <t>1322-3ply</t>
  </si>
  <si>
    <t>13x22 3-Ply Poly Panel</t>
  </si>
  <si>
    <t>1324-2ply</t>
  </si>
  <si>
    <t>13x24-3/4 2-Ply Poly Panel</t>
  </si>
  <si>
    <t>14.20.2 Nova Pleat</t>
  </si>
  <si>
    <t>14x20x2 NovaPleat No Wire</t>
  </si>
  <si>
    <t>14.25.1 Nova Pleat</t>
  </si>
  <si>
    <t>14x25x1 NovaPleat No Wire</t>
  </si>
  <si>
    <t>1414-2ply</t>
  </si>
  <si>
    <t>14x14 2-Ply Poly Panel</t>
  </si>
  <si>
    <t>1414-3ply</t>
  </si>
  <si>
    <t>14x14 3-Ply Poly Panel</t>
  </si>
  <si>
    <t>1419-2ply</t>
  </si>
  <si>
    <t>14x19 2-Ply Poly Panel</t>
  </si>
  <si>
    <t>1419-3ply</t>
  </si>
  <si>
    <t>14x19 3-Ply Poly Panel</t>
  </si>
  <si>
    <t>1420-2ply</t>
  </si>
  <si>
    <t>14x20 2-Ply Poly Panel</t>
  </si>
  <si>
    <t>1420-3ply</t>
  </si>
  <si>
    <t>14x20 3-Ply Poly Panel</t>
  </si>
  <si>
    <t>1420-5050WW-P</t>
  </si>
  <si>
    <t>14x20 Poly Panel 2 Ply</t>
  </si>
  <si>
    <t>1424-2ply</t>
  </si>
  <si>
    <t>14x24 2-Ply Poly Panel</t>
  </si>
  <si>
    <t>1424-3ply</t>
  </si>
  <si>
    <t>14x24 3-Ply Poly Panel</t>
  </si>
  <si>
    <t>1425-2ply</t>
  </si>
  <si>
    <t>14x25 2-Ply Poly Panel</t>
  </si>
  <si>
    <t>1425-3ply</t>
  </si>
  <si>
    <t>14x25 3-Ply Poly Panel</t>
  </si>
  <si>
    <t>1428-2ply</t>
  </si>
  <si>
    <t>14x28 2-Ply Poly Panel</t>
  </si>
  <si>
    <t>1428-3ply</t>
  </si>
  <si>
    <t>14x28 3-Ply Poly Panel</t>
  </si>
  <si>
    <t>1430-2ply</t>
  </si>
  <si>
    <t>14x30 2-Ply Poly Panel</t>
  </si>
  <si>
    <t>1430-3Ply</t>
  </si>
  <si>
    <t>14x30 3-Ply Poly Panel</t>
  </si>
  <si>
    <t>1438-2ply</t>
  </si>
  <si>
    <t>14x38 2-Ply Poly Panel</t>
  </si>
  <si>
    <t>1438-3ply</t>
  </si>
  <si>
    <t>14x38 3-Ply Poly Panel</t>
  </si>
  <si>
    <t>1444-2ply</t>
  </si>
  <si>
    <t>14x44 2-Ply Poly Panel</t>
  </si>
  <si>
    <t>1444-3ply</t>
  </si>
  <si>
    <t>14x44 3-Ply Poly Panel</t>
  </si>
  <si>
    <t>1520-2ply</t>
  </si>
  <si>
    <t>15x20 2-Ply Poly Panel</t>
  </si>
  <si>
    <t>1520-3ply</t>
  </si>
  <si>
    <t>15x20 3-Ply Poly Panel</t>
  </si>
  <si>
    <t>1520-5050WW-P</t>
  </si>
  <si>
    <t>15x20 2-Ply Panel</t>
  </si>
  <si>
    <t>1525-3ply</t>
  </si>
  <si>
    <t>15x25 3-Ply Poly Panel</t>
  </si>
  <si>
    <t>1530-2Ply</t>
  </si>
  <si>
    <t>15x30 2-Ply Poly Panel</t>
  </si>
  <si>
    <t>1530-3Ply</t>
  </si>
  <si>
    <t>15x30 3-Ply Poly Panel</t>
  </si>
  <si>
    <t>1530-5050WW-P</t>
  </si>
  <si>
    <t>15x30 2-Ply Panel</t>
  </si>
  <si>
    <t>15305/8-2Ply</t>
  </si>
  <si>
    <t>15x30 5/8 2-Ply Poly Panel</t>
  </si>
  <si>
    <t>15305/8-3Ply</t>
  </si>
  <si>
    <t>15x30 -5/8 3-Ply Poly Panel</t>
  </si>
  <si>
    <t>1530W-2PLY P</t>
  </si>
  <si>
    <t>15"x30" 2 PLY PANEL FILTER</t>
  </si>
  <si>
    <t>1531-3Ply</t>
  </si>
  <si>
    <t>15x31 3-Ply Poly Panel</t>
  </si>
  <si>
    <t>1534-2ply</t>
  </si>
  <si>
    <t>15x34 2-Ply Poly Panel</t>
  </si>
  <si>
    <t>16.20.1 Nova Pleat</t>
  </si>
  <si>
    <t>16x20x1 NovaPleat No Wire</t>
  </si>
  <si>
    <t>16.20.2 Nova Pleat</t>
  </si>
  <si>
    <t>16x20x2 NovaPleat No Wire</t>
  </si>
  <si>
    <t>16.25.1 Nova Pleat</t>
  </si>
  <si>
    <t>16x25x1 NovaPleat No Wire</t>
  </si>
  <si>
    <t>16.25.2 Nova Pleat</t>
  </si>
  <si>
    <t>16x25x2 NovaPleat No Wire</t>
  </si>
  <si>
    <t>16100-2Ply</t>
  </si>
  <si>
    <t>16x100 2-Ply Poly Panel</t>
  </si>
  <si>
    <t>16120-2ply</t>
  </si>
  <si>
    <t>16" X 120" 2 PLY LINK FILTER</t>
  </si>
  <si>
    <t>16120W - 3PLY - 5L</t>
  </si>
  <si>
    <t>16" X 120" 3 PLY LINK FILTER</t>
  </si>
  <si>
    <t>1616-2Ply</t>
  </si>
  <si>
    <t>16x16 2-Ply Poly Panel</t>
  </si>
  <si>
    <t>1616-3Ply</t>
  </si>
  <si>
    <t>16x16 3-Ply Poly Panel</t>
  </si>
  <si>
    <t>1618-3Ply</t>
  </si>
  <si>
    <t>16x18 3-Ply Poly Panel</t>
  </si>
  <si>
    <t>1618-5050WW-P</t>
  </si>
  <si>
    <t>16x18 Poly Panels 2 ply</t>
  </si>
  <si>
    <t>1620-2Ply</t>
  </si>
  <si>
    <t>16x20 2-Ply Poly Panels</t>
  </si>
  <si>
    <t>1620-2Ply FB Gold Panel</t>
  </si>
  <si>
    <t>16x20 2-Ply Gold Panel</t>
  </si>
  <si>
    <t>1620-3Ply</t>
  </si>
  <si>
    <t>16x20 3-Ply Poly Panel</t>
  </si>
  <si>
    <t>1620-5050WW-P</t>
  </si>
  <si>
    <t>16x20 2-Ply Panel</t>
  </si>
  <si>
    <t>1622-2Ply</t>
  </si>
  <si>
    <t>16x22 2-Ply Poly Panel</t>
  </si>
  <si>
    <t>1622-3Ply</t>
  </si>
  <si>
    <t>16x22 3-Ply Poly Panel</t>
  </si>
  <si>
    <t>1622-5050WW-P</t>
  </si>
  <si>
    <t>16x22 2-Ply Panel</t>
  </si>
  <si>
    <t>1624-2ply</t>
  </si>
  <si>
    <t>16x24 2-Ply Poly Panel</t>
  </si>
  <si>
    <t>1624-3Ply</t>
  </si>
  <si>
    <t>16x24 3-Ply Poly Panel</t>
  </si>
  <si>
    <t>1624-5050-G/W</t>
  </si>
  <si>
    <t>16x24 Poly Panels 2 ply</t>
  </si>
  <si>
    <t>1625-2Ply</t>
  </si>
  <si>
    <t>16x25 2-Ply Poly Panel</t>
  </si>
  <si>
    <t>1625-3Ply</t>
  </si>
  <si>
    <t>16x25 3-Ply Poly Panel</t>
  </si>
  <si>
    <t>1625-5050WW-P</t>
  </si>
  <si>
    <t>16x25 2-Ply Panel</t>
  </si>
  <si>
    <t>1628-2ply</t>
  </si>
  <si>
    <t>16x28 2-Ply Poly Panel</t>
  </si>
  <si>
    <t>1630-2Ply</t>
  </si>
  <si>
    <t>16x30 2-Ply Poly Panel</t>
  </si>
  <si>
    <t>1630-3Ply</t>
  </si>
  <si>
    <t>16x30 3-Ply Poly Panel</t>
  </si>
  <si>
    <t>1631-3Ply</t>
  </si>
  <si>
    <t>16x31 3-Ply Poly Panel</t>
  </si>
  <si>
    <t>1632-2ply</t>
  </si>
  <si>
    <t>16x32 2-Ply Poly Panel</t>
  </si>
  <si>
    <t>1632-3ply</t>
  </si>
  <si>
    <t>16x32 3 Ply Poly Panel</t>
  </si>
  <si>
    <t>1636-2ply</t>
  </si>
  <si>
    <t>16x36 2-Ply Poly Panel</t>
  </si>
  <si>
    <t>1640-2ply</t>
  </si>
  <si>
    <t>16x40 2-Ply Panel</t>
  </si>
  <si>
    <t>1640-3ply</t>
  </si>
  <si>
    <t>16x40 3-Ply Poly Panel</t>
  </si>
  <si>
    <t>1648-2Ply</t>
  </si>
  <si>
    <t>16x48 MERV 9, 2-Ply Poly Link w/Antimicrobial</t>
  </si>
  <si>
    <t>1648-3-Ply</t>
  </si>
  <si>
    <t>16x48 3-Ply Poly Panel</t>
  </si>
  <si>
    <t>1650-2ply</t>
  </si>
  <si>
    <t>16x50 2-Ply Poly Panel</t>
  </si>
  <si>
    <t>1650-3ply</t>
  </si>
  <si>
    <t>16x50 3-Ply Poly Panel</t>
  </si>
  <si>
    <t>1651-2Ply</t>
  </si>
  <si>
    <t>16.5x51.5 2-Ply Poly Panels</t>
  </si>
  <si>
    <t>1664-2PLY-3L</t>
  </si>
  <si>
    <t>16x64 2-Ply Poly Link</t>
  </si>
  <si>
    <t>1672-2ply</t>
  </si>
  <si>
    <t>16x72 2-Ply Poly Panel</t>
  </si>
  <si>
    <t>1672-3ply</t>
  </si>
  <si>
    <t>16x72 3-Ply Poly Panel</t>
  </si>
  <si>
    <t>1675-2PLY-3L</t>
  </si>
  <si>
    <t>16x75 MZP 2-Ply Poly Panel</t>
  </si>
  <si>
    <t>1680-2Ply</t>
  </si>
  <si>
    <t>16x80 2-Ply Poly Panel</t>
  </si>
  <si>
    <t>1680-3Ply</t>
  </si>
  <si>
    <t>16x80 3-Ply Poly Panel</t>
  </si>
  <si>
    <t>1690-3ply</t>
  </si>
  <si>
    <t>16x90 3-Ply Poly Link</t>
  </si>
  <si>
    <t>1718-5050WW-P</t>
  </si>
  <si>
    <t>17x18 Poly Panels 2 Ply</t>
  </si>
  <si>
    <t>18.24.2 Nova Pleat</t>
  </si>
  <si>
    <t>18x24x2 NovaPleat No Wire</t>
  </si>
  <si>
    <t>1818-3ply</t>
  </si>
  <si>
    <t>18x18 3-Ply Poly Panel</t>
  </si>
  <si>
    <t>1822-3Ply</t>
  </si>
  <si>
    <t>18x22 3-Ply Poly Panel</t>
  </si>
  <si>
    <t>1822-5050WW-P</t>
  </si>
  <si>
    <t>18x22 Poly Panel 2 Ply</t>
  </si>
  <si>
    <t>1824-3ply</t>
  </si>
  <si>
    <t>18x24 3-Ply Poly Panel</t>
  </si>
  <si>
    <t>1825-3ply</t>
  </si>
  <si>
    <t>18x25 3-Ply Poly Panel</t>
  </si>
  <si>
    <t>1828-5050-G/W</t>
  </si>
  <si>
    <t>18x28 Poly Panels 2 Ply</t>
  </si>
  <si>
    <t>1830-2Ply</t>
  </si>
  <si>
    <t>18x30 2-Ply Panel</t>
  </si>
  <si>
    <t>1830-5050WW-P</t>
  </si>
  <si>
    <t>1831-2Ply</t>
  </si>
  <si>
    <t>18x31 2-Ply Poly Panel</t>
  </si>
  <si>
    <t>1835396-006</t>
  </si>
  <si>
    <t>1835396-006:..17.5" OD (18.5" W/ LIP) x 14.00" ID X 26" DuraShield Composite Air Filter Cartridge Assembly, Open / Closed End Caps, Gasket - Includes Inner Pre-Filter Liner &amp; Retainer Strip..</t>
  </si>
  <si>
    <t>1837-2ply</t>
  </si>
  <si>
    <t>18x37 2-Ply Poly Panel</t>
  </si>
  <si>
    <t>1848- 3-Ply Poly Panel</t>
  </si>
  <si>
    <t>18x48 3-Ply Poly Panel</t>
  </si>
  <si>
    <t>1848-2 Ply Link</t>
  </si>
  <si>
    <t>18x48-2 Ply Link</t>
  </si>
  <si>
    <t>1921-5050WW-P</t>
  </si>
  <si>
    <t>19x21 Poly Panels 2 ply</t>
  </si>
  <si>
    <t>20.20.2 Nova Pleat</t>
  </si>
  <si>
    <t>20x20x2 NovaPleat No Wire</t>
  </si>
  <si>
    <t>20.24.2 Nova Pleat</t>
  </si>
  <si>
    <t>20x24x2 NovaPleat No Wire</t>
  </si>
  <si>
    <t>20.25.1 Nova Pleat</t>
  </si>
  <si>
    <t>20x25x1 NovaPleat No Wire</t>
  </si>
  <si>
    <t>20.25.2 Nova Pleat</t>
  </si>
  <si>
    <t>20x25x2 NovaPleat No Wire</t>
  </si>
  <si>
    <t>200-75-R</t>
  </si>
  <si>
    <t>200-75-R Balston Filter Cartridge (Box of 15)</t>
  </si>
  <si>
    <t>20112-2Ply</t>
  </si>
  <si>
    <t>20x112 MERV 9, 2-Ply Poly Link w/Antimicrobial</t>
  </si>
  <si>
    <t>20117-2ply</t>
  </si>
  <si>
    <t>20x117 MERV 9, 2-Ply Poly Link w/Antimicrobial</t>
  </si>
  <si>
    <t>20120-2Ply</t>
  </si>
  <si>
    <t>20x120 2-Ply Poly Link</t>
  </si>
  <si>
    <t>20120W - 3PLY - 5L</t>
  </si>
  <si>
    <t>20" X 120" 3 PLY LINK FILTER</t>
  </si>
  <si>
    <t>2020-2ply</t>
  </si>
  <si>
    <t>20x20 2-Ply Poly Panel</t>
  </si>
  <si>
    <t>2020-3ply</t>
  </si>
  <si>
    <t>20x20 3-Ply Poly Panel</t>
  </si>
  <si>
    <t>2020-5050WW-P</t>
  </si>
  <si>
    <t>20x20 2-Ply Panel</t>
  </si>
  <si>
    <t>2022-2ply</t>
  </si>
  <si>
    <t>20x22 2-Ply Poly Panel</t>
  </si>
  <si>
    <t>2022-3ply</t>
  </si>
  <si>
    <t>20x22-3ply Poly Panel</t>
  </si>
  <si>
    <t>2022-5050WW-P</t>
  </si>
  <si>
    <t>20x22 2-Ply Panel</t>
  </si>
  <si>
    <t>2024-2Ply</t>
  </si>
  <si>
    <t>20x24 2-Ply Poly Panel</t>
  </si>
  <si>
    <t>2024-3ply</t>
  </si>
  <si>
    <t>20x24 3-Ply Poly Panel</t>
  </si>
  <si>
    <t>2024-5050WW-P</t>
  </si>
  <si>
    <t>20x24 Poly Panel 2 Ply</t>
  </si>
  <si>
    <t>2025-2ply</t>
  </si>
  <si>
    <t>20x25 2-Ply Poly Panel</t>
  </si>
  <si>
    <t>2025-3ply</t>
  </si>
  <si>
    <t>20x25 3-Ply Poly Panel</t>
  </si>
  <si>
    <t>2025-5050WW-P</t>
  </si>
  <si>
    <t>20x25 Poly Panels 2 Ply</t>
  </si>
  <si>
    <t>2026-2ply</t>
  </si>
  <si>
    <t>20x26 2-Ply Poly Panel</t>
  </si>
  <si>
    <t>2029-3ply</t>
  </si>
  <si>
    <t>20.5x29.25 3-Ply Poly Panel</t>
  </si>
  <si>
    <t>2030-2Ply</t>
  </si>
  <si>
    <t>20x30 2-Ply Poly Panel</t>
  </si>
  <si>
    <t>2030-2Ply FB Gold Panel</t>
  </si>
  <si>
    <t>20x30 2-Ply Gold Panel</t>
  </si>
  <si>
    <t>2030-3Ply</t>
  </si>
  <si>
    <t>20x30 - 3 Ply Poly Panel</t>
  </si>
  <si>
    <t>2030-5050WW-P</t>
  </si>
  <si>
    <t>20x30 2-Ply Panel</t>
  </si>
  <si>
    <t>2032-2Ply</t>
  </si>
  <si>
    <t>20x32 2Ply Poly Panel</t>
  </si>
  <si>
    <t>2032-3Ply</t>
  </si>
  <si>
    <t>2032 - 3 Ply Poly Panel</t>
  </si>
  <si>
    <t>2036-2ply</t>
  </si>
  <si>
    <t>20x36 2-Ply Poly Panel</t>
  </si>
  <si>
    <t>2036-3ply</t>
  </si>
  <si>
    <t>20x36 3-Ply Poly Panel</t>
  </si>
  <si>
    <t>2040-2Ply</t>
  </si>
  <si>
    <t>20x40 2-Ply Poly Panel</t>
  </si>
  <si>
    <t>2040-3Ply</t>
  </si>
  <si>
    <t>20x40 3 Ply Poly Panel</t>
  </si>
  <si>
    <t>2040W-2PLY-2L</t>
  </si>
  <si>
    <t>20x40 2 Ply Poly Panel</t>
  </si>
  <si>
    <t>2040W-3PLY-2</t>
  </si>
  <si>
    <t>2045-2ply</t>
  </si>
  <si>
    <t>20x45 2-Ply Poly Panel</t>
  </si>
  <si>
    <t>2045-3Ply</t>
  </si>
  <si>
    <t>20x45 3-Ply Panel</t>
  </si>
  <si>
    <t>2048-2ply</t>
  </si>
  <si>
    <t>20x48 2-Ply Poly Link</t>
  </si>
  <si>
    <t>2048-3-Ply</t>
  </si>
  <si>
    <t>20x48 3-Ply Poly Panel</t>
  </si>
  <si>
    <t>2050-2Ply</t>
  </si>
  <si>
    <t>20x50 2-Ply Poly Panel</t>
  </si>
  <si>
    <t>2050-3Ply</t>
  </si>
  <si>
    <t>20x50 3-Ply Poly Panel</t>
  </si>
  <si>
    <t>2053-2Ply</t>
  </si>
  <si>
    <t>20x53 2-Ply Poly Panel</t>
  </si>
  <si>
    <t>2060-2Ply</t>
  </si>
  <si>
    <t>20x60 2-Ply Poly Panel</t>
  </si>
  <si>
    <t>2060-3Ply</t>
  </si>
  <si>
    <t>20x60 3-Ply Poly Panel</t>
  </si>
  <si>
    <t>2064-2PLY-3L</t>
  </si>
  <si>
    <t>20x64 2-Ply Poly Link</t>
  </si>
  <si>
    <t>2072-2ply</t>
  </si>
  <si>
    <t>20x72 2-Ply Poly Panel</t>
  </si>
  <si>
    <t>2072-3ply</t>
  </si>
  <si>
    <t>20x72 3-Ply Poly Panel</t>
  </si>
  <si>
    <t>2075-2Ply</t>
  </si>
  <si>
    <t>20x75 2-Ply Poly Panel</t>
  </si>
  <si>
    <t>2075W-2PLY-3L</t>
  </si>
  <si>
    <t>20x75 2 Ply Poly Panel</t>
  </si>
  <si>
    <t>2075W-3PLY-3L</t>
  </si>
  <si>
    <t>20x75 3 Ply Poly Panel</t>
  </si>
  <si>
    <t>2080-2ply</t>
  </si>
  <si>
    <t>20x80 2-Ply Poly Panel</t>
  </si>
  <si>
    <t>2084-2PLY-4L</t>
  </si>
  <si>
    <t>20x84 2-Ply Poly Link</t>
  </si>
  <si>
    <t>2090-3-Ply</t>
  </si>
  <si>
    <t>20x90 3-Ply Poly Panel</t>
  </si>
  <si>
    <t>2094-2Ply</t>
  </si>
  <si>
    <t>20x94 MERV 9, 2-Ply Poly Link w/Antimicrobial</t>
  </si>
  <si>
    <t>2098-2Ply</t>
  </si>
  <si>
    <t>20x98 MERV 9, 2-Ply Poly Link w/Antimicrobial</t>
  </si>
  <si>
    <t>210924102</t>
  </si>
  <si>
    <t>24" x 24" Poly Shield XI Panel</t>
  </si>
  <si>
    <t>2121-2ply</t>
  </si>
  <si>
    <t>21x21 2-Ply Poly Panel</t>
  </si>
  <si>
    <t>2121-3ply</t>
  </si>
  <si>
    <t>21x21 3-Ply Poly Panel</t>
  </si>
  <si>
    <t>2123-2ply</t>
  </si>
  <si>
    <t>21x23 1/2 2-Ply Poly Panel</t>
  </si>
  <si>
    <t>2123-3ply</t>
  </si>
  <si>
    <t>21x23 1/2 3-Ply Poly Panel</t>
  </si>
  <si>
    <t>2224-2PLY</t>
  </si>
  <si>
    <t>22x24 2-Ply Panel</t>
  </si>
  <si>
    <t>2226-2ply</t>
  </si>
  <si>
    <t>22x26 2-Ply Poly Panel</t>
  </si>
  <si>
    <t>2236-5050WW-P</t>
  </si>
  <si>
    <t>22x36 2-Ply Panel</t>
  </si>
  <si>
    <t>24.24.2 Nova Pleat</t>
  </si>
  <si>
    <t>24x24x2 NovaPleat No Wire</t>
  </si>
  <si>
    <t>24105-2Ply</t>
  </si>
  <si>
    <t>24x105 2-Ply Poly Panel</t>
  </si>
  <si>
    <t>24110-2ply</t>
  </si>
  <si>
    <t>24x110 2Ply Poly Panel</t>
  </si>
  <si>
    <t>24110-3ply</t>
  </si>
  <si>
    <t>24x110 3-Ply Poly Panel</t>
  </si>
  <si>
    <t>24114-2ply</t>
  </si>
  <si>
    <t>24x114 2 Ply Poly Link</t>
  </si>
  <si>
    <t>24114-3ply</t>
  </si>
  <si>
    <t>24x114 3 Ply Poly Link</t>
  </si>
  <si>
    <t>24120-2Ply</t>
  </si>
  <si>
    <t>120x24 2-Ply Poly Link</t>
  </si>
  <si>
    <t>24120-3ply</t>
  </si>
  <si>
    <t>24x120 3-Ply Poly Panel</t>
  </si>
  <si>
    <t>24120W-3PLY-5L</t>
  </si>
  <si>
    <t>24x120 3 Ply Poly Panel</t>
  </si>
  <si>
    <t>24140W-2PLY-7L</t>
  </si>
  <si>
    <t>24x140 2 Ply Poly Panel</t>
  </si>
  <si>
    <t>24140W-3PLY-7L</t>
  </si>
  <si>
    <t>24x140 3 Ply Poly Panel</t>
  </si>
  <si>
    <t>24144-2PLY-6L</t>
  </si>
  <si>
    <t>24x144 2 Ply Poly Panel</t>
  </si>
  <si>
    <t>24144-3PLY-6L</t>
  </si>
  <si>
    <t>24x144 3 Ply Poly Panel</t>
  </si>
  <si>
    <t>24192W-2PLY-6L</t>
  </si>
  <si>
    <t>24x192 2 Ply Poly Panel</t>
  </si>
  <si>
    <t>24192W-3PLY-6L</t>
  </si>
  <si>
    <t>24x192 3 Ply Poly Panel</t>
  </si>
  <si>
    <t>2424-2ply</t>
  </si>
  <si>
    <t>24x24 2-Ply Poly Panel</t>
  </si>
  <si>
    <t>2424-3ply</t>
  </si>
  <si>
    <t>24x24 3-Ply Poly Panel</t>
  </si>
  <si>
    <t>2424-5050WW-P</t>
  </si>
  <si>
    <t>24x24 Poly Panels 2 Ply</t>
  </si>
  <si>
    <t>2424-SPORAX</t>
  </si>
  <si>
    <t>24x24 Rigid Pad w/Sporax</t>
  </si>
  <si>
    <t>24242C140</t>
  </si>
  <si>
    <t>24x24x2 Class 1 Pleat, 40% Metal Frame</t>
  </si>
  <si>
    <t>24243SS3401NoHoles</t>
  </si>
  <si>
    <t>3401 Style Frame (No Holes) 24x24x3  A-8 Stainless Steel Frame</t>
  </si>
  <si>
    <t>2424W-3PLY-P</t>
  </si>
  <si>
    <t>24x24-  3 Ply Poly Panels</t>
  </si>
  <si>
    <t>2425-2ply</t>
  </si>
  <si>
    <t>24x25 MZP 2-Ply Poly Panel</t>
  </si>
  <si>
    <t>2425-3ply</t>
  </si>
  <si>
    <t>24x25 MZP 3-Ply Poly Panel</t>
  </si>
  <si>
    <t>2430-2ply</t>
  </si>
  <si>
    <t>24x30 2-Ply Poly Panel</t>
  </si>
  <si>
    <t>2435-2ply</t>
  </si>
  <si>
    <t>24 1/2 x 35 1/2  2-Ply Poly Panel</t>
  </si>
  <si>
    <t>2436-2ply</t>
  </si>
  <si>
    <t>24x36 2-Ply Poly Panel</t>
  </si>
  <si>
    <t>2436-3ply</t>
  </si>
  <si>
    <t>24x36 3- Ply Poly Panel</t>
  </si>
  <si>
    <t>2448-2ply</t>
  </si>
  <si>
    <t>24x48 2 Ply Poly Panel</t>
  </si>
  <si>
    <t>2448W - 3PLY - 2L</t>
  </si>
  <si>
    <t>24x48 3 Ply Poly Panel</t>
  </si>
  <si>
    <t>2460-2Ply</t>
  </si>
  <si>
    <t>24x60 2-Ply Poly Panel</t>
  </si>
  <si>
    <t>2460-3Ply</t>
  </si>
  <si>
    <t>24x60 3-Ply Poly Panel Special</t>
  </si>
  <si>
    <t>2472-2ply</t>
  </si>
  <si>
    <t>24x72 2Ply Poly Panel</t>
  </si>
  <si>
    <t>2472-3Ply</t>
  </si>
  <si>
    <t>24x72 3-Ply Poly Panel Special</t>
  </si>
  <si>
    <t>2480-2ply</t>
  </si>
  <si>
    <t>24x80 2-Ply Poly Link</t>
  </si>
  <si>
    <t>2480-3ply-4L</t>
  </si>
  <si>
    <t>24" X 80" 3 PLY LINK FILTER</t>
  </si>
  <si>
    <t>2484-2ply</t>
  </si>
  <si>
    <t>24x84 2Ply Poly Panel</t>
  </si>
  <si>
    <t>2484-3ply</t>
  </si>
  <si>
    <t>24x84 3-Ply Poly Panel</t>
  </si>
  <si>
    <t>2490-2ply</t>
  </si>
  <si>
    <t>24x90 2-Ply Poly Panel</t>
  </si>
  <si>
    <t>2496-2ply</t>
  </si>
  <si>
    <t>24x96 2Ply Poly Panel</t>
  </si>
  <si>
    <t>2496-3Ply</t>
  </si>
  <si>
    <t>24x96 3-Ply Poly Panel Special</t>
  </si>
  <si>
    <t>2496W - 3PLY - 4L</t>
  </si>
  <si>
    <t>24" X 96" 3 PLY LINK FILTER</t>
  </si>
  <si>
    <t>251/2361/2-2ply</t>
  </si>
  <si>
    <t>25100-2ply</t>
  </si>
  <si>
    <t>25x100  2-Ply Poly Panel</t>
  </si>
  <si>
    <t>25120-2ply</t>
  </si>
  <si>
    <t>25x120 2-Ply Poly Link</t>
  </si>
  <si>
    <t>25120-3-Ply</t>
  </si>
  <si>
    <t>25x120 3-Ply Poly Panel</t>
  </si>
  <si>
    <t>25140-2PLY-7L</t>
  </si>
  <si>
    <t>25x140 2-Ply Poly Link-7L</t>
  </si>
  <si>
    <t>2525-2Ply</t>
  </si>
  <si>
    <t>25x25 2-Ply Panel</t>
  </si>
  <si>
    <t>2525-3ply</t>
  </si>
  <si>
    <t>25x25 3-Ply Poly Panel</t>
  </si>
  <si>
    <t>2527-2Ply</t>
  </si>
  <si>
    <t>25x27 2-Ply Panel</t>
  </si>
  <si>
    <t>2527-5050WW-P</t>
  </si>
  <si>
    <t>2530-2ply</t>
  </si>
  <si>
    <t>25x30 MZP 2-Ply Poly Panel</t>
  </si>
  <si>
    <t>2532-2ply</t>
  </si>
  <si>
    <t>25x32 2ply Poly Panel</t>
  </si>
  <si>
    <t>2532-3ply</t>
  </si>
  <si>
    <t>25x32-3ply Poly Panel</t>
  </si>
  <si>
    <t>2548-2ply</t>
  </si>
  <si>
    <t>25x48 2 Ply Poly Panel</t>
  </si>
  <si>
    <t>2548-3ply</t>
  </si>
  <si>
    <t>25x48 3-Ply Poly Panel</t>
  </si>
  <si>
    <t>2552-2ply</t>
  </si>
  <si>
    <t>25x52 2ply Poly Panel</t>
  </si>
  <si>
    <t>2552-3Ply</t>
  </si>
  <si>
    <t>25x52 3-Ply Poly Panel Special</t>
  </si>
  <si>
    <t>2560-2ply</t>
  </si>
  <si>
    <t>25x60 2-Ply Poly Panel</t>
  </si>
  <si>
    <t>2560-3ply</t>
  </si>
  <si>
    <t>25x60 3-Ply Poly Panel</t>
  </si>
  <si>
    <t>2563-2Ply</t>
  </si>
  <si>
    <t>25x63 MERV 9, 2-Ply Poly Link w/Antimicrobial</t>
  </si>
  <si>
    <t>2575-2ply</t>
  </si>
  <si>
    <t>25x75 2-Ply Poly Panel</t>
  </si>
  <si>
    <t>2578-2Ply</t>
  </si>
  <si>
    <t>25x78 MERV 9, 2-Ply Poly Link w/Antimicrobial</t>
  </si>
  <si>
    <t>2590-2PLY-5L</t>
  </si>
  <si>
    <t>25x90 2-Ply Poly Panel</t>
  </si>
  <si>
    <t>2596W-2PLY-4L</t>
  </si>
  <si>
    <t>25x96 2 Ply Poly Panel</t>
  </si>
  <si>
    <t>2596W-3PLY-4L</t>
  </si>
  <si>
    <t>25x96 3 Ply Poly Panel</t>
  </si>
  <si>
    <t>2597-2Ply</t>
  </si>
  <si>
    <t>25x97 MERV 9, 2-Ply Poly Link w/Antimicrobial</t>
  </si>
  <si>
    <t>2634-2Ply</t>
  </si>
  <si>
    <t>26x34 2-Ply Poly Panel</t>
  </si>
  <si>
    <t>280001224</t>
  </si>
  <si>
    <t>12x24 2-Ply FB Gold Panel</t>
  </si>
  <si>
    <t>280001625</t>
  </si>
  <si>
    <t>16x25 2-Ply Gold Panel</t>
  </si>
  <si>
    <t>280002020</t>
  </si>
  <si>
    <t>20x20 2-Ply Gold Panel</t>
  </si>
  <si>
    <t>280002024</t>
  </si>
  <si>
    <t>20x24 2-Ply Gold Panel</t>
  </si>
  <si>
    <t>280002025</t>
  </si>
  <si>
    <t>20x25 2-Ply Gold Panel</t>
  </si>
  <si>
    <t>280002424</t>
  </si>
  <si>
    <t>24x24 2-Ply Gold Panel</t>
  </si>
  <si>
    <t>2829-3ply</t>
  </si>
  <si>
    <t>28.5x29.5 3-Ply Poly Panel</t>
  </si>
  <si>
    <t>3040-2ply</t>
  </si>
  <si>
    <t>30x40 2-Ply Poly Link</t>
  </si>
  <si>
    <t>3040-3Ply</t>
  </si>
  <si>
    <t>30x40 3-Ply Poly Panel</t>
  </si>
  <si>
    <t>3045-3ply</t>
  </si>
  <si>
    <t>30x45 3-Ply Poly Panel</t>
  </si>
  <si>
    <t>330070412</t>
  </si>
  <si>
    <t>24 x 24 x 12 Dustlok 30-HC</t>
  </si>
  <si>
    <t>331-946-148</t>
  </si>
  <si>
    <t>24x24x12 VARICEL SH MERV 14</t>
  </si>
  <si>
    <t>331-946-150</t>
  </si>
  <si>
    <t>12x24x12 VARICEL SH MERV 14</t>
  </si>
  <si>
    <t>4030048</t>
  </si>
  <si>
    <t>Filter, F9 Conical, 12.75X17.5X26, Cone, G90</t>
  </si>
  <si>
    <t>4030049</t>
  </si>
  <si>
    <t>Filter, F9 Cartridge, 12.75x26, Cylinder, G90</t>
  </si>
  <si>
    <t>4030050</t>
  </si>
  <si>
    <t>Filter, E11 Conical, 12.75X17.5X26, Cone, G90</t>
  </si>
  <si>
    <t>4030051</t>
  </si>
  <si>
    <t>Filter, E11 Cartridge, 12.75x26, Cylinder, G90</t>
  </si>
  <si>
    <t>4030070</t>
  </si>
  <si>
    <t>Filter, F8 Conical, clearcurrent PRO, 12.75X17.5X26, Cone, G90, Syn Media</t>
  </si>
  <si>
    <t>4030071</t>
  </si>
  <si>
    <t>Filter, F8 Cartridge, clearcurrent PRO, 12.75x26, Cylinder, G90, Syn Media</t>
  </si>
  <si>
    <t>4030073</t>
  </si>
  <si>
    <t>Composite filter for LM6000L</t>
  </si>
  <si>
    <t>4040-2ply</t>
  </si>
  <si>
    <t>40x40 2-Ply Poly Panel</t>
  </si>
  <si>
    <t>4250-2Ply</t>
  </si>
  <si>
    <t>42x50 2-Ply Poly Panel</t>
  </si>
  <si>
    <t>810-2ply</t>
  </si>
  <si>
    <t>8x10 2-Ply Poly Panel</t>
  </si>
  <si>
    <t>814-2ply</t>
  </si>
  <si>
    <t>8x14 2-Ply Poly Panel</t>
  </si>
  <si>
    <t>820-2ply</t>
  </si>
  <si>
    <t>8x20 2-Ply Poly Panel</t>
  </si>
  <si>
    <t>820-3ply</t>
  </si>
  <si>
    <t>8x20 3-Ply Poly Panel</t>
  </si>
  <si>
    <t>82604A</t>
  </si>
  <si>
    <t>82604A  Fleetguard Winslow Rolled Cotton Sock Filter</t>
  </si>
  <si>
    <t>832-2ply</t>
  </si>
  <si>
    <t>8x32 2-Ply Panel</t>
  </si>
  <si>
    <t>832-3Ply</t>
  </si>
  <si>
    <t>8x32 3-Ply Poly Panel</t>
  </si>
  <si>
    <t>934-2ply</t>
  </si>
  <si>
    <t>9x34 Special 2-Ply Poly Panel</t>
  </si>
  <si>
    <t>961-3ply</t>
  </si>
  <si>
    <t>9x61.25 3-Ply Poly Panel</t>
  </si>
  <si>
    <t>962-2ply</t>
  </si>
  <si>
    <t>9x62 MZP 2-Ply Poly Panel</t>
  </si>
  <si>
    <t>963-2ply</t>
  </si>
  <si>
    <t>9x63 2-Ply Poly Panel</t>
  </si>
  <si>
    <t>99-2ply</t>
  </si>
  <si>
    <t>9x9x1 2-Ply Poly Panel</t>
  </si>
  <si>
    <t>99-4-00-00-36</t>
  </si>
  <si>
    <t>RSE15 Puracarb Equivalent</t>
  </si>
  <si>
    <t>99-4-00-00-58</t>
  </si>
  <si>
    <t>PCBAM, Puracarb AM Media</t>
  </si>
  <si>
    <t>A-5 Aluminum</t>
  </si>
  <si>
    <t>Aluminum Metal Mesh Filter</t>
  </si>
  <si>
    <t>A-5 Aluminum16251</t>
  </si>
  <si>
    <t>16x25x1 Aluminum Mesh Filter</t>
  </si>
  <si>
    <t>A-5 Aluminum16252</t>
  </si>
  <si>
    <t>16x25x2 Aluminum Mesh Filter</t>
  </si>
  <si>
    <t>A-5 Aluminum20252</t>
  </si>
  <si>
    <t>20x25x2 Aluminum Mesh Filter</t>
  </si>
  <si>
    <t>A-5 Aluminum24244</t>
  </si>
  <si>
    <t>24x24x4 Aluminum Mesh Filter</t>
  </si>
  <si>
    <t>A-5 Aluminum30991</t>
  </si>
  <si>
    <t>30 1/4 x 99 1/2 x  1 A-5 Aluminum</t>
  </si>
  <si>
    <t>A-5-20252 Stainless Steel</t>
  </si>
  <si>
    <t>A-5 20x25x2  Stainless Steel high temperature glass</t>
  </si>
  <si>
    <t>A-6 Galv</t>
  </si>
  <si>
    <t>24x24x2 Galvanized Steel Filter</t>
  </si>
  <si>
    <t>A-6 Industrial Metal</t>
  </si>
  <si>
    <t>A-6 Industrial Filter..18 3/4" x 15 3/8" x 0.50"</t>
  </si>
  <si>
    <t>A-Stainless Steel</t>
  </si>
  <si>
    <t>nan</t>
  </si>
  <si>
    <t>AAF-Varicel</t>
  </si>
  <si>
    <t>VariCel M-PAK SH STD</t>
  </si>
  <si>
    <t>AAF-Varicel20246</t>
  </si>
  <si>
    <t>MERV 14 20x24x6 VariCel M-PAK SH STD</t>
  </si>
  <si>
    <t>AAF-Varicel242412</t>
  </si>
  <si>
    <t>MERV 14 24x24x12 VariCel SH STD</t>
  </si>
  <si>
    <t>AC50S-12246</t>
  </si>
  <si>
    <t>12x24x6, 50% Rigid Box synthetic filter NH</t>
  </si>
  <si>
    <t>AC50S-24246</t>
  </si>
  <si>
    <t>24x24x6, 50% Rigid Box synthetic filter NH</t>
  </si>
  <si>
    <t>AC95S-242412</t>
  </si>
  <si>
    <t>24x24x12 Aero-Cell S, 95% Rigid Box Synthetic Filter, no header</t>
  </si>
  <si>
    <t>ACMHP-16256</t>
  </si>
  <si>
    <t>16x26x6 Carbon MIni CP Filter</t>
  </si>
  <si>
    <t>ACMHP-20256</t>
  </si>
  <si>
    <t>20x25x6 Carbon Mini CP Filter</t>
  </si>
  <si>
    <t>AFC-1031CRBN5</t>
  </si>
  <si>
    <t>AFC-12024-2P-M10</t>
  </si>
  <si>
    <t>FILTER, INLET AIR, 24" X 120" (5, 24" PANELS)..TWO LAYER PROGRESSIVE DENSITY POLYESTER</t>
  </si>
  <si>
    <t>AFC-12120-CPP</t>
  </si>
  <si>
    <t>12x120 Carbon Poly Link</t>
  </si>
  <si>
    <t>AFC-1224-CPP</t>
  </si>
  <si>
    <t>12x24 Carbon Poly Panel</t>
  </si>
  <si>
    <t>AFC-12351-SW</t>
  </si>
  <si>
    <t>Synthetic Poly-pad, 12x35x1" thick (white)</t>
  </si>
  <si>
    <t>AFC-1616-CPP</t>
  </si>
  <si>
    <t>16x16 Carbon Poly Panel</t>
  </si>
  <si>
    <t>AFC-1620-CPP</t>
  </si>
  <si>
    <t>16x20 Carbon Poly Panel</t>
  </si>
  <si>
    <t>AFC-16251-SW</t>
  </si>
  <si>
    <t>Synthetic Poly-pad, 16x25x1" thick (white)</t>
  </si>
  <si>
    <t>AFC-1834-CPP</t>
  </si>
  <si>
    <t>18x34 Carbon Poly Panel</t>
  </si>
  <si>
    <t>AFC-1837-CPP</t>
  </si>
  <si>
    <t>18x37 Carbon Poly Panel</t>
  </si>
  <si>
    <t>AFC-2024-CPP</t>
  </si>
  <si>
    <t>20x24 Carbon Poly Panel</t>
  </si>
  <si>
    <t>AFC-2025-CPP</t>
  </si>
  <si>
    <t>20x25 Carbon Poly Panel</t>
  </si>
  <si>
    <t>AFC-2030-CPP</t>
  </si>
  <si>
    <t>20x30 Carbon Poly Panel</t>
  </si>
  <si>
    <t>AFC-2123-CPP</t>
  </si>
  <si>
    <t>21x23 Carbon Poly Panel</t>
  </si>
  <si>
    <t>AFC-2223-CPP</t>
  </si>
  <si>
    <t>22x23 Carbon Poly Panel</t>
  </si>
  <si>
    <t>AFC-24114-CPP</t>
  </si>
  <si>
    <t>24x114 Carbon Poly Link</t>
  </si>
  <si>
    <t>AFC-24120-CPP</t>
  </si>
  <si>
    <t>24x120 Carbon Poly Link</t>
  </si>
  <si>
    <t>AFC-2424-CPP</t>
  </si>
  <si>
    <t>24x24 Carbon Poly Panel</t>
  </si>
  <si>
    <t>AFC-2426-CPP</t>
  </si>
  <si>
    <t>24x26 Carbon Poly Panel</t>
  </si>
  <si>
    <t>AFC-2526-CPP</t>
  </si>
  <si>
    <t>25x26 Carbon Poly Panel</t>
  </si>
  <si>
    <t>AFC-2626-CPP</t>
  </si>
  <si>
    <t>26x26 Carbon Poly Panel</t>
  </si>
  <si>
    <t>AFC-2628-CPP</t>
  </si>
  <si>
    <t>26x28 Carbon Poly Panel</t>
  </si>
  <si>
    <t>AFC-2636-CPP</t>
  </si>
  <si>
    <t>26x36 Carbon Poly Panel</t>
  </si>
  <si>
    <t>AFC-4Ply</t>
  </si>
  <si>
    <t>AMPAF11-24242</t>
  </si>
  <si>
    <t>24x24x2 Aluminum Frame MERV 11</t>
  </si>
  <si>
    <t>AMPGP-10302</t>
  </si>
  <si>
    <t>10x30x2 Class 1- Pleated Filter Galvanized Frame..W/Handles on MIDDLE  LONG SIDE ..Galvanized ..Metal Screen Both Sides..High Capacity</t>
  </si>
  <si>
    <t>AMPGP-11.316x11.316x1-SS</t>
  </si>
  <si>
    <t>AMPGP Metal Filter; ..11-13/16" x 11-13/16" x 1"..w/Stainless Steel Frame</t>
  </si>
  <si>
    <t>AMPGP-12121</t>
  </si>
  <si>
    <t>12x12x1 Stainless Steel Frame</t>
  </si>
  <si>
    <t>AMPGP-12242</t>
  </si>
  <si>
    <t>12x24x2 AMPGP Metal Filter..No Straps..Galvanized ..Metal Screen Both Sides..High Capacity</t>
  </si>
  <si>
    <t>AMPGP-24242</t>
  </si>
  <si>
    <t>24x24x2 AMPGP Metal Filter..No Straps..Galvanized ..Metal Screen Both Sides..High Capacity</t>
  </si>
  <si>
    <t>AMPGP-Alum</t>
  </si>
  <si>
    <t>11-13/16" x 11-13/16" x 7/8" Aluminum Frame, No Gasket</t>
  </si>
  <si>
    <t>AMPGP-Metal</t>
  </si>
  <si>
    <t>AMPGP Metal Filter..Galvanized ..</t>
  </si>
  <si>
    <t>AMPHC-24242</t>
  </si>
  <si>
    <t>24x24x2 Class 1 - High Temp Galv. Steel Filter..</t>
  </si>
  <si>
    <t>BF1824-A</t>
  </si>
  <si>
    <t>BF 1824-A..Equivalent 16B23 Kaydon</t>
  </si>
  <si>
    <t>BT8874-MPG</t>
  </si>
  <si>
    <t>4-23/32OD 11-17/32L 10u Sp/On Max Perf Glass Hyd</t>
  </si>
  <si>
    <t>CARTRIDGE</t>
  </si>
  <si>
    <t>CFPS-E11-26CYL</t>
  </si>
  <si>
    <t>Camfil, Campulse HemiPleat, E11 Cambrane, 26" Cylindrical Canister, Galvanized with .56" bolt hole</t>
  </si>
  <si>
    <t>CI-M145P-12204</t>
  </si>
  <si>
    <t>12x20x4 MERV 15 Mini Pleat Plastic Frame</t>
  </si>
  <si>
    <t>CI-M145P-12204-</t>
  </si>
  <si>
    <t>CI-MINIPLEAT</t>
  </si>
  <si>
    <t>MINIPLEAT</t>
  </si>
  <si>
    <t>CI-MP215-12242</t>
  </si>
  <si>
    <t>12x24x2 MERV 15 Mini Pleat</t>
  </si>
  <si>
    <t>CI-MP215-16202</t>
  </si>
  <si>
    <t>16x20x2 MERV 15 Mini Pleat</t>
  </si>
  <si>
    <t>CI-MP215-16252</t>
  </si>
  <si>
    <t>16x25x2 MERV 15 Mini Pleat</t>
  </si>
  <si>
    <t>CI-MP215-20202</t>
  </si>
  <si>
    <t>20x20x2 MERV 15 Mini Pleat</t>
  </si>
  <si>
    <t>CI-MP215-20202-ZB</t>
  </si>
  <si>
    <t>CI-MP215-20242</t>
  </si>
  <si>
    <t>20x24x2 MERV 15 Mini Pleat</t>
  </si>
  <si>
    <t>CI-MP215-20242-ZB</t>
  </si>
  <si>
    <t>CI-MP215-20252</t>
  </si>
  <si>
    <t>20x25x2 MERV 15 Mini Pleat</t>
  </si>
  <si>
    <t>CI-MP215-24242</t>
  </si>
  <si>
    <t>24x24x2 MERV 15 Die Cut  Mini Pleat</t>
  </si>
  <si>
    <t>CI-MP411P-16204</t>
  </si>
  <si>
    <t>16x20x4 MERV 11 Mini Pleat Plastic Frame</t>
  </si>
  <si>
    <t>CI-MP411P-16254</t>
  </si>
  <si>
    <t>16x25x4 MERV 11 Mini Pleat Plastic Frame</t>
  </si>
  <si>
    <t>CI-MP411P-20244</t>
  </si>
  <si>
    <t>20x24x4 MERV 11 Mini Pleat Plastic Frame</t>
  </si>
  <si>
    <t>CI-MP411P-24244</t>
  </si>
  <si>
    <t>24x24x4 MERV 11 Mini Pleat Plastic Frame</t>
  </si>
  <si>
    <t>CI-MP413P-12244</t>
  </si>
  <si>
    <t>12x24x4 MERV 13 Mini Pleat Plastic Frame</t>
  </si>
  <si>
    <t>CI-MP413P-20244</t>
  </si>
  <si>
    <t>20x24x4 MERV 13 Mini Pleat Plastic Frame</t>
  </si>
  <si>
    <t>CI-MP413P-24244</t>
  </si>
  <si>
    <t>24x24x4 MERV 13 Mini Pleat Plastic Frame</t>
  </si>
  <si>
    <t>CI-MP414P-12244</t>
  </si>
  <si>
    <t>12x24x4 MERV 14 Mini Pleat Plastic Frame</t>
  </si>
  <si>
    <t>CI-MP414P-20204</t>
  </si>
  <si>
    <t>20x20x4 MERV 14 Mini Pleat Plastic Frame</t>
  </si>
  <si>
    <t>CI-MP414P-20244</t>
  </si>
  <si>
    <t>20x24x4 MERV 14 Mini Pleat Plastic Frame</t>
  </si>
  <si>
    <t>CI-MP414P-24244</t>
  </si>
  <si>
    <t>24x24x4 MERV 14 Mini Pleat Plastic Frame</t>
  </si>
  <si>
    <t>CI-MP415-18244</t>
  </si>
  <si>
    <t>18x24x4 MERV 15 Mini Pleat</t>
  </si>
  <si>
    <t>CI-MP415-20254</t>
  </si>
  <si>
    <t>20x25x4 MERV 15 Mini Pleat</t>
  </si>
  <si>
    <t>CI-MP415-24244</t>
  </si>
  <si>
    <t>24x24x4 MERV 15 Mini Pleat Die Cut Frame</t>
  </si>
  <si>
    <t>CI-MP415P-12204</t>
  </si>
  <si>
    <t>CI-MP415P-12244</t>
  </si>
  <si>
    <t>12x24x4 MERV 15 Mini Pleat Plastic Frame</t>
  </si>
  <si>
    <t>CI-MP415P-16204</t>
  </si>
  <si>
    <t>16x20x4 MERV 15 Mini Pleat Plastic Frame</t>
  </si>
  <si>
    <t>CI-MP415P-16254</t>
  </si>
  <si>
    <t>16x25x4 MERV 15 Mini Pleat Plastic Frame</t>
  </si>
  <si>
    <t>CI-MP415P-18244</t>
  </si>
  <si>
    <t>18x24x4 MERV 15 Mini Pleat Plastic Frame</t>
  </si>
  <si>
    <t>CI-MP415P-20204</t>
  </si>
  <si>
    <t>20x20x4 MERV 15 Mini Pleat Plastic Frame</t>
  </si>
  <si>
    <t>CI-MP415P-20244</t>
  </si>
  <si>
    <t>20x24x4 MERV 15 Mini Pleat Plastic Frame</t>
  </si>
  <si>
    <t>CI-MP415P-20254</t>
  </si>
  <si>
    <t>20x25x4 MERV 15 Mini Pleat Plastic Frame</t>
  </si>
  <si>
    <t>CI-MP415P-24244</t>
  </si>
  <si>
    <t>24x24x4 MERV 15 Mini Pleat Plastic Frame</t>
  </si>
  <si>
    <t>CI-MP415P-SPECIAL</t>
  </si>
  <si>
    <t>SPECIAL MERV 15 Mini Pleat Plastic Frame</t>
  </si>
  <si>
    <t>CI-MP4H15P-1224</t>
  </si>
  <si>
    <t>12x24x4 MERV 15 Mini Pleat Plastic Frame Headered</t>
  </si>
  <si>
    <t>CI-MP4H15P-16204</t>
  </si>
  <si>
    <t>16x20x4 MERV15 Mini Pleat Plastic Frame w/Header</t>
  </si>
  <si>
    <t>CI-MP4H15P-2020</t>
  </si>
  <si>
    <t>20x20x4 MERV15 Mini Pleat Plastic Frame w/Header</t>
  </si>
  <si>
    <t>CI-MP4H15P-2024</t>
  </si>
  <si>
    <t>20x24x4 MERV 15 Mini Pleat Plastic Frame w/ Header</t>
  </si>
  <si>
    <t>CI-MP4H15P-2025</t>
  </si>
  <si>
    <t>20x25x4, MERV 15 Mini Pleat w/Header</t>
  </si>
  <si>
    <t>CI-MP4H15P-2424</t>
  </si>
  <si>
    <t>24x24x4 MERV 15 Mini Pleat Plastic Frame Headered</t>
  </si>
  <si>
    <t>CMBF 3-40NN</t>
  </si>
  <si>
    <t>CMBF 3-40NN ..40' CMBF Filter 3Mic MLT-BLWM..PP Cut End no Gskt</t>
  </si>
  <si>
    <t>CMS-CARB 1/1 G M13</t>
  </si>
  <si>
    <t>24x24x12, V-Bank Style Extended Surface Carbon (500g) Filter w/DSG</t>
  </si>
  <si>
    <t>CMS-CARB 1/1 G M14</t>
  </si>
  <si>
    <t>CONICAL</t>
  </si>
  <si>
    <t>CP-M15-202015-08</t>
  </si>
  <si>
    <t>20x20x15 (90-95%) Synthetic Bag Filter, 8-Pocket</t>
  </si>
  <si>
    <t>Cleanova</t>
  </si>
  <si>
    <t>DD718-05-060000</t>
  </si>
  <si>
    <t>HILCO Stacked Disk Cartridge</t>
  </si>
  <si>
    <t>DUP F-WRAP-26S-TP</t>
  </si>
  <si>
    <t>Pre-filter wrap for 26" canister filters Sewn Moisture Tolerant Media for TurboPulse</t>
  </si>
  <si>
    <t>DUP MINIRF-2/60</t>
  </si>
  <si>
    <t>16x20x2 Mini Roughing Filter</t>
  </si>
  <si>
    <t>ECube 24x24 F7</t>
  </si>
  <si>
    <t>F7 ECube Pocket Filter..24x24x24 8P DownStream Gasket 592x592x600-8P Plastic Frame</t>
  </si>
  <si>
    <t>EFS030648-016-190HV</t>
  </si>
  <si>
    <t>HV HEPA Filter..(Exceed Performance of Donaldson P030648-016-190)</t>
  </si>
  <si>
    <t>EMAXX E10 1/1</t>
  </si>
  <si>
    <t>Viledon V08-25-N19S-K27-30m�</t>
  </si>
  <si>
    <t>EMAXX E12 1/1</t>
  </si>
  <si>
    <t>Viledon EMaxx E12 24x24x17</t>
  </si>
  <si>
    <t>F-CUBE-V2424-CV</t>
  </si>
  <si>
    <t>Pre-filter Carbon cube for 24x24x12 V4-Bank Filters</t>
  </si>
  <si>
    <t>F-F51224-CFC-W</t>
  </si>
  <si>
    <t>EFS F5 MERV 8 CFC Coalescing Pocket Filter 12x24x12 6P</t>
  </si>
  <si>
    <t>F-F52424-CFC-W</t>
  </si>
  <si>
    <t>EFS F5 MERV 8 CFC Coalescing Pocket Filter 24x24x12 6P</t>
  </si>
  <si>
    <t>F-F5SS1224-RP-W</t>
  </si>
  <si>
    <t>EFS F5 (MERV 8)  Reverse Pocket Filter (12x24x13), Synthetic Pocket Filter (3 pockets)</t>
  </si>
  <si>
    <t>F-F5SS2424-RP-W</t>
  </si>
  <si>
    <t>EFS F5 (MERV 8)  Reverse Pocket Filter (24x24x13), Synthetic Pocket Filter (6 pockets)</t>
  </si>
  <si>
    <t>F-G41224-CFC-W</t>
  </si>
  <si>
    <t>EFS G4 CFC Coalescing Pocket Filter 12x24x15 Synthetic 3P</t>
  </si>
  <si>
    <t>F-G42424-CFC-W</t>
  </si>
  <si>
    <t>EFS G4 CFC Coalescing Pocket Filter 24x24x15 Synthetic 6P</t>
  </si>
  <si>
    <t>F-G4SS1224-RP-W</t>
  </si>
  <si>
    <t>EFS G4 Reverse 3-Pocket Filter 12x24x13 Synthetic</t>
  </si>
  <si>
    <t>F-G4SS2024-RP-W</t>
  </si>
  <si>
    <t>EFS G4 Reverse 4-Pocket Filter 20x24x13 Synthetic</t>
  </si>
  <si>
    <t>F-G4SS2424-RP-W</t>
  </si>
  <si>
    <t>EFS G4 Reverse 6-Pocket Filter 24x24x13 Synthetic</t>
  </si>
  <si>
    <t>F-SBP-MERV8-45122-</t>
  </si>
  <si>
    <t>METRO, Filter, Air, HVAC pleated..45-3/4" x 12-1/4" x 1-3/4"; MERV 8, Pleated Filter..METRO PN: 171358N</t>
  </si>
  <si>
    <t>F-SOCK-22V</t>
  </si>
  <si>
    <t>Pre-filter sock for 22" canister filters (with Velcro strip); standard white media</t>
  </si>
  <si>
    <t>F-SOCK-26</t>
  </si>
  <si>
    <t>Pre-filter sock for 26" canister filters (no Velcro strap)</t>
  </si>
  <si>
    <t>F-SOCK-3V600</t>
  </si>
  <si>
    <t>Reverse prefilter glove for CamGT 3V600</t>
  </si>
  <si>
    <t>F-SOCK-CMPST-S</t>
  </si>
  <si>
    <t>Pre-filter inner wrap for 26" Composite Filter and Plastic Strap with Velcro</t>
  </si>
  <si>
    <t>F-SOCK-GDX</t>
  </si>
  <si>
    <t>One Piece Pre-filter sock for GDX style filters</t>
  </si>
  <si>
    <t>F-SOCK-GDX-S15</t>
  </si>
  <si>
    <t>One-piece Synthetic Pre-filter sock for GDX/ E12</t>
  </si>
  <si>
    <t>F-SOCK-GDX15</t>
  </si>
  <si>
    <t>Gas Turbine Pre-filter 1 Piece Sock for GDX style filters -..Freudenberg P15/500 - Filtrair C15/500 media</t>
  </si>
  <si>
    <t>F-SOCK-V1224</t>
  </si>
  <si>
    <t>Pre-Filter sock for 12x24x12 V4-Bank Filters</t>
  </si>
  <si>
    <t>F-SOCK-V2424</t>
  </si>
  <si>
    <t>Pre-Filter sock for 24x24x12 V4-Bank Filters</t>
  </si>
  <si>
    <t>F-WRAP-22V</t>
  </si>
  <si>
    <t>Pre-filter wrap for 22" canister filters with Velcro strap</t>
  </si>
  <si>
    <t>F-WRAP-22V-S15</t>
  </si>
  <si>
    <t>F-WRAP-26-CYN</t>
  </si>
  <si>
    <t>Pre-filter wrap for 26" Cylindrical filters with Velcro strap</t>
  </si>
  <si>
    <t>F-WRAP-26S</t>
  </si>
  <si>
    <t>Pre-filter wrap for 26" canister filters Sewn</t>
  </si>
  <si>
    <t>F-WRAP-26S-S15</t>
  </si>
  <si>
    <t>Pre-filter wrap for 26" canister filters Sewn Moisture Tolerant S15</t>
  </si>
  <si>
    <t>F-WRAP-26S-TP</t>
  </si>
  <si>
    <t>F-WRAP-26V</t>
  </si>
  <si>
    <t>Pre-filter wrap for 26" canister filters with Velcro strap</t>
  </si>
  <si>
    <t>F-WRAP-26V-CON</t>
  </si>
  <si>
    <t>Pre-filter wrap for 26" Conical filters with Velcro strap</t>
  </si>
  <si>
    <t>F-WRAP-26V-CON-S15</t>
  </si>
  <si>
    <t>Pre-filter wrap for 26" Conical filters with Velcro strap Moisture Tolerant S15</t>
  </si>
  <si>
    <t>F-WRAP-26V-CON-TP</t>
  </si>
  <si>
    <t>Pre-filter wrap for 26" Conical filters with Velcro strap Moisture Tolerant Media for Camfil TurboPulse</t>
  </si>
  <si>
    <t>F-WRAP-28S-S15-SPEC</t>
  </si>
  <si>
    <t>Special Dim. OD 15.92" Pre-filter wrap for 28" canister filters Sewn Moisture Tolerant S15.</t>
  </si>
  <si>
    <t>F-WRAP-30V</t>
  </si>
  <si>
    <t>Pre-filter wrap for 30" canister filters with Velcro strap</t>
  </si>
  <si>
    <t>F-WRAP-34V</t>
  </si>
  <si>
    <t>Pre-filter wrap for 34" canister  w/Velcro strap</t>
  </si>
  <si>
    <t>F-WRAP-34V-CON</t>
  </si>
  <si>
    <t>Pre-filter wrap for 34" Conical filters with Velcro strap</t>
  </si>
  <si>
    <t>F-WRAP-35V</t>
  </si>
  <si>
    <t>F-WRAP-36V</t>
  </si>
  <si>
    <t>Pre-filter wrap for 36" canister  w/Velcro strap</t>
  </si>
  <si>
    <t>F-WRAP-40S</t>
  </si>
  <si>
    <t>Pre-Filter 40" canister filter sewn</t>
  </si>
  <si>
    <t>F-WRAP-CMPST</t>
  </si>
  <si>
    <t>Pre-filter inner wrap w/ Velcro Strap</t>
  </si>
  <si>
    <t>F-WRAP-CMPST-CAMFIL</t>
  </si>
  <si>
    <t>F Wrap Camfil</t>
  </si>
  <si>
    <t>F-WRAP-V1612</t>
  </si>
  <si>
    <t>Cartridge Filter wrap w/Velcro; 16"OD x 12"H; Equiv to P191016-016-340</t>
  </si>
  <si>
    <t>F-WRAP-V2541</t>
  </si>
  <si>
    <t>Cartridge Filter wrap w/Velcro; 25" x 41"</t>
  </si>
  <si>
    <t>F0619577</t>
  </si>
  <si>
    <t>FPM-493-2448-RSR..22.312 x 46.312 x 4.000..Test Flow: 555 CFM..Resistance: 0.40</t>
  </si>
  <si>
    <t>F31S36412 / PO-25-P02E-WW-30L</t>
  </si>
  <si>
    <t>F31S36412 / PO-25-P02E-WW-30L..Eaton Sentinel Bag Filter</t>
  </si>
  <si>
    <t>F45S 1/1</t>
  </si>
  <si>
    <t>Viledon  24x24x13  45% Pocket</t>
  </si>
  <si>
    <t>F5-06-122422</t>
  </si>
  <si>
    <t>12x24x22, F5 (50%), 6 Pocket, Synthetic Bag Filter with Extruded Aluminum Frame</t>
  </si>
  <si>
    <t>F5-06-242422</t>
  </si>
  <si>
    <t>24x24x22, F5 (50%), 6 Pocket, Synthetic Bag Filter with Extruded Aluminum Frame</t>
  </si>
  <si>
    <t>F5-242424-6W</t>
  </si>
  <si>
    <t>EFS 24x24x24, 50% Depth Loading Synthetic Pocket Filter (6 pockets)</t>
  </si>
  <si>
    <t>F5-242426-6W</t>
  </si>
  <si>
    <t>EFS 24x24x26, 50% Depth Loading Synthetic Pocket Filter (6 pockets)</t>
  </si>
  <si>
    <t>F50 1/1</t>
  </si>
  <si>
    <t>Viledon  24x24x26  50% Pocket</t>
  </si>
  <si>
    <t>F50 1/2</t>
  </si>
  <si>
    <t>Viledon  12x24x26  50% Pocket</t>
  </si>
  <si>
    <t>F5S-122418-3W</t>
  </si>
  <si>
    <t>EFS 12x24x18, 50% Depth Loading Synthetic Pocket Filter (3 pockets)</t>
  </si>
  <si>
    <t>F5S-242418-6W</t>
  </si>
  <si>
    <t>EFS 24x24x18, 50% Depth Loading Synthetic Pocket Filter (6 pockets)</t>
  </si>
  <si>
    <t>F5S-242420-6W</t>
  </si>
  <si>
    <t>EFS F5 Pocket Filter (24x24x20), Synthetic Pocket Filter (6 pockets)</t>
  </si>
  <si>
    <t>F5SC-242418-6FM</t>
  </si>
  <si>
    <t>24x24x18, 50%, Synthetic Pocket Filter</t>
  </si>
  <si>
    <t>F5SS-122412-3W</t>
  </si>
  <si>
    <t>EFS 12x24x12, 50% Depth Loading Synthetic Pocket Filter (3 pockets)</t>
  </si>
  <si>
    <t>F5SS-202412-6W</t>
  </si>
  <si>
    <t>EFS 20x24x12 MERV 8 Depth Loading Synthetic Pocket Filter (6 pockets)</t>
  </si>
  <si>
    <t>F5SS-242412-6W</t>
  </si>
  <si>
    <t>EFS 24x24x12, 50% Depth Loading Synthetic Pocket Filter (6 pockets)</t>
  </si>
  <si>
    <t>F6-122424-3W</t>
  </si>
  <si>
    <t>EFS 12x24x24, 60% Depth Loading Synthetic Pocket Filter (3 pockets)</t>
  </si>
  <si>
    <t>F6-242424-8W</t>
  </si>
  <si>
    <t>EFS 24x24x24, 60% Depth Loading Synthetic Pocket Filter (8 pockets)</t>
  </si>
  <si>
    <t>F6-242426-6W</t>
  </si>
  <si>
    <t>EFS 24x24x26, 60% Depth Loading Synthetic Pocket Filter (6 pockets)</t>
  </si>
  <si>
    <t>F6-242426-8W</t>
  </si>
  <si>
    <t>EFS 24x24x26, 60% Depth Loading Synthetic Pocket Filter (8 pockets)</t>
  </si>
  <si>
    <t>F6HT-3618</t>
  </si>
  <si>
    <t>High Temp. Air Filter, M6, 18" x 36" x 2" (457x915x55mm) with Aluminum Frame, Glass Fiber media; no header</t>
  </si>
  <si>
    <t>F6S-122418-3W</t>
  </si>
  <si>
    <t>EFS 12x24x18, 60% Depth Loading Synthetic Pocket Filter (4 pockets)</t>
  </si>
  <si>
    <t>F6S-242418-8W</t>
  </si>
  <si>
    <t>EFS 24x24x18, 60% Depth Loading Synthetic Pocket Filter (8 pockets)</t>
  </si>
  <si>
    <t>F6SS-122412-3W</t>
  </si>
  <si>
    <t>EFS 12x24x12, 60% Depth Loading Synthetic Pocket Filter (3 pockets)</t>
  </si>
  <si>
    <t>F6SS-242412-8W</t>
  </si>
  <si>
    <t>EFS 24x24x12, 60% Depth Loading Synthetic Pocket Filter (8 pockets)</t>
  </si>
  <si>
    <t>F6WR-242426-6W</t>
  </si>
  <si>
    <t>EFS 24x24x26, with Rubber Boot, Water Resistant , Depth Loading Synthetic Pocket Filter (6 pockets)</t>
  </si>
  <si>
    <t>F6WR-242426-8W</t>
  </si>
  <si>
    <t>EFS 24x24x26, with Rubber Boot, Water Resistant , Depth Loading Synthetic Pocket Filter (8 pockets)</t>
  </si>
  <si>
    <t>F7 Pocket</t>
  </si>
  <si>
    <t>Air Filter Bag for OMAV Exhaust ..320mm Dia exhaust x 520mm Long F7/MERV14 Like OMVM-92094-F7</t>
  </si>
  <si>
    <t>F7-08BAG122422</t>
  </si>
  <si>
    <t>EFS 12x24x22, F7/MERV 13, 4 Pocket Bag Filter with Aluminum Frame</t>
  </si>
  <si>
    <t>F7-08BAG242422</t>
  </si>
  <si>
    <t>EFS 24x24x22, F7/MERV 13, 8 Pocket Bag Filter with Aluminum Frame</t>
  </si>
  <si>
    <t>F7-242424-8W</t>
  </si>
  <si>
    <t>EFS 24x24x24,  Depth Loading Synthetic Pocket Filter (8 pockets)</t>
  </si>
  <si>
    <t>F7242724PKT-9P</t>
  </si>
  <si>
    <t>F7 24X27X24 9 Pockets NO GASKET..Semi-rigid media, HF welding + inner spacers..</t>
  </si>
  <si>
    <t>F7242724PKT-9PDSG</t>
  </si>
  <si>
    <t>F7 24X27X24 9 Pockets DSG..Semi-rigid media, HF welding + inner spacers..</t>
  </si>
  <si>
    <t>F7V4-1224-W</t>
  </si>
  <si>
    <t>MERV 13 4V-Bank Filter (12x24x12) No gasket</t>
  </si>
  <si>
    <t>F7V4-2424-W</t>
  </si>
  <si>
    <t>MERV 13 4V-Bank Filter (24x24x12) No gasket</t>
  </si>
  <si>
    <t>F8-06-122415-W</t>
  </si>
  <si>
    <t>F8 (95%) 6 Pocket, Synthetic Bag Filter (12x24x15) with Extruded Aluminum Frame</t>
  </si>
  <si>
    <t>F8-06-242415-W</t>
  </si>
  <si>
    <t>F8 (95%) 6 Pocket, Synthetic Bag Filter (24x24x15) with Extruded Aluminum Frame</t>
  </si>
  <si>
    <t>F8-08BAG122422</t>
  </si>
  <si>
    <t>EFS 12x24x22, F8/MERV 14, 4 Pocket Bag Filter with Aluminum Frame</t>
  </si>
  <si>
    <t>F8-08BAG242422</t>
  </si>
  <si>
    <t>EFS 24x24x22, F8/MERV 14, 8 Pocket Bag Filter with Aluminum Frame</t>
  </si>
  <si>
    <t>F8-Bag Filter</t>
  </si>
  <si>
    <t>24x24x???, F8 (95%), ** Pocket, Synthetic Bag Filter with Extruded Aluminum Frame</t>
  </si>
  <si>
    <t>F8V2-1224-GWB</t>
  </si>
  <si>
    <t>MERV 16 (95%) 2V-Bank Filter (12x24x12) w/DSG</t>
  </si>
  <si>
    <t>F8V2-2424-GWB</t>
  </si>
  <si>
    <t>MERV 16 (95%) 2V-Bank Filter (24x24x12) w/DSG</t>
  </si>
  <si>
    <t>F8V3-2020-GWB</t>
  </si>
  <si>
    <t>MERV 16 (95%) 3V-Bank Filter (20x20x12) w/DSG</t>
  </si>
  <si>
    <t>F8V4-1220-GWB</t>
  </si>
  <si>
    <t>MERV 15 (95%) 4V-Bank Filter (12x20x12) w/DSG</t>
  </si>
  <si>
    <t>F8V4-1224-GWB</t>
  </si>
  <si>
    <t>MERV 16 (95%) 4V-Bank Filter (12x24x12) w/DSG</t>
  </si>
  <si>
    <t>F8V4-1224-W</t>
  </si>
  <si>
    <t>MERV 16 (95%) 4V-Bank Filter (12x24x12) NO GASKET</t>
  </si>
  <si>
    <t>F8V4-2024-GWB</t>
  </si>
  <si>
    <t>MERV 16 (95%) 4V-Bank Filter (20x24x12) w/DSG</t>
  </si>
  <si>
    <t>F8V4-2424-GWB</t>
  </si>
  <si>
    <t>MERV 16 (95%) 4V-Bank Filter (24x24x12) w/DSG</t>
  </si>
  <si>
    <t>F8V4-2424-GWB-R</t>
  </si>
  <si>
    <t>MERV 16 (95%) Reverse 4V-Bank Filter (24x24x12) w/DSG</t>
  </si>
  <si>
    <t>F8V4-2424-W</t>
  </si>
  <si>
    <t>MERV 16 (95%) 4V-Bank Filter (24x24x12) NO GASKET</t>
  </si>
  <si>
    <t>F8V4DH-1224-GWB</t>
  </si>
  <si>
    <t>EFS F8, MERV 16 (95%) V4-Bank Filter 12x24x12 RP Gasketed DOUBLE HEADER</t>
  </si>
  <si>
    <t>F8V4DH-2424-GWB</t>
  </si>
  <si>
    <t>EFS F8 MERV 16 (95%) V4-Bank Filter (24x24x12) RP Gasketed DOUBLE HEADER</t>
  </si>
  <si>
    <t>F8V4GL</t>
  </si>
  <si>
    <t>F8V4GL-1224-GWB</t>
  </si>
  <si>
    <t>MERV 16 Glass Media (95%) 4V-Bank Filter (12x24x12) w/DSG</t>
  </si>
  <si>
    <t>F8V4GL-2024-GWB</t>
  </si>
  <si>
    <t>MERV 15 Glass Media (95%) 4V-Bank Filter (20x24x12) w/DSG</t>
  </si>
  <si>
    <t>F8V4GL-2424-GWB</t>
  </si>
  <si>
    <t>MERV 15 Glass Media (95%) 4V-Bank Filter (24x24x12) w/DSG</t>
  </si>
  <si>
    <t>FA 190856</t>
  </si>
  <si>
    <t>Composite Filter for LM6000 Canister Filter w/Inner Wrap, MERV 11 80/20</t>
  </si>
  <si>
    <t>FA 191234-SSW</t>
  </si>
  <si>
    <t>12.75" x 8.38" x 22"  Cylindrical Cartridge - 189 ft�</t>
  </si>
  <si>
    <t>FA 191234-WB</t>
  </si>
  <si>
    <t>22" Cylindrical, MERV 11 GT Inlet Filter</t>
  </si>
  <si>
    <t>FA-191177</t>
  </si>
  <si>
    <t>26" Canister MERV 15 Synthetic</t>
  </si>
  <si>
    <t>FA-191234</t>
  </si>
  <si>
    <t>22" L GT Cansiter Blended M11</t>
  </si>
  <si>
    <t>FA-191236</t>
  </si>
  <si>
    <t>26" L GT Cansiter Blended M11</t>
  </si>
  <si>
    <t>FA-191789-22</t>
  </si>
  <si>
    <t>22" L M11 Cansiter aka P19-1789 Duratek</t>
  </si>
  <si>
    <t>FA-644-2A</t>
  </si>
  <si>
    <t>Facet 44" Length 2 Micron FA Series Microfilter EI 1590 Qualified</t>
  </si>
  <si>
    <t>FA-6555-20205</t>
  </si>
  <si>
    <t>FA-6555  20x20x5 Mini Pleated</t>
  </si>
  <si>
    <t>FC-80055.352424</t>
  </si>
  <si>
    <t>24" x 24" 3.5" High Capacity Pleat</t>
  </si>
  <si>
    <t>FC-80255.04599</t>
  </si>
  <si>
    <t>80255.032424.. 24" x 24" 3.5" High Capacity Pleat- NO LABELS ON BEVERAGE BOARD OR FILTERS</t>
  </si>
  <si>
    <t>FGP-CARB</t>
  </si>
  <si>
    <t>FGP-CARB 1/1 G</t>
  </si>
  <si>
    <t>FGP-CARB 1/2 G</t>
  </si>
  <si>
    <t>12x24x12, V-Bank Style Extended Surface Carbon (500g) Filter w/DSG</t>
  </si>
  <si>
    <t>FGP-CARB 5/6 G</t>
  </si>
  <si>
    <t>20x24x12, V-Bank Style Extended Surface Carbon (500g) Filter w/DSG</t>
  </si>
  <si>
    <t>FGP-CARBM14 1/1 G</t>
  </si>
  <si>
    <t>24x24x12, V-Bank Style Extended Surface Carbon MERV14 Filter w/DSG</t>
  </si>
  <si>
    <t>FGP-CARBM14 1/2 G</t>
  </si>
  <si>
    <t>12x24x12, V-Bank Style Extended Surface Carbon MERV14 Filter w/DSG</t>
  </si>
  <si>
    <t>FGP-CARBM14 5/6 G</t>
  </si>
  <si>
    <t>20x24x12, V-Bank Style Extended Surface Carbon MERV14 Filter w/DSG</t>
  </si>
  <si>
    <t>FGP-CARBM15 1/1 G</t>
  </si>
  <si>
    <t>24x24x12, V-Bank Style Extended Surface Carbon MERV15 Filter w/DSG</t>
  </si>
  <si>
    <t>FGP-CARBM15 1/2 G</t>
  </si>
  <si>
    <t>12x24x12, V-Bank Style Extended Surface Carbon MERV15 Filter w/DSG</t>
  </si>
  <si>
    <t>FGP-CARBW-M14 1/1G</t>
  </si>
  <si>
    <t>MERV 14, 24x24x12, V-Bank Style Extended Surface Carbon (500g) Filter w/DSG</t>
  </si>
  <si>
    <t>FGP-CARBW-M14 1/2G</t>
  </si>
  <si>
    <t>MERV 14, 12x24x12, V-Bank Style Extended Surface Carbon (500g) Filter w/DSG</t>
  </si>
  <si>
    <t>FHT-F6-12122W</t>
  </si>
  <si>
    <t>EFS High Temp. Air Filter, 12"x12"x2" ..aluminum Frame, Glass Fiber media</t>
  </si>
  <si>
    <t>FHT-F6-20244</t>
  </si>
  <si>
    <t>EFS High Temp. Air Filter, 20x24x4 w/ Galvanized Frame</t>
  </si>
  <si>
    <t>FHT-F6-232312W-DH</t>
  </si>
  <si>
    <t>EFS High Temp. Air Filter, 23-3/8" x 23-3/8" x  11�" , Aluminum Frame, Glass Fiber media, Screens Both Sides, HT Gasket, Double Header, High Capacity, Rated 2000 cfm</t>
  </si>
  <si>
    <t>FHT-F6-232312W-SH</t>
  </si>
  <si>
    <t>EFS High Temp. Air Filter, 23-3/8" x 23-3/8" x  11�" , Aluminum Frame, Glass Fiber media, Screens Both Sides, HT Gasket, Single Header, High Capacity, Rated 2000 cfm</t>
  </si>
  <si>
    <t>FHT-F6-23234W</t>
  </si>
  <si>
    <t>EFS High Temp. Air Filter, 23-3/8" x 23-3/8" x 3-1/2" ..aluminum Frame, Glass Fiber media</t>
  </si>
  <si>
    <t>FHT-F6-24242W</t>
  </si>
  <si>
    <t>EFS High Temp. Air Filter, 24" x 24" x 2" ..aluminum Frame, Glass Fiber media</t>
  </si>
  <si>
    <t>FHT-F8-12244W</t>
  </si>
  <si>
    <t>EFS High Temp. Air Filter, F8, 12" x 24" x 4" (305x610x120mm) with Aluminum Frame, Glass Fiber media; no header</t>
  </si>
  <si>
    <t>FHT-F8-18362W</t>
  </si>
  <si>
    <t>FHT-F8-232312W</t>
  </si>
  <si>
    <t>EFS High Temp. F8 Air Filter, 23-3/8" x 23-3/8" x 11�" , Aluminum Frame, Glass Fiber media, Screens Both Sides, HT Gasket, NO HEADER, High Capacity, Rated 2000 cfm</t>
  </si>
  <si>
    <t>FHT-F8-232312W-DH</t>
  </si>
  <si>
    <t>EFS High Temp. F8 Air Filter, 23-3/8" x 23-3/8" x 11�" , Aluminum Frame, Glass Fiber media, Screens Both Sides, HT Gasket, Double Header, High Capacity, Rated 2000 cfm</t>
  </si>
  <si>
    <t>FHT-F8-232312W-SH</t>
  </si>
  <si>
    <t>EFS High Temp. F8 Air Filter, 23-3/8" x 23-3/8" x 11�" , Aluminum Frame, Glass Fiber media, Screens Both Sides, HT Gasket, Single Header, High Capacity, Rated 2000 cfm</t>
  </si>
  <si>
    <t>FHT-F8-23234W</t>
  </si>
  <si>
    <t>FHT-F8-24244W</t>
  </si>
  <si>
    <t>F8/MERV 14, High Temperature Air Filter,..24" x 24" x 4"; Glass Fiber media; no header</t>
  </si>
  <si>
    <t>FHT-F8-457915</t>
  </si>
  <si>
    <t>FHT-F8-</t>
  </si>
  <si>
    <t>FHT-F8-592592</t>
  </si>
  <si>
    <t>FHT-F8-610610</t>
  </si>
  <si>
    <t>FI-644-20P</t>
  </si>
  <si>
    <t>FI-644-20P..Pleated Cellulose Filter Cartridge, 20 Micron, 6" x 44" L, DOE, with Tin Plated..Outer Shell</t>
  </si>
  <si>
    <t>FL-190856-LM6000</t>
  </si>
  <si>
    <t>Composite filter for LM6000 with pre-filter inner wrap..(Donaldson  P19-0856 equivalent)</t>
  </si>
  <si>
    <t>FL-FA15696</t>
  </si>
  <si>
    <t>34" Canister Syn Blend, Cellulose/Polyester M11..(AAF  1569656-001 equivalent)</t>
  </si>
  <si>
    <t>FL-FA16455-O</t>
  </si>
  <si>
    <t>22" Canister Syn Blend, Cellulose/Polyester M11..(AAF  1645571-001 equivalent)</t>
  </si>
  <si>
    <t>FL-FA190808-UFR</t>
  </si>
  <si>
    <t>FA 190818-UFR Downdraft Bench, Flame Retardant, Open/Open M15, 26" x 13.8 OD</t>
  </si>
  <si>
    <t>FL-FA190856</t>
  </si>
  <si>
    <t>FA 190856 Standard Galv. Composite Filter 90/10 Blend</t>
  </si>
  <si>
    <t>FL-FA190856-LM6000</t>
  </si>
  <si>
    <t>Composite filter for LM6000L, 80/20 blend with pre-filter inner-wrap</t>
  </si>
  <si>
    <t>FL-FA190856-SC</t>
  </si>
  <si>
    <t>FA 190856-SC Composite Filter; SS Core, Galv. Body and Caps</t>
  </si>
  <si>
    <t>FL-FA191033</t>
  </si>
  <si>
    <t>26" Canister/Barrier Filter ..(Donaldson P191033 equivalent)</t>
  </si>
  <si>
    <t>FL-FA191107</t>
  </si>
  <si>
    <t>26" Canister 80/20 Blend, Cellulose/Polyester Blend ..(Donaldson P191107 equivalent)</t>
  </si>
  <si>
    <t>FL-FA191234</t>
  </si>
  <si>
    <t>22" Cylindrical, MERV 15 Nanofiber GT Inlet Filter</t>
  </si>
  <si>
    <t>FL-FA191236-8020</t>
  </si>
  <si>
    <t>26" Cylindrical Filter (for GDX pair)..80/20 Blended Media ..(For Donaldson GDS-AD50885-01)</t>
  </si>
  <si>
    <t>FL-FA191238-8020</t>
  </si>
  <si>
    <t>26" Conical Filter (for GDX pair)..80/20 Blend Media..(For Donaldson GDS-AD50885-01)</t>
  </si>
  <si>
    <t>FL-FA191280</t>
  </si>
  <si>
    <t>26" Cylindrical, MERV 15 Nanofiber, GT Inlet Filter</t>
  </si>
  <si>
    <t>FL-FA191280-S-WB</t>
  </si>
  <si>
    <t>FL-FA191281</t>
  </si>
  <si>
    <t>26" Conical, MERV 15 Nanofiber, GT Inlet Filter</t>
  </si>
  <si>
    <t>FL-FA191310</t>
  </si>
  <si>
    <t>22" Cylindrical, MERV 13 Nanofiber GT Inlet Filter</t>
  </si>
  <si>
    <t>FL-FA72518</t>
  </si>
  <si>
    <t>26" GT Canister filter; MERV 10 w/Tenkay Interface ..(26" Long x 12.75 Diameter)</t>
  </si>
  <si>
    <t>FL-FA72518-36-WB</t>
  </si>
  <si>
    <t>36" GT Canister filter; MERV 10 w/Tenkay Interface ..(36" Long x 12.75 Diameter)</t>
  </si>
  <si>
    <t>FL-FA72518-WB</t>
  </si>
  <si>
    <t>FLK-A060095-PF</t>
  </si>
  <si>
    <t>A060095-PF ..Spencer Turbine Filter P/N ELE90044</t>
  </si>
  <si>
    <t>FLK-C 050360-03x</t>
  </si>
  <si>
    <t>C050360-03x Natural Gas Filter ..5.5" OD x 4.3" ID x 36.4"L ..</t>
  </si>
  <si>
    <t>FLK-D045240-20G</t>
  </si>
  <si>
    <t>D045240-20G</t>
  </si>
  <si>
    <t>FLK02-10408</t>
  </si>
  <si>
    <t>AKA HCC8FMS8Z Filter Element</t>
  </si>
  <si>
    <t>FLK02-18514</t>
  </si>
  <si>
    <t>Fluitek FLK02-18514..Replacement for Schroeder KZX3V..Combustion Turbine Hydraulic Element</t>
  </si>
  <si>
    <t>FLK02-18915</t>
  </si>
  <si>
    <t>ACB244F244OY1 Filter Element</t>
  </si>
  <si>
    <t>FLK14-01744</t>
  </si>
  <si>
    <t>MFK-032-39 FRANKIE FILTER</t>
  </si>
  <si>
    <t>FLK16-02025</t>
  </si>
  <si>
    <t>Gas Filter Element..(Direct drop-in replacement for Pall CC3LG02H13)</t>
  </si>
  <si>
    <t>FM80GT-24244</t>
  </si>
  <si>
    <t>24x24x4 Disposable Coalescer Filter Pad  with Tackifier</t>
  </si>
  <si>
    <t>FP-4VH13HEPA-1123115-WGH</t>
  </si>
  <si>
    <t>EFS H13 (99.99%) High Volume HEPA Filter, 11-3/8" x 23-3/8" x 11-1/2" with Plastic Frame HEADER, Wet Laid Glass Mini Pleated media</t>
  </si>
  <si>
    <t>FP-4VH13HEPA-191912-WGH</t>
  </si>
  <si>
    <t>EFS H13 (99.99%) High Volume HEPA Filter, V4-bank style19-3/8 x 19-3/8 x 12  with 20mm HEADER, Blue Plastic Frame, Wet Laid Glass Mini Pleated media</t>
  </si>
  <si>
    <t>FP-4VH13HEPA-2323115-WGH</t>
  </si>
  <si>
    <t>EFS H13 (99.99%) High Volume HEPA Filter, V4-bank style 23-3/8" x 23-3/8" x 11-1/2" with 20mm HEADER, Blue Plastic Frame, Wet Laid Glass Mini Pleated media</t>
  </si>
  <si>
    <t>FP-H10HEPA-2424115-WPP</t>
  </si>
  <si>
    <t>EFS H10 (99%) High Volume HEPA Filter, 24" x 24" x 11.5" (610x610x292mm) with Plastic Frame, 100% Synthetic media</t>
  </si>
  <si>
    <t>FP-H13HEPA-1123115-WG</t>
  </si>
  <si>
    <t>EFS H13 (99.99%) High Volume HEPA Filter, 11-3/8" x 23-3/8" x 11-1/2" with Plastic Frame, Wet Laid Glass Mini Pleated media</t>
  </si>
  <si>
    <t>FP-H13HEPA-1224115-WG</t>
  </si>
  <si>
    <t>EFS H13 (99.99%) High Volume HEPA Filter, 12" x 24" x 11.5" with Plastic Frame, Wet Laid Glass Mini Pleated media</t>
  </si>
  <si>
    <t>FP-H13HEPA-18151.97-WG</t>
  </si>
  <si>
    <t>482x403x50 H13 Aluminum frame..Normal Temp. aluminum frame 50mm, H13 glass fiber..media, with gasket T5x15mm on CAS, without..protection nets</t>
  </si>
  <si>
    <t>FP-H13HEPA-1923115-WG</t>
  </si>
  <si>
    <t>H13 (99.99%) High Volume HEPA..Plastic Frame, 19-3/8�x 23-3/8�x 11 � ..H13 Glass Mini Pleated Media  ..</t>
  </si>
  <si>
    <t>FP-H13HEPA-2323115-WG</t>
  </si>
  <si>
    <t>EFS H13 (99.99%) High Volume HEPA Filter, 23-3/8" x 23-3/8" x 11-1/2" with Plastic Frame, Wet Laid Glass Mini Pleated media</t>
  </si>
  <si>
    <t>FP-H13HEPA-2424115-WG</t>
  </si>
  <si>
    <t>EFS H13 (99.99%) High Volume HEPA Filter, 24" x 24" x 11.5" with Plastic Frame, Wet Laid Glass Mini Pleated media</t>
  </si>
  <si>
    <t>FP-H14ALUMHEPA-2424115</t>
  </si>
  <si>
    <t>EFS H14 (99.99%) High Volume HEPA Filter, 24" x 24" x 11.5" with Aluminum Frame, Wet Laid Glass Mini Pleated media</t>
  </si>
  <si>
    <t>FP-H14HEPA-1212115-WG</t>
  </si>
  <si>
    <t>H14 99.99% Alum Sep HEPA 12x12x11�..Powder Coated Nets DSG Plastic Frame</t>
  </si>
  <si>
    <t>FP-H14HEPA-1818115-WG</t>
  </si>
  <si>
    <t>H14 99.99% Alum Sep HEPA 18x18x11�..Powder Coated Nets DSG Plastic Frame</t>
  </si>
  <si>
    <t>FP-H14HEPA-242012-WG</t>
  </si>
  <si>
    <t>EFS H14 (99.999%) High Volume HEPA Filter, 24x20x12" with Plastic Frame, Wet Laid Glass Mini Pleated media</t>
  </si>
  <si>
    <t>FP-H14HEPA-2424115-WG</t>
  </si>
  <si>
    <t>EFS H14 (99.999%) High Volume ULPA Filter, 24" x 24" x 11.5" with Plastic Frame, Wet Laid Glass Mini Pleated media</t>
  </si>
  <si>
    <t>FPG-H13HEPA-1123115-WG</t>
  </si>
  <si>
    <t>EFS H13 (99.99%) High Volume HEPA Filter, 11-3/8" x 23-3/8" x 11-1/2" with GALV. Frame, Wet Laid Glass Mini Pleated media</t>
  </si>
  <si>
    <t>FPG-H13HEPA-2323115-WG</t>
  </si>
  <si>
    <t>H13 (99.99%) High Volume HEPA Filter, Galv. Frame,..23-3/8" x 23-3/8" x 11-1/2" (592x592x292mm), ..H13 Glass Mini Pleated Media</t>
  </si>
  <si>
    <t>FV4XLCG</t>
  </si>
  <si>
    <t>24x24x15 MERV 16 F9 Turbine V-Bank Filter ,Micro-Glass Fiber, Plastic Frame</t>
  </si>
  <si>
    <t>G4-MINIPLEAT</t>
  </si>
  <si>
    <t>580x650x48 G4 Glass Media Plastic Frame MINI Pleat</t>
  </si>
  <si>
    <t>G8 Cube</t>
  </si>
  <si>
    <t>Poly Shield Cube 20x20x10</t>
  </si>
  <si>
    <t>G8 Cube 1/1</t>
  </si>
  <si>
    <t>Poly Shield Cube 24x24x15, 12/box</t>
  </si>
  <si>
    <t>G8 Cube 1/2</t>
  </si>
  <si>
    <t>Poly Shield Cube 12x24x15, 12/box</t>
  </si>
  <si>
    <t>GALV 104</t>
  </si>
  <si>
    <t>20 x 25  x 2  Galv 104</t>
  </si>
  <si>
    <t>GDS-SPECIAL</t>
  </si>
  <si>
    <t>Special Glass Double Strut Disposable</t>
  </si>
  <si>
    <t>GDS12121</t>
  </si>
  <si>
    <t>12x12x1 Glass Double Strut Disposable</t>
  </si>
  <si>
    <t>GDS12301</t>
  </si>
  <si>
    <t>12x30x1 Glass Double Strut Disposable</t>
  </si>
  <si>
    <t>GDS14241</t>
  </si>
  <si>
    <t>14x24x1 Glass Double Strut Disposable</t>
  </si>
  <si>
    <t>GDS16161</t>
  </si>
  <si>
    <t>16x16x1 Glass Double Strut Disposable</t>
  </si>
  <si>
    <t>GDS20251</t>
  </si>
  <si>
    <t>20x25x1 Glass Double Strut Disposable</t>
  </si>
  <si>
    <t>GDS24242</t>
  </si>
  <si>
    <t>24x24x2 Glass Double Strut Disposable</t>
  </si>
  <si>
    <t>GORE BAGS</t>
  </si>
  <si>
    <t>GTA-SPECIAL</t>
  </si>
  <si>
    <t>GTS F9</t>
  </si>
  <si>
    <t>Glasdek</t>
  </si>
  <si>
    <t>GX30 72"x12"x12"</t>
  </si>
  <si>
    <t>H9046-Hydraulic Element</t>
  </si>
  <si>
    <t>Baldwin H9046- Filter, HYD (OEMPC)</t>
  </si>
  <si>
    <t>HEPA</t>
  </si>
  <si>
    <t>P/N 41706HC..24x24x11.5 HC 99.99%</t>
  </si>
  <si>
    <t>HEPA-43257</t>
  </si>
  <si>
    <t>PART# 43257   19�" X 43�" X 2.88"..MPOEM / SCREEN DOWNSTREAM..CP-32 ALUMINUM FRAME..GEL DOWNSTREAM..519 CFM @ &lt;0.52 / 99.99%..CENTER DIVIDER w/TEST PORT</t>
  </si>
  <si>
    <t>HFX-592/592/292-13GD</t>
  </si>
  <si>
    <t>23-3/8"x23-3/8"x11�" (99.99%) High Volume HEPA     592x592x292mm .. Glass Mini Pleated Media..Galv. Frame..</t>
  </si>
  <si>
    <t>HIAS-Aluminum</t>
  </si>
  <si>
    <t>Aluminum Screen Air Filter</t>
  </si>
  <si>
    <t>HP311-12-GE</t>
  </si>
  <si>
    <t>HP311-12-GE Cartridge</t>
  </si>
  <si>
    <t>HP4B-530101077</t>
  </si>
  <si>
    <t>HP4B PORTABLE FILTER..(HILCO DWG #5301-01-077-C)..- 4GPM Process Flow...- Portable Design...- Viton O-Rings..- 1/3 HP Motor/Pump Set...- Pressure Gauge..- Vent Valve...- 3000SUS Max...- HILCO Moisture/Water Adsorbing Cartridge-See pricing.</t>
  </si>
  <si>
    <t>HT-242412-GALWT</t>
  </si>
  <si>
    <t>HT Filter Box Style Galvanized Frame 24x24x12(610x610x292)  Glass fiber media,with galvanized protection nets on both sides, with glass fiber gasket+metal support on CAS; 4250m3/h, Temp &lt;=350�C</t>
  </si>
  <si>
    <t>HT-24242-ALUWT</t>
  </si>
  <si>
    <t>HT Filter Aluminum Frame 24x24x2 (610x610x55mm) Glass fiber media, glass fiber Separator, with protection nets on both sides,with glass fiber gasket on Dirty air side</t>
  </si>
  <si>
    <t>HVP-SPECIAL</t>
  </si>
  <si>
    <t>Special High Capacity Pleat</t>
  </si>
  <si>
    <t>AFC</t>
  </si>
  <si>
    <t>10x10x1 MERV10 High Capacity Pleat</t>
  </si>
  <si>
    <t>HVP10121</t>
  </si>
  <si>
    <t>10x12x1 MERV10 High Capacity Pleat</t>
  </si>
  <si>
    <t>HVP10162</t>
  </si>
  <si>
    <t>10x16x2 MERV10 High Capacity Pleat</t>
  </si>
  <si>
    <t>HVP10181SP</t>
  </si>
  <si>
    <t>10x18x1 MERV10 High Capacity Pleat</t>
  </si>
  <si>
    <t>10x20x1 MERV10 High Capacity Pleat</t>
  </si>
  <si>
    <t>10x20x2 MERV10 High Capacity Pleat</t>
  </si>
  <si>
    <t>10x20x2 High Capacity Pleat w/Heavy Expanded Metal</t>
  </si>
  <si>
    <t>HVP10221XM</t>
  </si>
  <si>
    <t>10x22x1 High Capacity Pleat w/Heavy Expanded Metal</t>
  </si>
  <si>
    <t>HVP10221XMSP</t>
  </si>
  <si>
    <t>10x22x1 SPECIAL High Capacity Pleat w/Heavy Expanded Metal</t>
  </si>
  <si>
    <t>10x24x1 MERV10 High Capacity Pleat</t>
  </si>
  <si>
    <t>HVP10252</t>
  </si>
  <si>
    <t>10x25x2 MERV10 High Capacity Pleat</t>
  </si>
  <si>
    <t>HVP10252XM</t>
  </si>
  <si>
    <t>10x25x2 High Capacity Pleat w/Heavy Expanded Metal</t>
  </si>
  <si>
    <t>10x30x1 MERV10 High Capacity Pleat</t>
  </si>
  <si>
    <t>HVP1111SPC</t>
  </si>
  <si>
    <t>11x11x1 Special MERV10 Standard Capacity Pleat</t>
  </si>
  <si>
    <t>HVP11202XMSP</t>
  </si>
  <si>
    <t>11x20x2 SPECIAL SPECIAL High Capacity Pleat w/Heavy Expanded Metal</t>
  </si>
  <si>
    <t>HVP11262SP</t>
  </si>
  <si>
    <t>11x26x2 MERV10 Standard Capacity Pleat</t>
  </si>
  <si>
    <t>HVP11351SPC</t>
  </si>
  <si>
    <t>11x35x1 MERV10 Standard Capacity Pleat</t>
  </si>
  <si>
    <t>HVP11381SPC</t>
  </si>
  <si>
    <t>11.5 x 38.5 x 1 MERV10 Standard Capacity Pleat</t>
  </si>
  <si>
    <t>HVP11401XM-SP</t>
  </si>
  <si>
    <t>11x40x1 SPECIAL High Capacity Pleat w/Heavy Expanded Metal</t>
  </si>
  <si>
    <t>HVP12.522.51SPC</t>
  </si>
  <si>
    <t>12.5x22.5x1 Special MERV10 Standard Capacity Pleat</t>
  </si>
  <si>
    <t>12x12x1 MERV10 High Capacity Pleat</t>
  </si>
  <si>
    <t>12x12x2 MERV10 High Capacity Pleat</t>
  </si>
  <si>
    <t>12x12x2 High Capacity Pleat w/Heavy Expanded Metal</t>
  </si>
  <si>
    <t>HVP12124</t>
  </si>
  <si>
    <t>12x12x4 MERV10 High Capacity Pleat</t>
  </si>
  <si>
    <t>HVP12124XMSP</t>
  </si>
  <si>
    <t>12x12x4 Special High Capacity Pleat w/Heavy Expanded Metal</t>
  </si>
  <si>
    <t>12x20x1 MERV10 High Capacity Pleat</t>
  </si>
  <si>
    <t>12x20x2 High Capacity Pleat (MERV 10)</t>
  </si>
  <si>
    <t>12x20x2 High Capacity Pleat w/Heavy Expanded Metal</t>
  </si>
  <si>
    <t>HVP12204SP</t>
  </si>
  <si>
    <t>12x20x4 High Capacity Pleat (MERV 10)</t>
  </si>
  <si>
    <t>HVP12211SPC</t>
  </si>
  <si>
    <t>12x21x1 Special MERV10 Standard Capacity Pleat</t>
  </si>
  <si>
    <t>12x24x1 MERV10 High Capacity Pleat</t>
  </si>
  <si>
    <t>12x24x1 High Capacity Pleat w/Heavy Expanded Metal</t>
  </si>
  <si>
    <t>12x24x2 MERV10 High Capacity Pleat</t>
  </si>
  <si>
    <t>12x24x2  High Capacity Pleat w/Heavy Expanded Metal</t>
  </si>
  <si>
    <t>12x24x4 MERV10 High Capacity Pleat</t>
  </si>
  <si>
    <t>12x24x4 High Capacity Pleat w/Heavy Expanded Metal</t>
  </si>
  <si>
    <t>12x24x6 MERV10 High Capacity Pleat</t>
  </si>
  <si>
    <t>12x25x1 MERV10 High Capacity Pleat</t>
  </si>
  <si>
    <t>HVP12252SPC</t>
  </si>
  <si>
    <t>12x25x2 MERV10 High Capacity Pleat</t>
  </si>
  <si>
    <t>12x30x1 MERV10 High Capacity Pleat</t>
  </si>
  <si>
    <t>HVP12302</t>
  </si>
  <si>
    <t>12x30x2 Special MERV10 High Capacity Pleat</t>
  </si>
  <si>
    <t>HVP12311XM-SP</t>
  </si>
  <si>
    <t>12x31x1 Special High Capacity Pleat w/Heavy Expanded Metal</t>
  </si>
  <si>
    <t>HVP12321</t>
  </si>
  <si>
    <t>12x32x1 High Capacity Pleat</t>
  </si>
  <si>
    <t>HVP12321XM-SP</t>
  </si>
  <si>
    <t>12x32x1 Special High Capacity Pleat w/Heavy Expanded Metal</t>
  </si>
  <si>
    <t>HVP12341XM-SP</t>
  </si>
  <si>
    <t>12x34x1 Special High Capacity Pleat w/Heavy Expanded Metal</t>
  </si>
  <si>
    <t>HVP12401SPC</t>
  </si>
  <si>
    <t>12x40x1 Special MERV10 High Capacity Pleat</t>
  </si>
  <si>
    <t>HVP12441SPC</t>
  </si>
  <si>
    <t>12x44x1 Special MERV10 High Capacity Pleat</t>
  </si>
  <si>
    <t>HVP13.5421SPC</t>
  </si>
  <si>
    <t>13.5x42x1 Special MERV10 Standard Capacity Pleat</t>
  </si>
  <si>
    <t>HVP13221SPC</t>
  </si>
  <si>
    <t>13x22x1 Special MERV10 Standard Capacity Pleat</t>
  </si>
  <si>
    <t>HVP13421SP</t>
  </si>
  <si>
    <t>13x42x1 Special MERV10 Standard Capacity Pleat</t>
  </si>
  <si>
    <t>HVP141/2161/21SP</t>
  </si>
  <si>
    <t>14 1/2x16 1/2x1 Special MERV10 Standard Capacity Pleat</t>
  </si>
  <si>
    <t>14x14x1 MERV10 High Capacity Pleat</t>
  </si>
  <si>
    <t>HVP14161SPC</t>
  </si>
  <si>
    <t>14x16x1 Special MERV10 Standard Capacity Pleat</t>
  </si>
  <si>
    <t>14x20x1 MERV10 High Capacity Pleat</t>
  </si>
  <si>
    <t>14x20x2 MERV10 High Capacity Pleat</t>
  </si>
  <si>
    <t>14x24x1 MERV10 High Capacity Pleat</t>
  </si>
  <si>
    <t>14x25x1 MERV10 High Capacity Pleat</t>
  </si>
  <si>
    <t>14x25x2 MERV10 High Capacity Pleat</t>
  </si>
  <si>
    <t>14x30x1 MERV10 High Capacity Pleat</t>
  </si>
  <si>
    <t>HVP14302XM</t>
  </si>
  <si>
    <t>14x30x2 High Capacity Pleat w/Heavy Expanded Metal</t>
  </si>
  <si>
    <t>HVP14302XM-SP</t>
  </si>
  <si>
    <t>14x30x2 Special High Capacity Pleat w/Heavy Expanded Metal</t>
  </si>
  <si>
    <t>HVP14351SP</t>
  </si>
  <si>
    <t>14x35x1 MERV10 High Capacity Pleat</t>
  </si>
  <si>
    <t>HVP14361SPC</t>
  </si>
  <si>
    <t>14x36x1 Special MERV10 Standard Capacity Pleat</t>
  </si>
  <si>
    <t>HVP15.7535.752SPE</t>
  </si>
  <si>
    <t>15 3/4x 35 3/4x 2 SPECIAL MERV10 High Capacity Pleat</t>
  </si>
  <si>
    <t>HVP15152SP</t>
  </si>
  <si>
    <t>15x15x2 MERV10 High Capacity Pleat</t>
  </si>
  <si>
    <t>15x20x1 MERV10 High Capacity Pleat</t>
  </si>
  <si>
    <t>15x20x2 MERV10 High Capacity Pleat</t>
  </si>
  <si>
    <t>HVP15241XM</t>
  </si>
  <si>
    <t>15x24x1  High Capacity Pleat w/Heavy Expanded Metal</t>
  </si>
  <si>
    <t>HVP15251SP</t>
  </si>
  <si>
    <t>15x25x1 MERV10 High Capacity Pleat</t>
  </si>
  <si>
    <t>HVP15251XM</t>
  </si>
  <si>
    <t>15x25x1  High Capacity Pleat w/Heavy Expanded Metal</t>
  </si>
  <si>
    <t>HVP15271SP</t>
  </si>
  <si>
    <t>15x27x1 MERV10 Special High Capacity Pleat</t>
  </si>
  <si>
    <t>HVP15302SP</t>
  </si>
  <si>
    <t>15x30x2 MERV10 Special High Capacity Pleat</t>
  </si>
  <si>
    <t>HVP15311</t>
  </si>
  <si>
    <t>15x31x1 MERV10 High Capacity Pleat</t>
  </si>
  <si>
    <t>HVP16121SPC</t>
  </si>
  <si>
    <t>16x12x1 Special MERV10 Standard Capacity Pleat</t>
  </si>
  <si>
    <t>HVP16151SP</t>
  </si>
  <si>
    <t>16x15x1 MERV10 Special High Capacity Pleat</t>
  </si>
  <si>
    <t>HVP16152SP</t>
  </si>
  <si>
    <t>16x15x2 MERV10 Special High Capacity Pleat</t>
  </si>
  <si>
    <t>16x16x1 MERV10 High Capacity Pleat</t>
  </si>
  <si>
    <t>16x16x1  High Capacity Pleat w/Heavy Expanded Metal</t>
  </si>
  <si>
    <t>16x16x2 MERV10 High Capacity Pleat</t>
  </si>
  <si>
    <t>16x16x2 High Capacity Pleat w/Heavy Expanded Metal</t>
  </si>
  <si>
    <t>HVP16181</t>
  </si>
  <si>
    <t>16x18x1  High Capacity Pleat</t>
  </si>
  <si>
    <t>16x20x1 MERV10 High Capacity Pleat</t>
  </si>
  <si>
    <t>16x20x2 MERV10 High Capacity Pleat</t>
  </si>
  <si>
    <t>16x20x2 High Capacity Pleat w/Heavy Expanded Metal</t>
  </si>
  <si>
    <t>16x20x4 MERV10 High Capacity Pleat</t>
  </si>
  <si>
    <t>16x20x4 High Capacity Pleat w/Heavy Expanded Metal</t>
  </si>
  <si>
    <t>HVP16221SP</t>
  </si>
  <si>
    <t>16x22x1 MERV10 High Capacity Pleat</t>
  </si>
  <si>
    <t>16x24x1 MERV10 High Capacity Pleat</t>
  </si>
  <si>
    <t>16x24x1 High Capacity Pleat w/Heavy Expanded Metal</t>
  </si>
  <si>
    <t>16x24x2 MERV10 High Capacity Pleat</t>
  </si>
  <si>
    <t>16x24x2  High Capacity Pleat w/Heavy Expanded Metal</t>
  </si>
  <si>
    <t>HVP16244SP</t>
  </si>
  <si>
    <t>16x24x4 MERV10 High Capacity Pleat</t>
  </si>
  <si>
    <t>16x25x1 MERV10 High Capacity Pleat</t>
  </si>
  <si>
    <t>16x25x2 MERV10 High Capacity Pleat</t>
  </si>
  <si>
    <t>16x25x2  High Capacity Pleat w/Heavy Expanded Metal</t>
  </si>
  <si>
    <t>16x25x4 MERV10 High Capacity Pleat</t>
  </si>
  <si>
    <t>16x25x4  High Capacity Pleat w/Heavy Expanded Metal</t>
  </si>
  <si>
    <t>16x30x1 MERV10 High Capacity Pleat</t>
  </si>
  <si>
    <t>HVP16302</t>
  </si>
  <si>
    <t>16x30x2 MERV10 High Capacity Pleat</t>
  </si>
  <si>
    <t>HVP16304</t>
  </si>
  <si>
    <t>16x30x4 MERV10 High Capacity Pleat</t>
  </si>
  <si>
    <t>HVP16311SP</t>
  </si>
  <si>
    <t>16x31x1 MERV10 Special High Capacity Pleat</t>
  </si>
  <si>
    <t>HVP16321SP</t>
  </si>
  <si>
    <t>16x32x1 Special MERV10 High Capacity Pleat</t>
  </si>
  <si>
    <t>HVP16322SP</t>
  </si>
  <si>
    <t>16x32x2 Special MERV10 High Capacity Pleat</t>
  </si>
  <si>
    <t>HVP16331SP</t>
  </si>
  <si>
    <t>16x33x1 MERV10 High Capacity Pleat</t>
  </si>
  <si>
    <t>HVP16351</t>
  </si>
  <si>
    <t>16x35x1 MERV10 High Capacity Pleat</t>
  </si>
  <si>
    <t>HVP16401XMSP</t>
  </si>
  <si>
    <t>16x40x1 SPECIAL High Capacity Pleat w/Heavy Expanded Metal</t>
  </si>
  <si>
    <t>HVP17.5241SPC</t>
  </si>
  <si>
    <t>17.5 x 24 x 1 Special MERV10 Standard Capacity Pleat</t>
  </si>
  <si>
    <t>HVP17.5322SPC</t>
  </si>
  <si>
    <t>17.5 x 32 x 2 Special MERV10 Standard Capacity Pleat</t>
  </si>
  <si>
    <t>HVP17171SPC</t>
  </si>
  <si>
    <t>17x17x1 Special MERV10 Standard Capacity Pleat</t>
  </si>
  <si>
    <t>HVP17282XM</t>
  </si>
  <si>
    <t>17x28x2 Special High Capacity Pleat w/Heavy Expanded Metal</t>
  </si>
  <si>
    <t>HVP17322SP</t>
  </si>
  <si>
    <t>17x32x2 MERV10 Standard Capacity Pleat</t>
  </si>
  <si>
    <t>HVP17351</t>
  </si>
  <si>
    <t>17x35x1 MERV10 High Capacity Pleat</t>
  </si>
  <si>
    <t>HVP17351SPC</t>
  </si>
  <si>
    <t>17x35x1 MERV10 Standard Capacity Pleat</t>
  </si>
  <si>
    <t>HVP1818.52SPC</t>
  </si>
  <si>
    <t>18x18.5x2 Special MERV10 Standard Capacity Pleat</t>
  </si>
  <si>
    <t>18x18x1 MERV10 High Capacity Pleat</t>
  </si>
  <si>
    <t>18x18x2 MERV10 High Capacity Pleat</t>
  </si>
  <si>
    <t>HVP18184SP</t>
  </si>
  <si>
    <t>18x18x4 Special MERV10 High Capacity Pleat</t>
  </si>
  <si>
    <t>18x20x1 MERV10 High Capacity Pleat</t>
  </si>
  <si>
    <t>18x20x2 MERV10 High Capacity Pleat</t>
  </si>
  <si>
    <t>18x20x2 High Capacity Pleat w/Heavy Expanded Metal</t>
  </si>
  <si>
    <t>HVP18204SP</t>
  </si>
  <si>
    <t>18x20x4 MERV10 High Capacity Pleat</t>
  </si>
  <si>
    <t>HVP18211XM-SP</t>
  </si>
  <si>
    <t>18x21x1 SPECIAL High Capacity Pleat w/Heavy Expanded Metal</t>
  </si>
  <si>
    <t>HVP18221</t>
  </si>
  <si>
    <t>18x22x1 Special MERV 10 High Capacity Pleat</t>
  </si>
  <si>
    <t>HVP18222SP</t>
  </si>
  <si>
    <t>18x22x2 MERV10 High Capacity Pleat</t>
  </si>
  <si>
    <t>18x24x1 MERV10 High Capacity Pleat</t>
  </si>
  <si>
    <t>18x24x2 MERV10 High Capacity Pleat</t>
  </si>
  <si>
    <t>18x24x2 High Capacity Pleat w/Heavy Expanded Metal</t>
  </si>
  <si>
    <t>18x24x4 MERV10 High Capacity Pleat</t>
  </si>
  <si>
    <t>18x25x1 MERV10 High Capacity Pleat</t>
  </si>
  <si>
    <t>18x25x2 MERV10 High Capacity Pleat</t>
  </si>
  <si>
    <t>18x25x2 High Capacity Pleat W/Heavy Expanded Metal</t>
  </si>
  <si>
    <t>HVP18282XM-SP</t>
  </si>
  <si>
    <t>18x28x2 SPECIAL High Capacity Pleat w/Heavy Expanded Metal</t>
  </si>
  <si>
    <t>HVP18291</t>
  </si>
  <si>
    <t>18x29x1 MERV10 High Capacity Pleat</t>
  </si>
  <si>
    <t>HVP18291XM</t>
  </si>
  <si>
    <t>18x29x1 High Capacity Pleat w/Heavy Expanded Metal</t>
  </si>
  <si>
    <t>18x30x1 MERV10 High Capacity Pleat</t>
  </si>
  <si>
    <t>HVP18302</t>
  </si>
  <si>
    <t>18x30x2 MERV10 High Capacity Pleat</t>
  </si>
  <si>
    <t>HVP18302XM- SP</t>
  </si>
  <si>
    <t>18x30x2 Special High Capacity Pleat w/Heavy Expanded Metal</t>
  </si>
  <si>
    <t>HVP19.535.51SPC</t>
  </si>
  <si>
    <t>19.5x35.5x1 Special MERV10 Standard Capacity Pleat</t>
  </si>
  <si>
    <t>HVP1919.52SPC</t>
  </si>
  <si>
    <t>19x19.5x2 Special MERV10 Standard Capacity Pleat</t>
  </si>
  <si>
    <t>HVP19192SP</t>
  </si>
  <si>
    <t>19x19x2 Special MERV10 Standard Capacity Pleat</t>
  </si>
  <si>
    <t>HVP19201XM</t>
  </si>
  <si>
    <t>19x20x1  High Capacity Pleat w/Heavy Expanded Metal</t>
  </si>
  <si>
    <t>HVP19201XM-SP</t>
  </si>
  <si>
    <t>19x20x1 Special High Capacity Pleat w/Heavy Expanded Metal</t>
  </si>
  <si>
    <t>20x20x1 MERV10 High Capacity Pleat</t>
  </si>
  <si>
    <t>20x20x1  High Capacity Pleat w/Heavy Expanded Metal</t>
  </si>
  <si>
    <t>20x20x2 MERV10 High Capacity Pleat</t>
  </si>
  <si>
    <t>20x20x2  High Capacity Pleat w/Heavy Expanded Metal</t>
  </si>
  <si>
    <t>20x20x4 MERV10 High Capacity Pleat</t>
  </si>
  <si>
    <t>20x20x4 High Capacity Pleat w/Heavy Expanded Metal</t>
  </si>
  <si>
    <t>20x20x6  High Capacity Pleat</t>
  </si>
  <si>
    <t>20x22x1 MERV10 High Capacity Pleat</t>
  </si>
  <si>
    <t>20x24x1 MERV10 High Capacity Pleat</t>
  </si>
  <si>
    <t>20x24x2 MERV10 High Capacity Pleat</t>
  </si>
  <si>
    <t>HVP20242SP</t>
  </si>
  <si>
    <t>20x24x2 MERV10 High Capacity Pleat; EXACT</t>
  </si>
  <si>
    <t>20x24x2  High Capacity Pleat w/Heavy Expanded Metal</t>
  </si>
  <si>
    <t>20x24x4 MERV10 High Capacity Pleat</t>
  </si>
  <si>
    <t>20x24x4 High Capacity Pleat w/Heavy Expanded Metal</t>
  </si>
  <si>
    <t>20x24x6 MERV10 High Capacity Pleat</t>
  </si>
  <si>
    <t>20x25x1 MERV10 High Capacity Pleat</t>
  </si>
  <si>
    <t>20x25x1 High Capacity Pleat w/Heavy Expanded Metal</t>
  </si>
  <si>
    <t>20x25x2 MERV10 High Capacity Pleat</t>
  </si>
  <si>
    <t>20x25x2  High Capacity Pleat w/Heavy Expanded Metal</t>
  </si>
  <si>
    <t>20x25x4 MERV10 High Capacity Pleat</t>
  </si>
  <si>
    <t>20x25x4 High Capacity Pleat w/Heavy Expanded Metal</t>
  </si>
  <si>
    <t>20x30x1 MERV10 High Capacity Pleat</t>
  </si>
  <si>
    <t>20x30x2 MERV10 High Capacity Pleat</t>
  </si>
  <si>
    <t>20x30x2  High Capacity Pleat w/Heavy Expanded Metal</t>
  </si>
  <si>
    <t>HVP20321XM</t>
  </si>
  <si>
    <t>20x32x1 Special  High Capacity Pleat w/Heavy Expanded Metal</t>
  </si>
  <si>
    <t>HVP20321XM-SP</t>
  </si>
  <si>
    <t>20x32x1 Special High Capacity Pleat w/Heavy Expanded Metal</t>
  </si>
  <si>
    <t>HVP20322SP</t>
  </si>
  <si>
    <t>20 x 32 x 2 MERV10 High Capacity Pleat</t>
  </si>
  <si>
    <t>HVP20342SP</t>
  </si>
  <si>
    <t>20 x 34 1/2 x 2 MERV10 High Capacity Pleat</t>
  </si>
  <si>
    <t>HVP21211</t>
  </si>
  <si>
    <t>21x21x1 MERV10 High Capacity Pleat</t>
  </si>
  <si>
    <t>HVP21282</t>
  </si>
  <si>
    <t>21x28x2 MERV10 High Capacity Pleat</t>
  </si>
  <si>
    <t>22x22x1 MERV10 High Capacity Pleat</t>
  </si>
  <si>
    <t>HVP22262SP</t>
  </si>
  <si>
    <t>22x26x2 MERV10 High Capacity Pleat</t>
  </si>
  <si>
    <t>HVP23234SP</t>
  </si>
  <si>
    <t>23x23x4 SPECIAL MERV10 High Capacity Pleat</t>
  </si>
  <si>
    <t>24x24x1 MERV10 High Capacity Pleat</t>
  </si>
  <si>
    <t>24x24x2 MERV10 High Capacity Pleat</t>
  </si>
  <si>
    <t>24x24x2  High Capacity Pleat w/Heavy Expanded Metal</t>
  </si>
  <si>
    <t>HVP24243HGTXM</t>
  </si>
  <si>
    <t>24.0 X 24.0 X 3.5 Special Gas Turbine style..High Capacity HVP Pleat, Made Using Extra Heavy Duty Screen</t>
  </si>
  <si>
    <t>HVP24243HGTXM:HVP24244</t>
  </si>
  <si>
    <t>24x24x4 MERV10 High Capacity Pleat</t>
  </si>
  <si>
    <t>HVP24243HGTXM:HVP24244XM</t>
  </si>
  <si>
    <t>24x24x4 High Capacity Pleat w/Heavy Expanded Metal</t>
  </si>
  <si>
    <t>HVP24243HGTXM:MO83.5HC2424</t>
  </si>
  <si>
    <t>23.3 x 23.3 x 3.5 High Capacity Heavy Gauge Wire filter MERV 8 W/ 2 Sets of Fingers</t>
  </si>
  <si>
    <t>24x24x6 MERV10 High Capacity Pleat</t>
  </si>
  <si>
    <t>24x30x1 MERV10 High Capacity Pleat</t>
  </si>
  <si>
    <t>HVP24302XM-SP</t>
  </si>
  <si>
    <t>24x30x2  High Capacity Pleat w/Heavy Expanded Metal</t>
  </si>
  <si>
    <t>HVP24311XM-SP</t>
  </si>
  <si>
    <t>24x31x1  High Capacity Pleat w/Heavy Expanded Metal</t>
  </si>
  <si>
    <t>25x25x1 MERV10 High Capacity Pleat</t>
  </si>
  <si>
    <t>25x25x2 MERV10 High Capacity Pleat</t>
  </si>
  <si>
    <t>25x25x2 High Capacity Pleat w/Heavy Expanded Metal</t>
  </si>
  <si>
    <t>HVP25301SP</t>
  </si>
  <si>
    <t>25x30x1 MERV10 Special High Capacity Pleat</t>
  </si>
  <si>
    <t>HVP26102SP</t>
  </si>
  <si>
    <t>26x10x2 MERV10 High Capacity Pleat</t>
  </si>
  <si>
    <t>HVP28294</t>
  </si>
  <si>
    <t>28x29x4 MERV10 High Capacity Pleat</t>
  </si>
  <si>
    <t>HVP28294SP</t>
  </si>
  <si>
    <t>28x29 1/2x4 MERV10 High Capacity Pleat</t>
  </si>
  <si>
    <t>HVP28311SPC</t>
  </si>
  <si>
    <t>28x31x1 Special MERV10 Standard Capacity Pleat</t>
  </si>
  <si>
    <t>HVP5.511.52SPC</t>
  </si>
  <si>
    <t>5.5x11.5x2 Special MERV10 Standard Capacity Pleat</t>
  </si>
  <si>
    <t>HVP5112SP</t>
  </si>
  <si>
    <t>5x11x2 Special MERV10 Standard Capacity Pleat</t>
  </si>
  <si>
    <t>HVP8221SPC</t>
  </si>
  <si>
    <t>8x22x1 Special MERV10 Standard Capacity Pleat</t>
  </si>
  <si>
    <t>HVP8221XM</t>
  </si>
  <si>
    <t>8x22x1 Special  High Capacity Pleat w/Heavy Expanded Metal</t>
  </si>
  <si>
    <t>HVP8221XM-SP</t>
  </si>
  <si>
    <t>8x22x1 Special High Capacity Pleat w/Heavy Expanded Metal</t>
  </si>
  <si>
    <t>HVP8241SPC</t>
  </si>
  <si>
    <t>8.875 x 24.125 x 1  MERV10 High Capacity Pleat EXACT</t>
  </si>
  <si>
    <t>HVP9251SPC</t>
  </si>
  <si>
    <t>9x25x1 MERV10 Standard Capacity Pleat</t>
  </si>
  <si>
    <t>HVP9621SP</t>
  </si>
  <si>
    <t>9x62x1 MERV10 Standard Capacity Pleat</t>
  </si>
  <si>
    <t>HVP991SPC</t>
  </si>
  <si>
    <t>HVPSP12242E</t>
  </si>
  <si>
    <t>12 x 24 x 2 MERV10 High Capacity Pleat  Exact Size</t>
  </si>
  <si>
    <t>HVPSP15271</t>
  </si>
  <si>
    <t>15 x 27 x 1 Special HVP Pleat</t>
  </si>
  <si>
    <t>HVPSP18202E</t>
  </si>
  <si>
    <t>18 x 20 x 2 MERV10 High Capacity Pleat Exact Size</t>
  </si>
  <si>
    <t>HVPSP2330H4</t>
  </si>
  <si>
    <t>23x30.5x4 Special MERV10 High Capacity Pleat</t>
  </si>
  <si>
    <t>HVPSP727M2E</t>
  </si>
  <si>
    <t>HVPSP727M2E/03 ..Special Pleat CTO Model..7.000 x 27.750 x 2.000 Special HV Pleat..Exact Size Using .5-HVP20302-PRD..Special/Special</t>
  </si>
  <si>
    <t>HVPSP727M2E-</t>
  </si>
  <si>
    <t>HVPXM-SPECIAL</t>
  </si>
  <si>
    <t>HVPXM SPECIAL</t>
  </si>
  <si>
    <t>HYDAC</t>
  </si>
  <si>
    <t>HZ9021K12RW1</t>
  </si>
  <si>
    <t>ASSEMBLY, HOUSING, FOR FILTER ELEMENT KIND.</t>
  </si>
  <si>
    <t>J10</t>
  </si>
  <si>
    <t>J10 Schroeder Filter Element..</t>
  </si>
  <si>
    <t>JHF 205-PAB-PP</t>
  </si>
  <si>
    <t>JHF 205-PAB-PP..Jonell LiquiPleat HF Series Filter Cartridge, 5 Micron at 99.98%..efficiency, Polypropylene Media and outer cage, SOE, 6.3" OD x 20.5"..Length..</t>
  </si>
  <si>
    <t>JHF 405-PAE-PP</t>
  </si>
  <si>
    <t>LiquiPleat H Series Filter Cartridge, Pleated Polypropylene Media, 5..Micron @ 99.98% Efficiency, 6" OD x 40" L..***Equivalent to Pall HFU640UY0609***</t>
  </si>
  <si>
    <t>JPMC 2509-03AB-D-S</t>
  </si>
  <si>
    <t>Jonell LiquiPleat C Series, 2.5" OD x 9.75" Length, Cellulose Media,..Tinned Steel Core, Supports, and End Caps</t>
  </si>
  <si>
    <t>JPMC 2509-30AB-D-SS</t>
  </si>
  <si>
    <t>JPMC 2509-30AB-D-SS ..Direct Equivalent to: MCS1001EEH13 Pall Epocel Series Industrial Filter Element, EE Grade..Jonell LiquiPleat C Series Filter Cartridge 30 Micron..Rating @ 99% Efficiency, DOE, Cellulose Media w/..Stainless Steel Supports and Core</t>
  </si>
  <si>
    <t>JPME 618-25</t>
  </si>
  <si>
    <t>JPME 618-25 ..Jonell LiquiPleat E Series Filter Cartridge, 25 Micron @ 98% Efficiency,..DOE Configuration, 6"OD x 18" Length, includes belly band (3� section of..nylon netting to contain the pleats)</t>
  </si>
  <si>
    <t>JPMG 336-R</t>
  </si>
  <si>
    <t>Jonell Pleated Microglass Reverse Flow Filter, 36" Length</t>
  </si>
  <si>
    <t>JPMG-336</t>
  </si>
  <si>
    <t>Jonell MicroGlass Coalescing Filter..36" Long..0.3 Micron @ 99% Efficiency</t>
  </si>
  <si>
    <t>JRF 1122-C</t>
  </si>
  <si>
    <t>JRF 1122-C Jonell CarboPur R Series Filter, 22" Length</t>
  </si>
  <si>
    <t>M-MV-E10-03</t>
  </si>
  <si>
    <t>MV-H10-03..Size 24x24x12, E10..Mikropor MV Mini Pleat Filters Gasketed Down..Stream</t>
  </si>
  <si>
    <t>M-MV-F9-01-D</t>
  </si>
  <si>
    <t>MV-F9-01-D..Size 12x24x12, MERV 15..Mikropor MV Mini Pleat Filters Gasketed Down..Stream</t>
  </si>
  <si>
    <t>M-MV-F9-03-D</t>
  </si>
  <si>
    <t>MV-F9-03-D..Size 24x24x12, MERV 15..Mikropor MV Mini Pleat with Downstream Gasket</t>
  </si>
  <si>
    <t>M-MV6-F8-03</t>
  </si>
  <si>
    <t>M-MV6-F8-03..Size 24x24x12, MERV 15..Mikropor MV 6" Vee Banks with Downstream Gasket</t>
  </si>
  <si>
    <t>M-MVH-Gel-122412</t>
  </si>
  <si>
    <t>12x24x11.5 Galv 99.999% w/Gel Seal</t>
  </si>
  <si>
    <t>M-MVH-Gel-242412</t>
  </si>
  <si>
    <t>MVH-610/610/292-5/6-13AJNG-32-NT-BIBO..HEPA Gel Seal Extractor Clips..Size 24x24x11.5, 99.99% @ 0.3 micron..Galvanized Frame, 1.0" w.g. @ 2,400 CFM</t>
  </si>
  <si>
    <t>M11-SPECIAL</t>
  </si>
  <si>
    <t>M1112204</t>
  </si>
  <si>
    <t>12x20x4 (MERV 11) High Capacity Pleat</t>
  </si>
  <si>
    <t>12x24x2 (MERV 11) High Capacity Pleat</t>
  </si>
  <si>
    <t>12x24x2 (MERV 11) High Capacity Pleat w/Heavy Expanded Metal</t>
  </si>
  <si>
    <t>12x24x4 (MERV 11) High Capacity Pleat</t>
  </si>
  <si>
    <t>12x24x4 (MERV 11) High Capacity Pleat w/Heavy Expanded Metal</t>
  </si>
  <si>
    <t>14x30x1 (MERV 11) High Capacity Pleat</t>
  </si>
  <si>
    <t>16x20x2 (MERV 11) High Capacity Pleat</t>
  </si>
  <si>
    <t>16x20x2 (MERV 11) High Capacity Pleat w/Heavy Expanded Metal</t>
  </si>
  <si>
    <t>16x20x4 (MERV 11) High Capacity Pleat</t>
  </si>
  <si>
    <t>16x24x2 (MERV 11) High Capacity Pleat</t>
  </si>
  <si>
    <t>M1116244SP</t>
  </si>
  <si>
    <t>16x24x4 (MERV 11) SPECIAL High Capacity Pleat</t>
  </si>
  <si>
    <t>16x25x2 (MERV 11) High Capacity Pleat</t>
  </si>
  <si>
    <t>16x25x2 (MERV 11) High Capacity Pleat w/Heavy Expanded Metal</t>
  </si>
  <si>
    <t>16x25x4 (MERV 11) High Capacity Pleat</t>
  </si>
  <si>
    <t>18x24x4 (MERV 11) High Capacity Pleat</t>
  </si>
  <si>
    <t>20x20x2 (MERV 11) High Capacity Pleat</t>
  </si>
  <si>
    <t>20x20x2 (MERV 11) High Capacity Pleat w/Heavy Expanded Metal</t>
  </si>
  <si>
    <t>20x20x4 (MERV 11) High Capacity Pleat</t>
  </si>
  <si>
    <t>20x24x2 (MERV 11) High Capacity Pleat</t>
  </si>
  <si>
    <t>20x24x2 (MERV 11)  High Capacity Pleat w/Heavy Expanded Metal</t>
  </si>
  <si>
    <t>20x24x4 (MERV 11) High Capacity Pleat</t>
  </si>
  <si>
    <t>20x25x2 (MERV 11) High Capacity Pleat</t>
  </si>
  <si>
    <t>20x25x2 (MERV 11) High Capacity Pleat w/Heavy Expanded Metal</t>
  </si>
  <si>
    <t>20x25x4 (MERV 11) High Capacity Pleat</t>
  </si>
  <si>
    <t>M1124124</t>
  </si>
  <si>
    <t>24x24x2 (MERV 11) High Capacity Pleat</t>
  </si>
  <si>
    <t>24x24x2 (MERV 11) High Capacity Pleat w/Heavy Expanded Metal</t>
  </si>
  <si>
    <t>24x24x4 (MERV 11) High Capacity Pleat</t>
  </si>
  <si>
    <t>24x24x4 (MERV 11) High Capacity Pleat w/Heavy Expanded Metal</t>
  </si>
  <si>
    <t>25x25x2 (MERV 11) High Capacity Pleat</t>
  </si>
  <si>
    <t>M13-SPECIAL</t>
  </si>
  <si>
    <t>SPECIAL MERV 13 Pleated Filter</t>
  </si>
  <si>
    <t>10x10x1 MERV 13 Pleated Filter</t>
  </si>
  <si>
    <t>M1310121SP</t>
  </si>
  <si>
    <t>10x12x1 MERV 13 Pleated Filter</t>
  </si>
  <si>
    <t>M1310151SP</t>
  </si>
  <si>
    <t>10x15x1 Special MERV 13 Pleated Filter</t>
  </si>
  <si>
    <t>M1310182SP</t>
  </si>
  <si>
    <t>10x18x2 MERV 13 Pleated Filter</t>
  </si>
  <si>
    <t>10x20x1 MERV 13 Pleated Filter</t>
  </si>
  <si>
    <t>10x20x2 MERV 13 Pleated Filter</t>
  </si>
  <si>
    <t>10x24x1 MERV 13 Pleated Filter</t>
  </si>
  <si>
    <t>M1310251</t>
  </si>
  <si>
    <t>10x25x1 MERV 13 Pleated Filter</t>
  </si>
  <si>
    <t>M1310252</t>
  </si>
  <si>
    <t>10x25x2 MERV 13 Pleated Filter</t>
  </si>
  <si>
    <t>10x30x1 MERV 13 Pleated Filter</t>
  </si>
  <si>
    <t>M1310331SP</t>
  </si>
  <si>
    <t>10x33x1 Special MERV 13 Pleated Filter</t>
  </si>
  <si>
    <t>12x12x1 MERV 13 Pleated Filter</t>
  </si>
  <si>
    <t>12x12x2 MERV 13 Pleated Filter</t>
  </si>
  <si>
    <t>M1312124</t>
  </si>
  <si>
    <t>12x12x4 MERV 13 Pleated Filter</t>
  </si>
  <si>
    <t>12x20x1 MERV 13 Pleated Filter</t>
  </si>
  <si>
    <t>12x20x2 MERV 13 Pleated Filter</t>
  </si>
  <si>
    <t>12x24x1 MERV 13 Pleated Filter</t>
  </si>
  <si>
    <t>12x24x2 MERV 13 Pleated Filter</t>
  </si>
  <si>
    <t>12x24x4 MERV 13 Pleated Filter</t>
  </si>
  <si>
    <t>12x25x1 MERV 13 Pleated Filter</t>
  </si>
  <si>
    <t>12x30x1 MERV 13 Pleated Filter</t>
  </si>
  <si>
    <t>14x14x1 MERV 13 Pleated Filter</t>
  </si>
  <si>
    <t>M1314142SP</t>
  </si>
  <si>
    <t>Special 14x14x2 MERV 13 Pleated Filter</t>
  </si>
  <si>
    <t>M1314182</t>
  </si>
  <si>
    <t>14x18x2 SPECIAL MERV 13 Pleated Filter</t>
  </si>
  <si>
    <t>M1314191SP</t>
  </si>
  <si>
    <t>14x19x1 Special MERV 13 Pleated Filter</t>
  </si>
  <si>
    <t>14x20x1 MERV 13 Pleated Filter</t>
  </si>
  <si>
    <t>M1314201SP</t>
  </si>
  <si>
    <t>14x20x2 MERV 13 Pleated Filter</t>
  </si>
  <si>
    <t>M1314211SP</t>
  </si>
  <si>
    <t>14x21x1 MERV 13 Pleated Filter</t>
  </si>
  <si>
    <t>14x24x1 MERV 13 Pleated Filter</t>
  </si>
  <si>
    <t>14x25x1 MERV 13 Pleated Filter</t>
  </si>
  <si>
    <t>14x25x2 MERV 13 Pleated Filter</t>
  </si>
  <si>
    <t>M1314261SP</t>
  </si>
  <si>
    <t>14x26x1 MERV 13 Pleated Filter</t>
  </si>
  <si>
    <t>14x30x1 MERV 13 Pleated Filter</t>
  </si>
  <si>
    <t>M1315.5241SP</t>
  </si>
  <si>
    <t>15.5x24x1 Special MERV 13 Pleated Filter</t>
  </si>
  <si>
    <t>M1315.5242SP</t>
  </si>
  <si>
    <t>15.5x24x2 Special MERV 13 Pleated Filter</t>
  </si>
  <si>
    <t>M1315.75231ME</t>
  </si>
  <si>
    <t>FILTER - A/C RETURN AIR 15-3/4 X 23 X 1 MERV 13P/N M1315.75231ME</t>
  </si>
  <si>
    <t>M1315181SP</t>
  </si>
  <si>
    <t>15x18x1 Special MERV 13 Pleated Filter</t>
  </si>
  <si>
    <t>15x20x1 MERV 13 Pleated Filter</t>
  </si>
  <si>
    <t>15x20x2 MERV 13 Pleated Filter</t>
  </si>
  <si>
    <t>M1315241SP</t>
  </si>
  <si>
    <t>15x24x1 Special MERV 13 Pleated Filter</t>
  </si>
  <si>
    <t>M1315251SP</t>
  </si>
  <si>
    <t>15x25x1 MERV 13 Pleated Filter</t>
  </si>
  <si>
    <t>M1315301SP</t>
  </si>
  <si>
    <t>15x30x1 Special MERV 13 Pleated Filter</t>
  </si>
  <si>
    <t>15x30 5/8x1 MERV 13 Pleated Filter</t>
  </si>
  <si>
    <t>M1315311SP</t>
  </si>
  <si>
    <t>15x31x1 Special MERV 13 Pleated Filter</t>
  </si>
  <si>
    <t>16x16x1 MERV 13 Pleated Filter</t>
  </si>
  <si>
    <t>16x16x2 MERV 13 Pleated Filter</t>
  </si>
  <si>
    <t>M1316164SP</t>
  </si>
  <si>
    <t>16x16x4 Special MERV 13 Pleated Filter</t>
  </si>
  <si>
    <t>M1316171SP</t>
  </si>
  <si>
    <t>16x17.5x1 MERV 13 Pleated Filter</t>
  </si>
  <si>
    <t>M1316181SP</t>
  </si>
  <si>
    <t>16x18x1 Special MERV 13 Pleated Filter</t>
  </si>
  <si>
    <t>M1316182SP</t>
  </si>
  <si>
    <t>16x18x2 Special MERV 13 Pleated Filter</t>
  </si>
  <si>
    <t>M1316184SP</t>
  </si>
  <si>
    <t>16x18x4 Special MERV 13 Pleated Filter</t>
  </si>
  <si>
    <t>M1316191SP</t>
  </si>
  <si>
    <t>16x19x1 Special MERV 13 Pleated Filter</t>
  </si>
  <si>
    <t>16x20x1 MERV 13 Pleated Filter</t>
  </si>
  <si>
    <t>16x20x2 MERV 13 Pleated Filter</t>
  </si>
  <si>
    <t>16x20x4 MERV 13 Pleated Filter</t>
  </si>
  <si>
    <t>M1316211SP</t>
  </si>
  <si>
    <t>16x21x1 MERV 13 Pleated Filter</t>
  </si>
  <si>
    <t>M1316222SP</t>
  </si>
  <si>
    <t>16x22x2 MERV 13 Pleated Filter</t>
  </si>
  <si>
    <t>M1316231SP</t>
  </si>
  <si>
    <t>16x23x1 MERV 13 Pleated Filter</t>
  </si>
  <si>
    <t>16x24x1 MERV 13 Pleated Filter</t>
  </si>
  <si>
    <t>16x24x2 MERV 13 Pleated Filter</t>
  </si>
  <si>
    <t>16x25x1 MERV 13 Pleated Filter</t>
  </si>
  <si>
    <t>16x25x2 MERV 13 Pleated Filter</t>
  </si>
  <si>
    <t>16x25x4 MERV 13 Pleated Filter</t>
  </si>
  <si>
    <t>M1316291SP</t>
  </si>
  <si>
    <t>16x29x1 MERV 13 Pleated Filter</t>
  </si>
  <si>
    <t>16x30x1 MERV 13 Pleated Filter</t>
  </si>
  <si>
    <t>M1316302SP</t>
  </si>
  <si>
    <t>16x30x2 Special MERV 13 Pleated Filter</t>
  </si>
  <si>
    <t>M1316321SP</t>
  </si>
  <si>
    <t>16x32x1 Special MERV 13 Pleated Filter</t>
  </si>
  <si>
    <t>M1316322SP</t>
  </si>
  <si>
    <t>16x32x2 Special MERV 13 Pleated Filter</t>
  </si>
  <si>
    <t>M1316451SP</t>
  </si>
  <si>
    <t>16x45x1 MERV 13 Pleated Filter</t>
  </si>
  <si>
    <t>M1317201SP</t>
  </si>
  <si>
    <t>17x20x1 MERV 13 Pleated Filter</t>
  </si>
  <si>
    <t>M1317211SP</t>
  </si>
  <si>
    <t>17x21x1 MERV 13 Pleated Filter</t>
  </si>
  <si>
    <t>M1317221SP</t>
  </si>
  <si>
    <t>17x22x1 Special MERV 13 Pleated Filter</t>
  </si>
  <si>
    <t>M1317241SP</t>
  </si>
  <si>
    <t>17x24x1 MERV 13 Pleated Filter</t>
  </si>
  <si>
    <t>M1317281SP</t>
  </si>
  <si>
    <t>M1318102SP</t>
  </si>
  <si>
    <t>18x10x2 Special MERV 13 Pleated Filter</t>
  </si>
  <si>
    <t>18x18x1 MERV 13 Pleated Filter</t>
  </si>
  <si>
    <t>18x18x2 MERV 13 Pleated Filter</t>
  </si>
  <si>
    <t>18x20x1 MERV 13 Pleated Filter</t>
  </si>
  <si>
    <t>18x20x2 MERV 13 Pleated Filter</t>
  </si>
  <si>
    <t>M1318222SP</t>
  </si>
  <si>
    <t>18x22x2 Special MERV 13 Pleated Filter</t>
  </si>
  <si>
    <t>18x24x1 MERV 13 Pleated Filter</t>
  </si>
  <si>
    <t>18x24x2 MERV 13 Pleated Filter</t>
  </si>
  <si>
    <t>18x24x4 MERV 13 Pleated Filter</t>
  </si>
  <si>
    <t>18x25x1 MERV 13 Pleated Filter</t>
  </si>
  <si>
    <t>18x25x2 MERV 13 Pleated Filter</t>
  </si>
  <si>
    <t>18x30x1 MERV 13 Pleated Filter</t>
  </si>
  <si>
    <t>M1319252SP</t>
  </si>
  <si>
    <t>19x25x2 Special MERV 13 Pleated Filter</t>
  </si>
  <si>
    <t>M1319261SP</t>
  </si>
  <si>
    <t>19x26x1 MERV 13 Pleated Filter</t>
  </si>
  <si>
    <t>M1319471SP</t>
  </si>
  <si>
    <t>19x47x1 MERV 13 Pleated Filter</t>
  </si>
  <si>
    <t>20x20x1 MERV 13 Pleated Filter</t>
  </si>
  <si>
    <t>20x20x2 MERV 13 Pleated Filter</t>
  </si>
  <si>
    <t>20x20x4 MERV 13 Pleated Filter</t>
  </si>
  <si>
    <t>M1320211SP</t>
  </si>
  <si>
    <t>20x21x1 MERV 13 Pleated Filter</t>
  </si>
  <si>
    <t>20x22x1 MERV 13 Pleated Filter</t>
  </si>
  <si>
    <t>20x24x1 MERV 13 Pleated Filter</t>
  </si>
  <si>
    <t>20x24x2 MERV 13 Pleated Filter</t>
  </si>
  <si>
    <t>20x24x4 MERV 13 Pleated Filter</t>
  </si>
  <si>
    <t>20x25x1 MERV 13 Pleated Filter</t>
  </si>
  <si>
    <t>20x25x2 MERV 13 Pleated Filter</t>
  </si>
  <si>
    <t>20x25x4 MERV 13 Pleated Filter</t>
  </si>
  <si>
    <t>M1320272</t>
  </si>
  <si>
    <t>20x27x2 Special MERV 13 Pleated Filter</t>
  </si>
  <si>
    <t>20x30x1 MERV 13 Pleated Filter</t>
  </si>
  <si>
    <t>20x30x2 MERV 13 Pleated Filter</t>
  </si>
  <si>
    <t>M1320371SP</t>
  </si>
  <si>
    <t>20x37x1 MERV 13 Pleated Filter</t>
  </si>
  <si>
    <t>M1320401SP</t>
  </si>
  <si>
    <t>20x40x1 MERV 13 Pleated Filter</t>
  </si>
  <si>
    <t>M1320561SP</t>
  </si>
  <si>
    <t>20x56x1 MERV 13 Pleated Filter</t>
  </si>
  <si>
    <t>M1321211SP</t>
  </si>
  <si>
    <t>21x21x1 MERV 13 Pleated Filter</t>
  </si>
  <si>
    <t>M1321301SP</t>
  </si>
  <si>
    <t>21x30x1 MERV 13 Pleated Filter</t>
  </si>
  <si>
    <t>M1321302SP</t>
  </si>
  <si>
    <t>21x30x2 Special MERV 13 Pleated Filter</t>
  </si>
  <si>
    <t>M1322221SP</t>
  </si>
  <si>
    <t>22x22x1 MERV 13 Pleated Filter</t>
  </si>
  <si>
    <t>M1322241SP</t>
  </si>
  <si>
    <t>22x24x1 MERV 13 Pleated Filter</t>
  </si>
  <si>
    <t>M1323231SP</t>
  </si>
  <si>
    <t>23x23x1 MERV 13 Pleated Filter</t>
  </si>
  <si>
    <t>M1323234SP</t>
  </si>
  <si>
    <t>23x23x4 Special MERV 13 Pleated Filter</t>
  </si>
  <si>
    <t>M1324194SP</t>
  </si>
  <si>
    <t>24 3/8x19 3/8x4  MERV 13 Pleated Filter</t>
  </si>
  <si>
    <t>24x24x1 MERV 13 Pleated Filter</t>
  </si>
  <si>
    <t>24x24x2 MERV 13 Pleated Filter</t>
  </si>
  <si>
    <t>24x24x4 MERV 13 Pleated Filter</t>
  </si>
  <si>
    <t>M1324254</t>
  </si>
  <si>
    <t>24x25x4 MERV 13 Pleated Filter</t>
  </si>
  <si>
    <t>24x30x1 MERV 13 Pleated Filter</t>
  </si>
  <si>
    <t>25x25x1 MERV 13 Pleated Filter</t>
  </si>
  <si>
    <t>25x25x2 MERV 13 Pleated Filter</t>
  </si>
  <si>
    <t>M1325254SP</t>
  </si>
  <si>
    <t>25x25x4 MERV 13 Pleated Filter</t>
  </si>
  <si>
    <t>M1325321SP</t>
  </si>
  <si>
    <t>25x32x1 MERV 13 Pleated Filter</t>
  </si>
  <si>
    <t>M1325322SP</t>
  </si>
  <si>
    <t>25x32x2 MERV 13 Pleated Filter</t>
  </si>
  <si>
    <t>M1325381SP</t>
  </si>
  <si>
    <t>25x38x1 MERV 13 Pleated Filter</t>
  </si>
  <si>
    <t>M1325601SP</t>
  </si>
  <si>
    <t>25x60x1 MERV 13 Pleated Filter</t>
  </si>
  <si>
    <t>M1327281SP</t>
  </si>
  <si>
    <t>27x28x1 MERV 13 Pleated Filter</t>
  </si>
  <si>
    <t>M1328301SP</t>
  </si>
  <si>
    <t>28x30x1 MERV 13 Pleated Filter</t>
  </si>
  <si>
    <t>M1328302SP</t>
  </si>
  <si>
    <t>28x30x2 Special MERV 13 Pleated Filter</t>
  </si>
  <si>
    <t>M1328561SP</t>
  </si>
  <si>
    <t>28x56x1 MERV 13 Pleated Filter</t>
  </si>
  <si>
    <t>M1329291SP</t>
  </si>
  <si>
    <t>29x29x1 MERV 13 Pleated Filter</t>
  </si>
  <si>
    <t>M1330301SP</t>
  </si>
  <si>
    <t>30x30x1 MERV 13 Pleated Filter</t>
  </si>
  <si>
    <t>M1330851SP</t>
  </si>
  <si>
    <t>30x8.5x1 MERV 13 Pleated Filter</t>
  </si>
  <si>
    <t>M139122SP</t>
  </si>
  <si>
    <t>9x12x2 Special MERV 13 Pleated Filter</t>
  </si>
  <si>
    <t>M6-POCKET6P</t>
  </si>
  <si>
    <t>22.75" x 25.5" x 28" 85% Synthetic Media 6P Plastic Frame Pocket Filter</t>
  </si>
  <si>
    <t>MAGAH1224B3H3</t>
  </si>
  <si>
    <t>12x24x12 MERV 14 Heavy-Duty Aluminized Steel, High Temperature Box Filter w/ Aluminized Faceguards</t>
  </si>
  <si>
    <t>MAGAH2412B3H3</t>
  </si>
  <si>
    <t>12x24x12 MERV 14 Heavy-Duty Aluminized Steel, 350 High Temperature Box Filter w/ Aluminized Faceguards Header</t>
  </si>
  <si>
    <t>MAGAH2424B3H3</t>
  </si>
  <si>
    <t>24x24x12 MERV 14 Heavy-Duty Aluminized Steel, 350 High Temperature Box Filter w/ Aluminized Faceguards</t>
  </si>
  <si>
    <t>MAGAH2424B3H35</t>
  </si>
  <si>
    <t>24.0 x 24.0 x 12- MERV 14 MAGNA HT SERIES 500, HEADER STYLE, GASKETING AIR EXIT, FACE GUARDS AIR ENTRY AND EXIT, NOMINAL SIZE</t>
  </si>
  <si>
    <t>MAGGD1625A3OX</t>
  </si>
  <si>
    <t>16 x 25 x 6 MERV 14 - 900 Series Metal Dbl HDR Nominal Magna Std Cap</t>
  </si>
  <si>
    <t>MAGGD2025A3OX</t>
  </si>
  <si>
    <t>20 x 25 x 6. MERV 14 - 900 Series Metal Dbl HDR Nominal Magna Std Cap</t>
  </si>
  <si>
    <t>MAGNA HEPA</t>
  </si>
  <si>
    <t>MAGNA242412ENH</t>
  </si>
  <si>
    <t>24x24x12 MERV 14 Heavy-Duty Aluminized Steel, High Temperature Box Filter w/ Aluminized Faceguards Non-Headered</t>
  </si>
  <si>
    <t>MAGNAH2412B3H</t>
  </si>
  <si>
    <t>MAGNAH2424B3H</t>
  </si>
  <si>
    <t>24x24x12 MERV 14 Heavy-Duty Aluminized Steel, High Temperature Box Filter w/ Aluminized Faceguards</t>
  </si>
  <si>
    <t>MBE5-40</t>
  </si>
  <si>
    <t>MBE5-40; Equivalent to AVS5M40 PARKER</t>
  </si>
  <si>
    <t>MC-292/592/130-8PKN</t>
  </si>
  <si>
    <t>12x24x6 Headered Merv 14</t>
  </si>
  <si>
    <t>MC-592/592/130-8PKN</t>
  </si>
  <si>
    <t>24x24x6 Headered Merv 14</t>
  </si>
  <si>
    <t>MF8V4-1224</t>
  </si>
  <si>
    <t>12" x 24" x 12" MERV 14 4V-Bank Filter,Glassfiber, Blue Frame</t>
  </si>
  <si>
    <t>MF8V4-2024</t>
  </si>
  <si>
    <t>20" x 24" x 12" MERV 14 4V-Bank Filter, Glassfiber, Blue Frame</t>
  </si>
  <si>
    <t>MF8V4-2424</t>
  </si>
  <si>
    <t>24" x 24" x 12" MERV 14 4V-Bank Filter, Glassfiber, Blue Frame</t>
  </si>
  <si>
    <t>MF90 1/1</t>
  </si>
  <si>
    <t>24x24x26 Viledon Bag 90%</t>
  </si>
  <si>
    <t>MF95 1/1</t>
  </si>
  <si>
    <t>24x24x26 Viledon Bag 95%</t>
  </si>
  <si>
    <t>MFK-032-39</t>
  </si>
  <si>
    <t>FRANKIE FILTER MFK-032-39</t>
  </si>
  <si>
    <t>MG Hydro Pre 23233�</t>
  </si>
  <si>
    <t>PANFIL G4 592x592 (23.3x23.3x3�)</t>
  </si>
  <si>
    <t>MIKROPOR</t>
  </si>
  <si>
    <t>MINI Special</t>
  </si>
  <si>
    <t>MINI-12246</t>
  </si>
  <si>
    <t>EFS 12x24x6, MINI Pleat MERV 15</t>
  </si>
  <si>
    <t>MINI-12246H</t>
  </si>
  <si>
    <t>EFS 12x24x6,Header MINI Pleat MERV 15</t>
  </si>
  <si>
    <t>MINI-16206</t>
  </si>
  <si>
    <t>EFS 16x20x6, MINI Pleat MERV 15</t>
  </si>
  <si>
    <t>MINI-16206H</t>
  </si>
  <si>
    <t>MINI-20206H</t>
  </si>
  <si>
    <t>EFS 20x20x6, MINI Pleat MERV 15</t>
  </si>
  <si>
    <t>MINI-24246</t>
  </si>
  <si>
    <t>EFS 24x24x6, MINI Pleat MERV 15</t>
  </si>
  <si>
    <t>MINI-24246H</t>
  </si>
  <si>
    <t>EFS 24x24x6, Header MINI Pleat MERV 15</t>
  </si>
  <si>
    <t>MINI24244-EFS</t>
  </si>
  <si>
    <t>MERV 11 24x24x4 Plastic Frame MINI Pleat</t>
  </si>
  <si>
    <t>MINI75-2/00</t>
  </si>
  <si>
    <t>VILEDON  20x20x2 Mini Pleat 75%</t>
  </si>
  <si>
    <t>MINI75-2/05</t>
  </si>
  <si>
    <t>VILEDON   20x25x2 Mini Pleat 75%</t>
  </si>
  <si>
    <t>MINI75-2/24</t>
  </si>
  <si>
    <t>VILEDON 12x24x2 Mini Pleat 75%</t>
  </si>
  <si>
    <t>MINI75-2/44</t>
  </si>
  <si>
    <t>VILEDON  24x24x2 Mini Pleat 75%</t>
  </si>
  <si>
    <t>MINI75-2/60</t>
  </si>
  <si>
    <t>VILEDON 16x20x2 Mini Pleat 75%</t>
  </si>
  <si>
    <t>MINI75-2/64</t>
  </si>
  <si>
    <t>VILEDON 16x24x2 Mini Pleat 75%</t>
  </si>
  <si>
    <t>MINI75-2/65</t>
  </si>
  <si>
    <t>VILEDON 16x25x2 Mini Pleat 75%</t>
  </si>
  <si>
    <t>MINI75-4/44</t>
  </si>
  <si>
    <t>VILEDON 24x24x4 Mini Pleat 75%</t>
  </si>
  <si>
    <t>MINI85-2/24</t>
  </si>
  <si>
    <t>VILEDON 12x24x4 MiniPleat 85%</t>
  </si>
  <si>
    <t>MINI85-2/24.</t>
  </si>
  <si>
    <t>VILEDON 12x24x2 MiniPleat 85%</t>
  </si>
  <si>
    <t>MINI85-2/44</t>
  </si>
  <si>
    <t>VILEDON 24x24x2 MiniPleat 85%</t>
  </si>
  <si>
    <t>MINI85-2/60</t>
  </si>
  <si>
    <t>VILEDON 16x20x2 MiniPleat 85%</t>
  </si>
  <si>
    <t>MINI85-4/04</t>
  </si>
  <si>
    <t>VILEDON 20x24x4 MiniPleat 85%</t>
  </si>
  <si>
    <t>MINI85-4/24</t>
  </si>
  <si>
    <t>MINI85-4/44</t>
  </si>
  <si>
    <t>VILEDON 24x24x4 MiniPleat 85%</t>
  </si>
  <si>
    <t>MINI85-4/84</t>
  </si>
  <si>
    <t>VILEDON 18x24x4 MiniPleat 85%</t>
  </si>
  <si>
    <t>MINI85H-4/04</t>
  </si>
  <si>
    <t>VILEDON 20x24x4  MiniPleat 85% Header</t>
  </si>
  <si>
    <t>MINI95-2/00</t>
  </si>
  <si>
    <t>VILEDON 20x20x2 MiniPleat 95%</t>
  </si>
  <si>
    <t>MINI95-2/05</t>
  </si>
  <si>
    <t>VILEDON 20x25x2 MiniPleat 95%</t>
  </si>
  <si>
    <t>MINI95-2/24</t>
  </si>
  <si>
    <t>VILEDON  12x24x2 Mini Pleat 95%</t>
  </si>
  <si>
    <t>MINI95-2/44</t>
  </si>
  <si>
    <t>VILEDON  24x24x2 Mini Pleat 95%</t>
  </si>
  <si>
    <t>MINI95-4/24</t>
  </si>
  <si>
    <t>VILEDON 12x24x4 MiniPleat 95%</t>
  </si>
  <si>
    <t>MINI95-4/44</t>
  </si>
  <si>
    <t>VILEDON 24x24x4 MiniPleat 95%</t>
  </si>
  <si>
    <t>MINI95-4/65</t>
  </si>
  <si>
    <t>Viledon 16x25x4 Mini95 Pleat Filter</t>
  </si>
  <si>
    <t>MINICP</t>
  </si>
  <si>
    <t>VILEDON Carbon Mini CP Filter</t>
  </si>
  <si>
    <t>MINICP-2/44</t>
  </si>
  <si>
    <t>Viledon 24x24x2 Carbon Mini CP Filter</t>
  </si>
  <si>
    <t>MINICP-4/04</t>
  </si>
  <si>
    <t>Viledon 20x24x4 Carbon Mini CP Filter</t>
  </si>
  <si>
    <t>MINICP-4/05</t>
  </si>
  <si>
    <t>Viledon 20x25x4 Carbon Mini CP Filter</t>
  </si>
  <si>
    <t>MINICP-4/65</t>
  </si>
  <si>
    <t>Viledon 16x25x4 Carbon Mini CP Filter</t>
  </si>
  <si>
    <t>MINIRF-2/00</t>
  </si>
  <si>
    <t>20x20x2 Mini Roughing Filter</t>
  </si>
  <si>
    <t>MINIRF-2/05</t>
  </si>
  <si>
    <t>20x25x2 Mini Roughing Filter</t>
  </si>
  <si>
    <t>MINIRF-2/44</t>
  </si>
  <si>
    <t>24x24x2 Mini Roughing Filter</t>
  </si>
  <si>
    <t>MINIRF-2/60</t>
  </si>
  <si>
    <t>MINIRF-2/65</t>
  </si>
  <si>
    <t>16x25x2 Mini Roughing Filter</t>
  </si>
  <si>
    <t>MINIRF-4/44</t>
  </si>
  <si>
    <t>24x24x4  Mini Roughing Filter</t>
  </si>
  <si>
    <t>MKF8V2-2024</t>
  </si>
  <si>
    <t>20x24x12 MV-2VF MiniPleat V2/MERV 14 MW</t>
  </si>
  <si>
    <t>MKF8V2-2424</t>
  </si>
  <si>
    <t>24X24X12 MV-2VF MiniPleat 2V/ MERV 13 MW</t>
  </si>
  <si>
    <t>ML-122410-3PLY-C</t>
  </si>
  <si>
    <t>12x24x10, 3-Ply Cube Filter</t>
  </si>
  <si>
    <t>ML-122415-3PLY-C</t>
  </si>
  <si>
    <t>12x24x15, 3-Ply Cube Filter</t>
  </si>
  <si>
    <t>ML-122415-OA-C</t>
  </si>
  <si>
    <t>12" x 24" x 15"  Cube Filter w/Antimicrobial</t>
  </si>
  <si>
    <t>ML-122424-OA-C</t>
  </si>
  <si>
    <t>12" x 24" x 25"  Cube Filter w/Antimicrobial</t>
  </si>
  <si>
    <t>ML-242410-3PLY-C</t>
  </si>
  <si>
    <t>24x24x10, 3-Ply Cube Filter</t>
  </si>
  <si>
    <t>ML-242415-3PLY-C</t>
  </si>
  <si>
    <t>24x24x15, 3-Ply Cube Filter</t>
  </si>
  <si>
    <t>ML-242415-OA-C</t>
  </si>
  <si>
    <t>24" x 24" x 15"  Cube Filter w/Antimicrobial</t>
  </si>
  <si>
    <t>MP1320242</t>
  </si>
  <si>
    <t>M13 Mini Pleat MPF 20x24x2</t>
  </si>
  <si>
    <t>MP1324242</t>
  </si>
  <si>
    <t>M13 Mini Pleat MPF 24x24x2</t>
  </si>
  <si>
    <t>MP214-1620-ZB</t>
  </si>
  <si>
    <t>MERV 14 Zero-Bypass 16x20x2</t>
  </si>
  <si>
    <t>MP214-2020-ZB</t>
  </si>
  <si>
    <t>MERV 14 Zero-Bypass 20x20x2</t>
  </si>
  <si>
    <t>MP215-1224-ZB</t>
  </si>
  <si>
    <t>MERV 15 Zero-Bypass 12x24x2</t>
  </si>
  <si>
    <t>MP215-1620-ZB</t>
  </si>
  <si>
    <t>MERV 15 Zero-Bypass 16x20x2</t>
  </si>
  <si>
    <t>MP215-2020-ZB</t>
  </si>
  <si>
    <t>MERV 15 Zero-Bypass 20x20x2</t>
  </si>
  <si>
    <t>MP215-2024-ZB</t>
  </si>
  <si>
    <t>MERV 15 Zero-Bypass 20x24x2</t>
  </si>
  <si>
    <t>MP215-2424-ZB</t>
  </si>
  <si>
    <t>MERV 15 Zero-Bypass 24x24x2</t>
  </si>
  <si>
    <t>MRM8- GT-LM6</t>
  </si>
  <si>
    <t>LM6000 Guard Door Coalescer Prefilter G4 23.3 x 23.3 x 3 1/2 Plastic Frame Mini Pleat</t>
  </si>
  <si>
    <t>MRM8-1/1-PF</t>
  </si>
  <si>
    <t>LM6000 Guard Door Coalescer Prefilter G4 23.3 x 23.3 x 3.75 Plastic Frame Mini Pleat</t>
  </si>
  <si>
    <t>MRM8-1/2-PF</t>
  </si>
  <si>
    <t>LM6000 Guard Door Coalescer Prefilter G4 11.3 x 23.3 x 3 1/2 Plastic Frame Mini Pleat</t>
  </si>
  <si>
    <t>MV-F9-03</t>
  </si>
  <si>
    <t>F9 M154V Mini Pleat</t>
  </si>
  <si>
    <t>MV75 1/1 RP</t>
  </si>
  <si>
    <t>Viledon 24x24x12 75% V-Bank</t>
  </si>
  <si>
    <t>MV75 1/1- DSG NR</t>
  </si>
  <si>
    <t>24x24x12  DSG 75% V-Bank Non Recessed</t>
  </si>
  <si>
    <t>MV75 1/2- DSG NR</t>
  </si>
  <si>
    <t>VILEDON 12x24x12 DSG 75% V-Bank Non Recessed</t>
  </si>
  <si>
    <t>MV75 5/6 Non Recess</t>
  </si>
  <si>
    <t>Viledon 20x24x12 V-Bank Non-Recessed</t>
  </si>
  <si>
    <t>MV85 1/1 RP-Non Recess</t>
  </si>
  <si>
    <t>Viledon 24x24x12 RP 85% M13 V-Bank Non-Recessed w/DSG</t>
  </si>
  <si>
    <t>MV85 1/1-NR</t>
  </si>
  <si>
    <t>24x24x12  85% V-Bank Non Recessed</t>
  </si>
  <si>
    <t>MV85 5/6  RP-Non Recess</t>
  </si>
  <si>
    <t>Viledon 20x24x12 RP 85% M13  V-Bank Non-Recessed w/DSG</t>
  </si>
  <si>
    <t>MV95 1/1 Non Recess</t>
  </si>
  <si>
    <t>Viledon 24x24x12 96% V-Bank Non-Recessed w/DSG</t>
  </si>
  <si>
    <t>MV95 1/1 RP-Non Recess</t>
  </si>
  <si>
    <t>Viledon 24x24x12 rp 96% V-Bank Non-Recessed w/DSG</t>
  </si>
  <si>
    <t>MV95 1/1 Recess</t>
  </si>
  <si>
    <t>6904370  24x24x13 96% V- Bank Recess</t>
  </si>
  <si>
    <t>MV95 1/2 Non Recess</t>
  </si>
  <si>
    <t>Viledon 12x24x12 96% V-Bank Non-Recessed w/DSG</t>
  </si>
  <si>
    <t>MV95 1/2 RP-Non Recess</t>
  </si>
  <si>
    <t>Viledon 12x24x12 RP 96% V-Bank Non-Recessed w/DSG</t>
  </si>
  <si>
    <t>MV95 5/5 Non Recess</t>
  </si>
  <si>
    <t>Viledon 20x20x12 95% V-Bank Non-Recessed w/DSG</t>
  </si>
  <si>
    <t>MV95 5/6  RP-Non Recess</t>
  </si>
  <si>
    <t>Viledon 20x24x12 RP 96% V-Bank Non-Recessed w/DSG</t>
  </si>
  <si>
    <t>MV95 5/6 Non Recess</t>
  </si>
  <si>
    <t>Viledon 20x24x12 95% V-Bank Non-Recessed w/DSG</t>
  </si>
  <si>
    <t>MX120</t>
  </si>
  <si>
    <t>VILEDON MaxiPleat 24"x24"x12"</t>
  </si>
  <si>
    <t>MX95 1/1- DSGP</t>
  </si>
  <si>
    <t>24x24x12 High Efficiency Rigid Filter DSG Gaketing</t>
  </si>
  <si>
    <t>MX98 1/1</t>
  </si>
  <si>
    <t>73076658 24x24x12 MX98 1/1</t>
  </si>
  <si>
    <t>MZE-SPECIAL</t>
  </si>
  <si>
    <t>MZP-SPECIAL</t>
  </si>
  <si>
    <t>N0114B26</t>
  </si>
  <si>
    <t>12.75" x 26" Open-Closed Cylindrical Cartridge Blended Cellulose -  MERV 11 - 224 ft2 - 1.18" Bolt Hole</t>
  </si>
  <si>
    <t>N0121C26</t>
  </si>
  <si>
    <t>17.5" x 26" Open-Open Conical Cartridge Blended Cellulose -  MERV 11 - 238 ft2</t>
  </si>
  <si>
    <t>N0134A34.5</t>
  </si>
  <si>
    <t>16x11�x 34� GT Cylinder Cartridge - Blended Cellulose - MERV11 - open/open - 354 ft�</t>
  </si>
  <si>
    <t>N0135B22</t>
  </si>
  <si>
    <t>16x11�x22 GT Cylinder Cartridge - Blended Cellulose - MERV11 - open/closed - 226 ft�</t>
  </si>
  <si>
    <t>N0211F26</t>
  </si>
  <si>
    <t>18.75" x 14" x 26" Open-Closed Cylindrical Cartridge - 18.75" Round Flange - Inner &amp; Outer Expanded Metal - 17.5" ID Gasket  0.5" x 0.5" - Blended Cellulose w/ Nano - MERV 15 - Duratek Spiderweb XP Equivilent - 222 ft2				..</t>
  </si>
  <si>
    <t>N0214B26</t>
  </si>
  <si>
    <t>12.75" x 26" Open-Closed Cylindrical Cartridge Blended Cellulose w/ nano -  MERV 15 - 224 ft2 - 1.18 Bolt Hole"</t>
  </si>
  <si>
    <t>N0218D26</t>
  </si>
  <si>
    <t>12.75 x 8.38 x 26 w/ Tenkay flange - MERV 15 cellulose</t>
  </si>
  <si>
    <t>N0218D34</t>
  </si>
  <si>
    <t>12.75 x 8.38 x 34 w/ Tenkay flange - MERV 15 cellulose</t>
  </si>
  <si>
    <t>N0221C26</t>
  </si>
  <si>
    <t>17.5" x 26" Open-Open Conical Cartridge Blended Cellulose w/nano - MERV 15 -238 ft2</t>
  </si>
  <si>
    <t>N0711F26</t>
  </si>
  <si>
    <t>18.75" x 14" x 26" Open-Closed Cylindrical Cartridge - 18.75" Round Flange - Inner &amp; Outer Expanded Metal - 17.5" ID Gasket 0.5" x 0.75" - 100% Wet-Laid Synthetic - MERV 13 - Synthetic Spiderweb Equivilent - 222 ft2</t>
  </si>
  <si>
    <t>N0714B26</t>
  </si>
  <si>
    <t>12.75"x26" Open-Closed Cylindrical Cartridge 100% Synthetic - MERV 13</t>
  </si>
  <si>
    <t>N0801A22</t>
  </si>
  <si>
    <t>12.75" x 8.38" x 22"  Cylindrical Cartridge - 189 ft�..P/N N0801A22 - TFP90 22"</t>
  </si>
  <si>
    <t>N0814B26</t>
  </si>
  <si>
    <t>12.75" x 8.38" x 26" Cylindrical Cartridge - 224 ft�..P/N N0814B26 - TFP90 26"</t>
  </si>
  <si>
    <t>N1412V12NG</t>
  </si>
  <si>
    <t>12" x 24" x 12"  MERV 16 Synthetic V Cell filter</t>
  </si>
  <si>
    <t>N1418D26</t>
  </si>
  <si>
    <t>N1418D26		..12.75" OD " x 8.38" ID x 26.0" L  MERV 16 synthetic Cartridge. 224 ft�</t>
  </si>
  <si>
    <t>N1418D39</t>
  </si>
  <si>
    <t>N1418D39		..12.75" OD " x 8.38" ID x 39.0" L, MERV 16 synthetic Cartridge 336 ft�			..</t>
  </si>
  <si>
    <t>N2314B26</t>
  </si>
  <si>
    <t>12.75" x 26" Open-Closed Cylindrical Cartridge - 1.18" Bolt Hole - Inner &amp; Outer Expanded Metal - 10.25" ID Gasket 0.5" x 0.5" - Blended Cellulose w/ nano - MERV 13 - 224 ft2</t>
  </si>
  <si>
    <t>N2413B26</t>
  </si>
  <si>
    <t>12.75" x 8.38" x 26" Open-Closed Cylindrical Cartridge - 0.55" Bolt Hole - Inner &amp; Outer Expanded Metal - 10.25" ID Gasket 0.5" x 0.5" - Blended Cellulose w/ Nano - MERV 16</t>
  </si>
  <si>
    <t>N2421C26</t>
  </si>
  <si>
    <t>17.5" x 8.38" x 26" Open-Open Conical Cartridge - Inner &amp; Outer Expanded Metal - 15.75" ID Gasket 0.5" x 0.5" - Blended Cellulose w/ Nano - MERV 16 - 238 ft2</t>
  </si>
  <si>
    <t>N242435M8</t>
  </si>
  <si>
    <t>24" x 24" 3.5" High Capacity Pleat..(Exact Size 23.375 x 23.375 x 3.4375)</t>
  </si>
  <si>
    <t>N24V12NG</t>
  </si>
  <si>
    <t>24" x 24" x 12"  MERV 16 Synthetic V Cell filter</t>
  </si>
  <si>
    <t>N934</t>
  </si>
  <si>
    <t>N937A</t>
  </si>
  <si>
    <t>12.75 x 26 Cylinder Gas Turbine Cartridge - Blended Cellulose w/ Nano Fiber - E10/MERV 16</t>
  </si>
  <si>
    <t>N937B</t>
  </si>
  <si>
    <t>17.75 x 26 Conical Gas Turbine Cartridge - Blended Cellulose w/ Nano - E10/MERV16</t>
  </si>
  <si>
    <t>NC02070H264105103J3</t>
  </si>
  <si>
    <t>24x24x17 Deep 4V Filter ..(Donaldson AE5854401 Equivalent)</t>
  </si>
  <si>
    <t>NGGC-336 PL-01</t>
  </si>
  <si>
    <t>PECO Next Generation Gas Coalescer 4.5" OD x 36" L 0.3 Micron Element</t>
  </si>
  <si>
    <t>NXT-3100138</t>
  </si>
  <si>
    <t>18.75" x 14" x 26" Open-Closed Cylindrical Cartridge - 18.75" Round Flange - Inner &amp; Outer Expanded Metal - 17.5" ID Gasket 0.5" x 0.75" - Blended Cellulose W/ Nano Merv 13</t>
  </si>
  <si>
    <t>NXT-GT Canister</t>
  </si>
  <si>
    <t>NXT-N2124V17</t>
  </si>
  <si>
    <t>NXT-N501-FL</t>
  </si>
  <si>
    <t>Tenkay 12.75" x 26" Cylindrical GT Cartridge - Blended Cellulose w/ Nano Fiber MERV 15/16</t>
  </si>
  <si>
    <t>NXT-N9-COMP-LM6</t>
  </si>
  <si>
    <t>17.5x14 IDx26 L Composite Cansiter MERV15 Nano Blended</t>
  </si>
  <si>
    <t>NXT-N902A-22</t>
  </si>
  <si>
    <t>12.75" x 22" Cylindrical GT Cartridge -Blended Cellulose - MERV 11 - 190ft�</t>
  </si>
  <si>
    <t>NXT-N902A-26</t>
  </si>
  <si>
    <t>12.75" x 26" Cylindrical GT Cartridge -Blended Cellulose - MERV 11 - 224ft�</t>
  </si>
  <si>
    <t>NXT-N906A</t>
  </si>
  <si>
    <t>12.75" x 26" Cylindrical GT Cartridge - Blended Cellulose w/ Nano Fiber MERV 15</t>
  </si>
  <si>
    <t>NXT-N906B</t>
  </si>
  <si>
    <t>17.5" 26" Conical GT Cartridge - Blended Cellulose w/ Nano Fiber MERV 15</t>
  </si>
  <si>
    <t>NXT-N909</t>
  </si>
  <si>
    <t>12.75 x 34 Cylinder Gas Turbine Cartridge w/TwistLock Interface - Blended Poly w/ Nano Fiber - MERV15</t>
  </si>
  <si>
    <t>NXT-N909-L</t>
  </si>
  <si>
    <t>12.75 x 39 Cylinder Gas Turbine Cartridge w/TwistLock Interface - Blended Poly w/ Nano Fiber - MERV15</t>
  </si>
  <si>
    <t>NXT-N910</t>
  </si>
  <si>
    <t>12.75 x 34 Cylinder Gas Turbine Cartridge w/TwistLock Interface - Blended Poly w/ Nano Fiber - E10/MERV 16</t>
  </si>
  <si>
    <t>NXT-N910-L</t>
  </si>
  <si>
    <t>12.75 x 39 Cylinder Gas Turbine Cartridge w/TwistLock Interface - Blended Poly w/ Nano Fiber - E10/MERV 16</t>
  </si>
  <si>
    <t>NXT-N922A-CYN</t>
  </si>
  <si>
    <t>26" E11 / MERV 13 GDX Cylindrical Filter</t>
  </si>
  <si>
    <t>NXT-N922B-CON</t>
  </si>
  <si>
    <t>N922B..26" GDX Conical Filter; nano/spiderweb 100% Synthetic media, MERV 13; (pulsable version w/outer wire cage)</t>
  </si>
  <si>
    <t>NXT-N933-M11</t>
  </si>
  <si>
    <t>MERV 11 Gas Turbine, Solar Taurus 70 GTG Conical &amp; Cylindrical Pair ..(11.5 x 16.0 x 34.5 Conical / ..&amp; 11.5 x 16.0 x 22.0 Cylindrical)</t>
  </si>
  <si>
    <t>NXT-N934</t>
  </si>
  <si>
    <t>Composite filter for LM6000L, 80/20 blend</t>
  </si>
  <si>
    <t>NXT-N937A-22SS</t>
  </si>
  <si>
    <t>12.75 x 22 Cylinder Gas Turbine Cartridge - Blended Cellulose w/ Nano Fiber - E10/MERV 16 Stainless Steel Piece Parts</t>
  </si>
  <si>
    <t>NXT-N955A-TDS</t>
  </si>
  <si>
    <t>26" Cylindrical Canister Polyester synthetic wet laid nonwoven, synthetic filter - pulsed gas turbine inlet and/or industrial APC  filter, G60 Galvanized Expanded Steel</t>
  </si>
  <si>
    <t>NXT-VEE-SOCK 1/1</t>
  </si>
  <si>
    <t>4V SOCK 24x24x12 V-Bank Filters ..for NxtNano V Cell</t>
  </si>
  <si>
    <t>Nova Pleat-Special</t>
  </si>
  <si>
    <t>Nova Pleat Special</t>
  </si>
  <si>
    <t>P524742-22" Cranks</t>
  </si>
  <si>
    <t>22" Crank w/washer &amp; gaskets / No Nuts</t>
  </si>
  <si>
    <t>PBG12241995</t>
  </si>
  <si>
    <t>12x24x19 MERV 15 (95%) 5 Pocket Fiberglass Bag Filter, Standard Header, No Gasket, No Loops</t>
  </si>
  <si>
    <t>PBG2424221810</t>
  </si>
  <si>
    <t>24x24x22 MERV 13 (85%) 10 Pocket Fiberglass Bag Filter, Standard Header</t>
  </si>
  <si>
    <t>PBG24242288</t>
  </si>
  <si>
    <t>24x24x22 MERV 13 (85%) 8 Pocket Fiberglass Bag Filter, Standard Header</t>
  </si>
  <si>
    <t>PBG24242298</t>
  </si>
  <si>
    <t>24x24x22 MERV 15 (95%) 8 Pocket Fiberglass Bag Filter, Standard Header</t>
  </si>
  <si>
    <t>PF4PS18W0-12</t>
  </si>
  <si>
    <t>12x24x2 PANFIL Self-Supported Synthetic Media Filter w/ Plastic Frame</t>
  </si>
  <si>
    <t>PF4PS18W0-24</t>
  </si>
  <si>
    <t>24x24x2 PANFIL Self-Supported Synthetic Media Filter w/ Plastic Frame</t>
  </si>
  <si>
    <t>PF4PS18Z0</t>
  </si>
  <si>
    <t>24x24x3.5 PANFIL Self-Supported Synthetic Media Filter w/ Plastic Frame</t>
  </si>
  <si>
    <t>PHX/006157F</t>
  </si>
  <si>
    <t>V-Cell, ClearCurrent PHX, 23.3x23.3x17.1" (593H x 593W x 435D)mm, DS Gasketed</t>
  </si>
  <si>
    <t>PLT12-M11-04-PH</t>
  </si>
  <si>
    <t>24x24x12 High Efficiency Rigid Cell Filter</t>
  </si>
  <si>
    <t>PP-HC-40-1</t>
  </si>
  <si>
    <t>Filter Water 1 Micron Cartridge</t>
  </si>
  <si>
    <t>PPL-347-S1B-05E</t>
  </si>
  <si>
    <t>PECO PEACH Polyester Liquid Filter Element, 3" OD x 47" L w/ 2.5"..CS Spring End Cap, 99.9% Efficiency @ 5 Micron</t>
  </si>
  <si>
    <t>PT434-10</t>
  </si>
  <si>
    <t>PT434-10 Hydraulic Element</t>
  </si>
  <si>
    <t>PUG12244-65</t>
  </si>
  <si>
    <t>12x24x4 65% Plastic Frame MINI Pleat</t>
  </si>
  <si>
    <t>PUG16204-95</t>
  </si>
  <si>
    <t>16x20x4 95% Plastic Frame MINI Pleat</t>
  </si>
  <si>
    <t>PUG20204-65</t>
  </si>
  <si>
    <t>20x20x4 65% Plastic Frame MINI Pleat</t>
  </si>
  <si>
    <t>PUG20204-95</t>
  </si>
  <si>
    <t>20x20x4 95% Plastic Frame MINI Pleat</t>
  </si>
  <si>
    <t>PUG20244-65</t>
  </si>
  <si>
    <t>20x24x4 65% Plastic Frame MINI Pleat</t>
  </si>
  <si>
    <t>PUG20254H-95</t>
  </si>
  <si>
    <t>20x25x4 95% Plastic Frame MINI Pleat</t>
  </si>
  <si>
    <t>PUPB2424C5AX</t>
  </si>
  <si>
    <t>24.0 X 24.0 X 3 99.97% PURACELL PARTICLE BOARD FLUSH BOX, GASKET ON AIR EXIT, NO FACE GUARDS</t>
  </si>
  <si>
    <t>PUPFB242441O</t>
  </si>
  <si>
    <t>24 X 24 X 4 MERV 11 PURACELL II PLASTIC BOX, NOMINAL SIZE</t>
  </si>
  <si>
    <t>PUPSLRB122449O</t>
  </si>
  <si>
    <t>12x24x4 Puracell Plastic Frames MERV 15</t>
  </si>
  <si>
    <t>PUPSLRB162049</t>
  </si>
  <si>
    <t>16x20x4 Puracell Plastic Frames MERV 15</t>
  </si>
  <si>
    <t>PUPSLRB202049O</t>
  </si>
  <si>
    <t>20x20x4 Puracell Plastic Frames MERV 15</t>
  </si>
  <si>
    <t>PUPSLRB202449O</t>
  </si>
  <si>
    <t>20x24x4 Puracell Plastic Frames MERV 15</t>
  </si>
  <si>
    <t>PUPSLRB202549O</t>
  </si>
  <si>
    <t>20x25x4 Puracell Plastic Frames MERV 15- BOX STYLE NO HEADER</t>
  </si>
  <si>
    <t>PUPSLRB242449O</t>
  </si>
  <si>
    <t>24x24x4 Puracell Plastic Frames MERV 15</t>
  </si>
  <si>
    <t>PUPSLRH122449O</t>
  </si>
  <si>
    <t>12x24x4 Puracell Plastic Frames MERV 15- WITH HEADER</t>
  </si>
  <si>
    <t>PUPSLRH202549O</t>
  </si>
  <si>
    <t>20x25x4 Puracell Plastic Frames MERV 15- WITH HEADER</t>
  </si>
  <si>
    <t>PUPSLRH242449O</t>
  </si>
  <si>
    <t>24x24x4 Puracell Plastic Frames MERV 15- WITH HEADER</t>
  </si>
  <si>
    <t>PURAFILTERS</t>
  </si>
  <si>
    <t>PURII242446</t>
  </si>
  <si>
    <t>24x24x4 Puracell II Mini Pleat MERV 11, Fiberglass</t>
  </si>
  <si>
    <t>PUVXH1224B3O</t>
  </si>
  <si>
    <t>12x24x12 MERV 14 Puracell VX Header Style</t>
  </si>
  <si>
    <t>PUVXH2424B3O</t>
  </si>
  <si>
    <t>24x24x12 MERV 14 Puracell VX Header Style</t>
  </si>
  <si>
    <t>Poly Panel-Special</t>
  </si>
  <si>
    <t>Poly Panel Special</t>
  </si>
  <si>
    <t>QAD2025154SS</t>
  </si>
  <si>
    <t>20x25x15 QUAD 440 Self Sealing</t>
  </si>
  <si>
    <t>R1/05</t>
  </si>
  <si>
    <t>VILEDON 20x25x2 R1 Panel Filter (20/box)</t>
  </si>
  <si>
    <t>R1/44</t>
  </si>
  <si>
    <t>VILEDON 24x24x2 R1 Panel Filter (20/box)</t>
  </si>
  <si>
    <t>SBG-SPECIAL</t>
  </si>
  <si>
    <t>SBG12241263</t>
  </si>
  <si>
    <t>12x24x12 3 Pocket Filter 65% Synthetic Special Bag Filter</t>
  </si>
  <si>
    <t>SBG12241285</t>
  </si>
  <si>
    <t>12x24x12 3 Pocket Bag Filter 85% Synthetic Special Bag Filter</t>
  </si>
  <si>
    <t>SBG12241294</t>
  </si>
  <si>
    <t>** 12x24x12 4P Bag Filter 95% Synthetic Special Bag Filter</t>
  </si>
  <si>
    <t>12x24x15 3 Pocket Merv 9 Synthetic Bag Filter</t>
  </si>
  <si>
    <t>12x24x15, MERV 11 Depth Loading Synthetic Pocket Filter (3 pocket)</t>
  </si>
  <si>
    <t>12x24x15 4 Pocket Merv 11 Synthetic Bag Filter</t>
  </si>
  <si>
    <t>SBG12241566CM</t>
  </si>
  <si>
    <t>12x24x15 MERV 11, 6-Pocket  Synthetic Bag Filter, No Gasket, Loops None, Cambridge Header, Galv. Steel Frame</t>
  </si>
  <si>
    <t>12x24x15 6-Pocket MERV 13 Synthetic Bag Filter, Galv. Steel Frame</t>
  </si>
  <si>
    <t>12x24x15, MERV 15 Depth Loading Synthetic Pocket Filter (4 pocket)</t>
  </si>
  <si>
    <t>SBG122421-95</t>
  </si>
  <si>
    <t>12x24x21 3 Pocket Bag Filter 95% Synthetic Special Bag Filter</t>
  </si>
  <si>
    <t>SBG16201286</t>
  </si>
  <si>
    <t>16x20x12 85% 6 Pocket Bag Filter</t>
  </si>
  <si>
    <t>SBG202012</t>
  </si>
  <si>
    <t>20x20x12 Synthetic Bag Filter 45%, 5 Pockets</t>
  </si>
  <si>
    <t>20x20x12, 40% Depth Loading Synthetic Pocket Filter (4 pockets)</t>
  </si>
  <si>
    <t>SBG20201266</t>
  </si>
  <si>
    <t>20x20x12 Synthetic Bag Filter MERV11 6Pockets</t>
  </si>
  <si>
    <t>SBG20201286</t>
  </si>
  <si>
    <t>Synthetic Bag, 20x20x12 Merv 13 6P</t>
  </si>
  <si>
    <t>SBG20201296</t>
  </si>
  <si>
    <t>20x20x12 Synthetic Bag Merv15, 6-Pocket</t>
  </si>
  <si>
    <t>SBG202015</t>
  </si>
  <si>
    <t>Synthetic Bag, 20x20x15 MERV 15 8 Pockets, Gasket None, Loops None, Std Header, Nom Size</t>
  </si>
  <si>
    <t>SBG20201566</t>
  </si>
  <si>
    <t>20x20x15 6-Pocket MERV 11 Synthetic Bag Filter</t>
  </si>
  <si>
    <t>SBG202021-95</t>
  </si>
  <si>
    <t>20x20x21 6 Pocket Bag Filter 95% Synthetic Special Bag Filter</t>
  </si>
  <si>
    <t>SBG20241295</t>
  </si>
  <si>
    <t>20x24x12 Bag Filter 95% Synthetic Special Bag Filter</t>
  </si>
  <si>
    <t>SBG202415</t>
  </si>
  <si>
    <t>20x24x15, MERV 11 Depth Loading Synthetic Pocket Filter (6 pocket)</t>
  </si>
  <si>
    <t>20x24x15, 60% Depth Loading Synthetic Pocket Filter (6 pocket)</t>
  </si>
  <si>
    <t>20x24x15 6 Pocket 85% Synthetic Bag Filter (MERV 13)</t>
  </si>
  <si>
    <t>20x24x15, MERV 15 Depth Loading Synthetic Pocket Filter (8 pocket)</t>
  </si>
  <si>
    <t>SBG202421-95</t>
  </si>
  <si>
    <t>20x24x21 6 Pocket Bag Filter 95% Synthetic Special Bag Filter</t>
  </si>
  <si>
    <t>SBG20242298</t>
  </si>
  <si>
    <t>20x24x22 Merv 15 Depth Load Sythetic 8-P</t>
  </si>
  <si>
    <t>SBG24241266E</t>
  </si>
  <si>
    <t>24x24x12 6 Pocket Bag Filter 65% Synthetic Special Bag Filter</t>
  </si>
  <si>
    <t>SBG24241285</t>
  </si>
  <si>
    <t>24x24x12 6 Pocket Bag Filter 85% Synthetic Special Bag Filter</t>
  </si>
  <si>
    <t>SBG24241286</t>
  </si>
  <si>
    <t>SBG24241288</t>
  </si>
  <si>
    <t>24x24x12 8 Pocket Bag Filter 85% Synthetic Special Bag Filter</t>
  </si>
  <si>
    <t>SBG24241296</t>
  </si>
  <si>
    <t>24x24x12 6 Pocket Bag Filter 95% Synthetic Special Bag Filter</t>
  </si>
  <si>
    <t>24x24x15 6 Pocket Merv 9 Synthetic Bag Filter</t>
  </si>
  <si>
    <t>24x24x15 MERV 11, 12-Pocket  Synthetic Bag Filter, No Gasket, Loops None, Cambridge Header, Galv. Steel Frame</t>
  </si>
  <si>
    <t>24x24x15 6-Pocket MERV11 Syntetic Bag Filter</t>
  </si>
  <si>
    <t>24x24x15 12-Pocket MERV 13 Synthetic Bag Filter, Galv. Steel Frame</t>
  </si>
  <si>
    <t>24x24x15 6 Pocket Merv 13 Synthetic Bag Filter</t>
  </si>
  <si>
    <t>24x24x15 12-Pocket 95% Syntetic Bag Filter</t>
  </si>
  <si>
    <t>24x24x15 6-Pocket 95% Syntetic Bag Filter</t>
  </si>
  <si>
    <t>24x24x15 8 Pocket Filter 95% Synthetic Special Bag Filter</t>
  </si>
  <si>
    <t>SBG242421-95</t>
  </si>
  <si>
    <t>24x24x21 6 Pocket Bag Filter 95% Synthetic Special Bag Filter</t>
  </si>
  <si>
    <t>SBG2424216</t>
  </si>
  <si>
    <t>24x24x21 6 Pocket Bag Filter MERV 11 Synthetic Special Bag Filter</t>
  </si>
  <si>
    <t>SBG242422</t>
  </si>
  <si>
    <t>24x24x22 Merv 15  6 Pocket Synthetic Bag Filter</t>
  </si>
  <si>
    <t>SBG24242266</t>
  </si>
  <si>
    <t>24x24x21 (MERV 11) 6 Pocket Synthetic Bag Filter, Standard Header, Non Gasket</t>
  </si>
  <si>
    <t>SBG24242268</t>
  </si>
  <si>
    <t>Synthetic Bag, 24.0 in X 24.0 in X 22.0 in MERV 11 8.0 Pockets, Gasket None, Loops None, Std Header, Nom Size</t>
  </si>
  <si>
    <t>SBG24242286</t>
  </si>
  <si>
    <t>24x24x22 (MERV 13) 6 Pocket Synthetic Bag Filter, Standard Header, Non Gasket</t>
  </si>
  <si>
    <t>SBG242424</t>
  </si>
  <si>
    <t>24x24x24 6 Pocket Bag Filter</t>
  </si>
  <si>
    <t>24x24x25 6-Pocket Filter MERV 15 95% Synthetic Special Bag Filter</t>
  </si>
  <si>
    <t>SBG252010957</t>
  </si>
  <si>
    <t>SBG252010957..20x25x10 Merv 15 7 Pocket Bag Filter with Aluminum Frame</t>
  </si>
  <si>
    <t>SBG25201596</t>
  </si>
  <si>
    <t>20x25x15 Synthetic Bag Merv 15 6-Pocket</t>
  </si>
  <si>
    <t>SBG25201867</t>
  </si>
  <si>
    <t>25x20x18 6-Pocket MERV11 Synthetic Bag Filter</t>
  </si>
  <si>
    <t>SCF14.314.32EHTHCSS</t>
  </si>
  <si>
    <t>14 1/4 x 14 1/4 x 2 Special Construction Filter HIGH TEMP PLEATED FILTER..WITH 304 SS FRAME AND 1 X 1 WIRE..MERV 10 HIGH CAPACITY</t>
  </si>
  <si>
    <t>SENSTD244849302A10</t>
  </si>
  <si>
    <t>2x4 Sentinel Fan Filter Unit</t>
  </si>
  <si>
    <t>SL5-4L</t>
  </si>
  <si>
    <t>Polypropylene String Wound, 5 Micron, 40" Length, DOE w/..Polypropylene Core..***Equivalent to EP5R40P***</t>
  </si>
  <si>
    <t>SMP-11AT-MINIPLEAT</t>
  </si>
  <si>
    <t>SMP-11AT24242</t>
  </si>
  <si>
    <t>24x24x2 MERV 11 (50-55%) Plastic Frame Synthetic Mini Pleat Filte</t>
  </si>
  <si>
    <t>SMP-14EE16202</t>
  </si>
  <si>
    <t>16x20x2  MERV 14 Synthetic Mini Pleat Filter</t>
  </si>
  <si>
    <t>SMP-14EE16242</t>
  </si>
  <si>
    <t>16x24x2  MERV 14 Synthetic Mini Pleat Filter</t>
  </si>
  <si>
    <t>SMP-14EE20262</t>
  </si>
  <si>
    <t>20x26x2  MERV 14 Synthetic Mini Pleat Filter</t>
  </si>
  <si>
    <t>SMP-14EE24242</t>
  </si>
  <si>
    <t>24x24x2  MERV 14 Synthetic Mini Pleat Filter</t>
  </si>
  <si>
    <t>SMP-15EE12204</t>
  </si>
  <si>
    <t>12x20x4 MERV 15 Mini Pleat Plastic Frame- NO HEADER</t>
  </si>
  <si>
    <t>SMP-15EE1224HD</t>
  </si>
  <si>
    <t>12x24x6  MERV 15 (95-100%) Synthetic Mini Pleat Filter Single Header</t>
  </si>
  <si>
    <t>SMP-15EE16206HD</t>
  </si>
  <si>
    <t>16x20x6  MERV 15 (95-100%) Synthetic Mini Pleat Filter Single Header</t>
  </si>
  <si>
    <t>SMP-15EE20206HD</t>
  </si>
  <si>
    <t>20x20x6  MERV 15 (95-100%) Synthetic Mini Pleat Filter Single Header</t>
  </si>
  <si>
    <t>SMP-15EE24126</t>
  </si>
  <si>
    <t>12x24x6  MERV 15 (95-100%) Synthetic Mini Pleat Filter NH</t>
  </si>
  <si>
    <t>SMP-15EE24246</t>
  </si>
  <si>
    <t>24x24x6  MERV 15 (95-100%) Synthetic Mini Pleat Filter NH</t>
  </si>
  <si>
    <t>SMP-15EE24246HD</t>
  </si>
  <si>
    <t>24x24x6  MERV 15 (95-100%) Synthetic Mini Pleat Filter Single Header</t>
  </si>
  <si>
    <t>SMP-16204-60</t>
  </si>
  <si>
    <t>16x20x4 Mini MERV 12 Plastic Frame</t>
  </si>
  <si>
    <t>SMP-20254-60</t>
  </si>
  <si>
    <t>20x25x4 Mini MERV 12 Plastic Frame</t>
  </si>
  <si>
    <t>SMP-24244-60</t>
  </si>
  <si>
    <t>24x24x4 Mini MERV 12 Plastic Frame</t>
  </si>
  <si>
    <t>SMP-6011AT16256HD</t>
  </si>
  <si>
    <t>16x25x6 MERV11  65%  Synthetic Mini Pleat Filter (AEOLUS)</t>
  </si>
  <si>
    <t>SMP-6011AT20256HD</t>
  </si>
  <si>
    <t>20x25x6 MERV11  65%  Synthetic Mini Pleat Filter (AEOLUS)</t>
  </si>
  <si>
    <t>SMP-6016204</t>
  </si>
  <si>
    <t>16x20x4  MERV 12 Plastic Frame Synthetic Mini Pleat</t>
  </si>
  <si>
    <t>SMP-6016244</t>
  </si>
  <si>
    <t>16x24x4  MERV 12 Plastic Frame Synthetic Mini Pleat</t>
  </si>
  <si>
    <t>SMP-6020254</t>
  </si>
  <si>
    <t>20x24x4 inch MERV 12 (70-75%) Synthetic Mini Pleat Panel Filter</t>
  </si>
  <si>
    <t>SMP-6024244</t>
  </si>
  <si>
    <t>24x24x4  MERV 12 Plastic Frame Synthetic Mini Pleat</t>
  </si>
  <si>
    <t>SMP-8024242</t>
  </si>
  <si>
    <t>MERV 13 24x24x2 Plastic Frame Pleat</t>
  </si>
  <si>
    <t>SMP-95AT16204</t>
  </si>
  <si>
    <t>16x20x4 MERV 15 (95-100%) Synthetic Mini Pleat Filter (AEOLUS)</t>
  </si>
  <si>
    <t>SMP-95AT20202</t>
  </si>
  <si>
    <t>20x20x2 MERV 15 (95-100%) Synthetic Mini Pleat Filter (AEOLUS)</t>
  </si>
  <si>
    <t>SMP-95AT20204</t>
  </si>
  <si>
    <t>20x20x4 MERV 15 (95-100%) Synthetic Mini Pleat Filter</t>
  </si>
  <si>
    <t>SMP-95AT20252</t>
  </si>
  <si>
    <t>20x25x2 MERV 15 (95-100%) Synthetic Mini Pleat Filter (AEOLUS)</t>
  </si>
  <si>
    <t>SMP-95AT20254</t>
  </si>
  <si>
    <t>20x25x4 MERV 15 (95-100%) Synthetic Mini Pleat Filter (AEOLUS)</t>
  </si>
  <si>
    <t>SMP-95AT24122</t>
  </si>
  <si>
    <t>12x24x2 MERV 15 (95-100%) Synthetic Mini Pleat Filter (AEOLUS)</t>
  </si>
  <si>
    <t>SMP-95AT24202</t>
  </si>
  <si>
    <t>20x24x2 MERV 15 (95-100%) Synthetic Mini Pleat Filter (AEOLUS)</t>
  </si>
  <si>
    <t>SMP-95AT24242</t>
  </si>
  <si>
    <t>24x24x2 MERV 15 (95-100%) Synthetic Mini Pleat Filter (AEOLUS)</t>
  </si>
  <si>
    <t>SMP-95AT24244</t>
  </si>
  <si>
    <t>24x24x4  MERV 15 Synthetic Mini Pleat Filter</t>
  </si>
  <si>
    <t>SMP-98AT16204</t>
  </si>
  <si>
    <t>16x20x4 MERV 16 (95-100%) Synthetic Mini Pleat Filter (AEOLUS)</t>
  </si>
  <si>
    <t>SMP-98AT20202</t>
  </si>
  <si>
    <t>20x20x2 MERV 16 (95-100%) Synthetic Mini Pleat Filter (AEOLUS)</t>
  </si>
  <si>
    <t>SMP-98AT20252</t>
  </si>
  <si>
    <t>20x25x2 MERV 16 (95-100%) Synthetic Mini Pleat Filter (AEOLUS)</t>
  </si>
  <si>
    <t>SMP-98AT24122</t>
  </si>
  <si>
    <t>12x24x2 MERV 16 (95-100%) Synthetic Mini Pleat Filter (AEOLUS)</t>
  </si>
  <si>
    <t>SMP-98AT24202</t>
  </si>
  <si>
    <t>20x24x2 MERV 16 (95-100%) Synthetic Mini Pleat Filter (AEOLUS)</t>
  </si>
  <si>
    <t>SMP-98AT24242</t>
  </si>
  <si>
    <t>24x24x2 MERV 16 (95-100%) Synthetic Mini Pleat Filter (AEOLUS)</t>
  </si>
  <si>
    <t>SN3P</t>
  </si>
  <si>
    <t>Filter, Panel, SN3P, 580mmH x 650mmW x 98mmD (3.88")</t>
  </si>
  <si>
    <t>SN3P/001428F</t>
  </si>
  <si>
    <t>Filter, Panel, SN3P, 580mmH x 650mmW x 48mmD</t>
  </si>
  <si>
    <t>SN7S</t>
  </si>
  <si>
    <t>Filter, Bag, EFSF6SN7 / SN7S, 580mmH x 650mmW x 700mmD (22.8"x25.6"x27.6")</t>
  </si>
  <si>
    <t>SNGF/000230F</t>
  </si>
  <si>
    <t>Filter, Pad, SNGF, 580mmH x 650mmW</t>
  </si>
  <si>
    <t>ST718-00-03ZXC0</t>
  </si>
  <si>
    <t>HILCO Filter Cartridge</t>
  </si>
  <si>
    <t>Special Mini95-12122</t>
  </si>
  <si>
    <t>12x12x2 M-15 Nexfil MINI Pleat</t>
  </si>
  <si>
    <t>T60 1/1</t>
  </si>
  <si>
    <t>Viledon  24x24x26  60% Pocket</t>
  </si>
  <si>
    <t>T60 1/2</t>
  </si>
  <si>
    <t>Viledon 12x24x26 6 Pocket</t>
  </si>
  <si>
    <t>T60S 1/1</t>
  </si>
  <si>
    <t>Viledon  24x24x20  60% Pocket</t>
  </si>
  <si>
    <t>T60S1/2</t>
  </si>
  <si>
    <t>Viledon 12x24x20</t>
  </si>
  <si>
    <t>T90 1/1 - 8P</t>
  </si>
  <si>
    <t>Viledon  24x24x26  85%  8Pocket</t>
  </si>
  <si>
    <t>TP-SOCK-GTC</t>
  </si>
  <si>
    <t>Pre-filter sock for TurboPulse GTC style filters</t>
  </si>
  <si>
    <t>TP-WRAP-26-CON</t>
  </si>
  <si>
    <t>Pre-filter wrap for 26" Turbopulse Conical Filters w/out Velcro Strap</t>
  </si>
  <si>
    <t>TP-WRAP-26-CYN</t>
  </si>
  <si>
    <t>Pre-filter wrap for 26" Turbopulse Cylindrical Filters w/out Velcro Strap</t>
  </si>
  <si>
    <t>TP-WRAP-26V-CON</t>
  </si>
  <si>
    <t>Pre-filter wrap for 26" Turbopulse Conical Filters with Velcro Strap</t>
  </si>
  <si>
    <t>TP-WRAP-26V-CYN</t>
  </si>
  <si>
    <t>Pre-filter wrap for 26" Turbopulse Cylindrical Filters with Velcro Strap</t>
  </si>
  <si>
    <t>TPA-020</t>
  </si>
  <si>
    <t>Plastic Bracket for Pre-Filter for 24.24.4</t>
  </si>
  <si>
    <t>TPP-010</t>
  </si>
  <si>
    <t>G2 Pre-Filter Wrap 24.24.4</t>
  </si>
  <si>
    <t>TPV-002</t>
  </si>
  <si>
    <t>TPV002 V Panels 16" Deep 24x24x16 H12</t>
  </si>
  <si>
    <t>UF3201NSD</t>
  </si>
  <si>
    <t>UF3201NSD Uniflow Series Single Cartridge Liquid Vessel, 300 psi, 20"..Length, 1" FNPT, 316SS MOC..</t>
  </si>
  <si>
    <t>ULPA</t>
  </si>
  <si>
    <t>UVC</t>
  </si>
  <si>
    <t>V-CUBE 202515</t>
  </si>
  <si>
    <t>V-CUBE 20x25x15</t>
  </si>
  <si>
    <t>V-SOCK-2V1224</t>
  </si>
  <si>
    <t>2V SOCK 12x24x12 V-Bank Filters</t>
  </si>
  <si>
    <t>V-SOCK-2V2424</t>
  </si>
  <si>
    <t>2V SOCK 24x24x12 V-Bank Filters</t>
  </si>
  <si>
    <t>V-SOCK-4V1224</t>
  </si>
  <si>
    <t>4V SOCK 12x24x12 V-Bank Filters</t>
  </si>
  <si>
    <t>V-SOCK-4V2024</t>
  </si>
  <si>
    <t>4V SOCK 20x24x12 V-Bank Filters</t>
  </si>
  <si>
    <t>V-SOCK-4V2424</t>
  </si>
  <si>
    <t>4V SOCK 24x24x12 V-Bank Filters</t>
  </si>
  <si>
    <t>VEE-CUBE</t>
  </si>
  <si>
    <t>VEE CUBE</t>
  </si>
  <si>
    <t>VEE-CUBE 1/1</t>
  </si>
  <si>
    <t>VEE CUBE for 24x24x12 F7/F8</t>
  </si>
  <si>
    <t>VEE-CUBE 1/1-R</t>
  </si>
  <si>
    <t>Reverse VEE CUBE for 24x24x12 F7/F8 , w/Extra Flaps on each side</t>
  </si>
  <si>
    <t>VEE-CUBE 1/2</t>
  </si>
  <si>
    <t>VEE CUBE for 12x24x12 F7/F8</t>
  </si>
  <si>
    <t>VEE-CUBE 1/2-R</t>
  </si>
  <si>
    <t>Reverse VEE CUBE for 12x24x12 F7/F8 w/ Extra Flaps on each side</t>
  </si>
  <si>
    <t>VEE-SOCK 1/1</t>
  </si>
  <si>
    <t>24x24x12 MV/RP Moisture Coalescer</t>
  </si>
  <si>
    <t>VEE-SOCK 1/2</t>
  </si>
  <si>
    <t>12x24x12 MV/RP Moisture Coalescer</t>
  </si>
  <si>
    <t>VEE-SOCK 5/5</t>
  </si>
  <si>
    <t>VEE-SOCK 5/6</t>
  </si>
  <si>
    <t>20x24x12  MV/RP Moisture Coalesce</t>
  </si>
  <si>
    <t>VERSA � M 2�</t>
  </si>
  <si>
    <t>Part #11S000008 VERSA � M 2�</t>
  </si>
  <si>
    <t>VF80M</t>
  </si>
  <si>
    <t>VORTOX A 061085-C</t>
  </si>
  <si>
    <t>VP/00</t>
  </si>
  <si>
    <t>Viledon 20x20x2 Poly Panel</t>
  </si>
  <si>
    <t>VP/05</t>
  </si>
  <si>
    <t>Viledon 20x25x2 Poly Panel 20/case</t>
  </si>
  <si>
    <t>W 70X Paint Mist</t>
  </si>
  <si>
    <t>W 70X Secondary Separator 26.8"x23.3"x23.6"  (682x592x600) 9-Pocket  DownStream Gasket;  Plastic Frame</t>
  </si>
  <si>
    <t>WinAir 75 1/1 DSG</t>
  </si>
  <si>
    <t>Viledon WinAir 75 1/1 24x24x26 (Orange)</t>
  </si>
  <si>
    <t>WinAir 95 1/1 DSG</t>
  </si>
  <si>
    <t>Viledon WinAir 95 1/1 24x24x26 (Yellow)</t>
  </si>
  <si>
    <t>WinAir MVP-95 1/1 Non Recess</t>
  </si>
  <si>
    <t>WinAir MVP-95 1/2 Non Recess</t>
  </si>
  <si>
    <t>WinAir Pleat-2 1/1</t>
  </si>
  <si>
    <t>MERV8 Pleated Filter 24x24x2</t>
  </si>
  <si>
    <t>WinAir Pleat-2 1/2</t>
  </si>
  <si>
    <t>MERV8 Pleated Filter 12x24x2</t>
  </si>
  <si>
    <t>WinAirMVP-85-242412NR</t>
  </si>
  <si>
    <t>MERV 13, V2, 24x24x12 w/DSG</t>
  </si>
  <si>
    <t>XP-L-2100E</t>
  </si>
  <si>
    <t>XP-L-2100E..Parker XtreamPure Pleated Polypropylene Cartridge, 10 Micron, 6.2" OD..x 20" Length, Polypropylene Cage and End Caps, EPDM Seal, Temp..Limit: 180� F</t>
  </si>
  <si>
    <t>ZLN-SPECIAL</t>
  </si>
  <si>
    <t>Special Carbon Impregnated Pleat</t>
  </si>
  <si>
    <t>12x20x2 Carbon Impregnated Pleat</t>
  </si>
  <si>
    <t>12x24x2 Carbon Impregnated Pleat</t>
  </si>
  <si>
    <t>12x24x4 Carbon Impregnated Pleat</t>
  </si>
  <si>
    <t>ZLN13221AC-SP</t>
  </si>
  <si>
    <t>13.5x22x1 Special Carbon Impregnated Pleat</t>
  </si>
  <si>
    <t>14x20x2 Carbon Impregnated Pleat</t>
  </si>
  <si>
    <t>16x16x1 Carbon Impregnated Pleat</t>
  </si>
  <si>
    <t>16x16x2 Carbon Impregnated Pleat</t>
  </si>
  <si>
    <t>16x20x2 Carbon Impregnated Pleat</t>
  </si>
  <si>
    <t>ZLN16221AC- SP</t>
  </si>
  <si>
    <t>16x22x1 Special Carbon Impregnated Pleat</t>
  </si>
  <si>
    <t>16x24x2 Carbon Impregnated Pleat</t>
  </si>
  <si>
    <t>16x25x1 Carbon Impregnated Pleat</t>
  </si>
  <si>
    <t>16x25x2 Carbon Impregnated Pleat</t>
  </si>
  <si>
    <t>ZLN162564AC</t>
  </si>
  <si>
    <t>16x25x6 Cabrotron Pleat</t>
  </si>
  <si>
    <t>ZLN17221AC-SP</t>
  </si>
  <si>
    <t>17x22x1 Special Carbon Impregnated Pleat</t>
  </si>
  <si>
    <t>18x24x2 Carbon Impregnated Pleat</t>
  </si>
  <si>
    <t>20x16x2 Carbon Impregnated Pleat</t>
  </si>
  <si>
    <t>20x20x1 Carbon Impregnated Pleat</t>
  </si>
  <si>
    <t>20x20x2 Carbon Impregnated Pleat</t>
  </si>
  <si>
    <t>20x20x4 Carbon Impregnated Pleat</t>
  </si>
  <si>
    <t>20x22x1 Carbon Impregnated Pleat</t>
  </si>
  <si>
    <t>ZLN20241AC-SP</t>
  </si>
  <si>
    <t>20x24x1 Carbon Impregnated Pleat</t>
  </si>
  <si>
    <t>20x24x2 Carbon Impregnated Pleat</t>
  </si>
  <si>
    <t>20x24x4 Carbon Impregnated Pleat</t>
  </si>
  <si>
    <t>20x25x2 Carbon Impregnated Pleat</t>
  </si>
  <si>
    <t>20x25x4 Carbon Impregnated Pleat</t>
  </si>
  <si>
    <t>20x25x6 Carbotron Pleat</t>
  </si>
  <si>
    <t>20x30x1 Carbon Impregnated Pleat</t>
  </si>
  <si>
    <t>24x24x1 Carbon Impregnated Pleat</t>
  </si>
  <si>
    <t>24x24x2 Carbon Impregnated Pleat</t>
  </si>
  <si>
    <t>24x24x4 Carbon Impregnated Pleat</t>
  </si>
  <si>
    <t>25x25x1 Carbon Impregnated Pleat</t>
  </si>
  <si>
    <t>ZLP-SPECIAL</t>
  </si>
  <si>
    <t>Special Standard Capacity Pleat</t>
  </si>
  <si>
    <t>10x10x1 MERV10 Standard Capacity Pleat</t>
  </si>
  <si>
    <t>ZLP10161</t>
  </si>
  <si>
    <t>10x16x1 Special MERV10 Standard Capacity Pleat</t>
  </si>
  <si>
    <t>ZLP10174SP</t>
  </si>
  <si>
    <t>10 � x 17 � x 4 Special MERV10 Standard Capacity Pleat</t>
  </si>
  <si>
    <t>ZLP10181</t>
  </si>
  <si>
    <t>10x18x1 MERV10 Standard Capacity Pleat</t>
  </si>
  <si>
    <t>ZLP10182SP</t>
  </si>
  <si>
    <t>10x18x2 MERV10 Standard Capacity Pleat</t>
  </si>
  <si>
    <t>ZLP10194SP</t>
  </si>
  <si>
    <t>10 � x 19 x 4 Special MERV10 Standard Capacity Pleat</t>
  </si>
  <si>
    <t>10x20x1 MERV10 Standard Capacity Pleat</t>
  </si>
  <si>
    <t>10x20x2 MERV10 Standard Capacity Pleat</t>
  </si>
  <si>
    <t>ZLP10204SP</t>
  </si>
  <si>
    <t>10x20x4 SPECIAL MERV10 Standard Capacity Pleat</t>
  </si>
  <si>
    <t>10x24x1 MERV10 Standard Capacity Pleat</t>
  </si>
  <si>
    <t>ZLP10251SP</t>
  </si>
  <si>
    <t>10x25x1 SPECIAL MERV10 Standard Capacity Pleat</t>
  </si>
  <si>
    <t>ZLP10252SP</t>
  </si>
  <si>
    <t>10x25x2 MERV10 Special Standard Capacity Pleat</t>
  </si>
  <si>
    <t>ZLP10262SP</t>
  </si>
  <si>
    <t>10x26x2 Special  MERV10 Standard Capacity Pleat</t>
  </si>
  <si>
    <t>10x30x1 MERV10 Standard Capacity Pleat</t>
  </si>
  <si>
    <t>ZLP10302SP</t>
  </si>
  <si>
    <t>10x30x2 NOMINAL - Special MERV10 Standard Capacity Pleat</t>
  </si>
  <si>
    <t>ZLP10311SP</t>
  </si>
  <si>
    <t>10x31x1 MERV10 Standard Capacity Pleat</t>
  </si>
  <si>
    <t>ZLP10401SP</t>
  </si>
  <si>
    <t>10x40x1 Special Standard Capacity Pleat</t>
  </si>
  <si>
    <t>ZLP10441SP</t>
  </si>
  <si>
    <t>10x44x1 Special MERV10 Standard Capacity Pleat</t>
  </si>
  <si>
    <t>ZLP10801SP</t>
  </si>
  <si>
    <t>10x80x1 Special Standard Capacity Pleat</t>
  </si>
  <si>
    <t>ZLP11141SP</t>
  </si>
  <si>
    <t>11x14x1 Special MERV10 Standard Capacity Pleat</t>
  </si>
  <si>
    <t>ZLP11171SP</t>
  </si>
  <si>
    <t>11x17x1 SPECIAL MERV10 Standard Capacity Pleat</t>
  </si>
  <si>
    <t>ZLP11194SP</t>
  </si>
  <si>
    <t>11.375 x 19 x 4 Special MERV10 Standard Capacity Pleat</t>
  </si>
  <si>
    <t>ZLP11261SP</t>
  </si>
  <si>
    <t>11x26x1 Special  MERV10 Standard Capacity Pleat</t>
  </si>
  <si>
    <t>ZLP11262SP</t>
  </si>
  <si>
    <t>11x26x2 Special  MERV10 Standard Capacity Pleat</t>
  </si>
  <si>
    <t>ZLP11264SP</t>
  </si>
  <si>
    <t>11.375 x 26.875 x 4 Special MERV10 Standard Capacity Pleat</t>
  </si>
  <si>
    <t>12x12x1 MERV10 Standard Capacity Pleat</t>
  </si>
  <si>
    <t>12x12x2 MERV10 Standard Capacity Pleat</t>
  </si>
  <si>
    <t>ZLP12124SP</t>
  </si>
  <si>
    <t>12x12x4 MERV10 Special Standard Capacity Pleat</t>
  </si>
  <si>
    <t>ZLP12161SP</t>
  </si>
  <si>
    <t>12x16x1 MERV10 Special Standard Capacity Pleat</t>
  </si>
  <si>
    <t>ZLP12162SP</t>
  </si>
  <si>
    <t>12x16x2 MERV10 Special Standard Capacity Pleat</t>
  </si>
  <si>
    <t>12x20x1 MERV10 Standard Capacity Pleat</t>
  </si>
  <si>
    <t>12x20x2 MERV10 Standard Capacity Pleat</t>
  </si>
  <si>
    <t>12x24x1 MERV10 Standard Capacity Pleat</t>
  </si>
  <si>
    <t>12x24x2 MERV10 Standard Capacity Pleat</t>
  </si>
  <si>
    <t>12x24x4 MERV10 Standard Capacity Pleat</t>
  </si>
  <si>
    <t>12x25x1 MERV10 Standard Capacity Pleat</t>
  </si>
  <si>
    <t>ZLP12252SP</t>
  </si>
  <si>
    <t>12x25x2 MERV10 Special Standard Capacity Pleat</t>
  </si>
  <si>
    <t>12x30x1 MERV10 Standard Capacity Pleat</t>
  </si>
  <si>
    <t>ZLP12302SP</t>
  </si>
  <si>
    <t>12x30x2 Special  MERV10 Standard Capacity Pleat</t>
  </si>
  <si>
    <t>ZLP12361SP</t>
  </si>
  <si>
    <t>12x36x1 Special Standard Capacity Pleat</t>
  </si>
  <si>
    <t>ZLP12381SP</t>
  </si>
  <si>
    <t>12x38x1 Special Standard Capacity Pleat</t>
  </si>
  <si>
    <t>ZLP12422SP</t>
  </si>
  <si>
    <t>12x42x2 MERV10 Standard Capacity Pleat</t>
  </si>
  <si>
    <t>ZLP12452SP</t>
  </si>
  <si>
    <t>12.25 x 45.75 x 2 Special MERV10 Standard Capacity Pleat</t>
  </si>
  <si>
    <t>ZLP13174SP</t>
  </si>
  <si>
    <t>13 �  x  17 7/8  x  4 Special MERV10 Standard Capacity Pleat</t>
  </si>
  <si>
    <t>ZLP13221SP</t>
  </si>
  <si>
    <t>13.5x22x1 MERV10 Special Standard Capacity Pleat</t>
  </si>
  <si>
    <t>ZLP13271</t>
  </si>
  <si>
    <t>13x27x1 Special MERV10 Standard Capacity Pleat; EXACT</t>
  </si>
  <si>
    <t>ZLP13302SP</t>
  </si>
  <si>
    <t>13x30x2 Special MERV10 Standard Capacity Pleat</t>
  </si>
  <si>
    <t>14x14x1 MERV10 Standard Capacity Pleat</t>
  </si>
  <si>
    <t>ZLP14161SP</t>
  </si>
  <si>
    <t>ZLP14162</t>
  </si>
  <si>
    <t>14x16x2 Special MERV10 Standard Capacity Pleat</t>
  </si>
  <si>
    <t>ZLP14182SP</t>
  </si>
  <si>
    <t>14x18x2 Special Standard Capacity Pleat</t>
  </si>
  <si>
    <t>ZLP14184SP</t>
  </si>
  <si>
    <t>14x18x4 Special Standard Capacity Pleat</t>
  </si>
  <si>
    <t>14x20x1 Special Standard Capacity Pleat</t>
  </si>
  <si>
    <t>14x20x2 MERV10 Standard Capacity Pleat</t>
  </si>
  <si>
    <t>ZLP14211SP</t>
  </si>
  <si>
    <t>14x21x1 MERV10 Special Standard Capacity Pleat</t>
  </si>
  <si>
    <t>ZLP14221SP</t>
  </si>
  <si>
    <t>14x22x1 SPECIAL MERV10 Standard Capacity Pleat</t>
  </si>
  <si>
    <t>ZLP14231SP</t>
  </si>
  <si>
    <t>14x23x1 SPECIAL MERV10 Standard Capacity Pleat</t>
  </si>
  <si>
    <t>14x24x1 MERV10 Standard Capacity Pleat</t>
  </si>
  <si>
    <t>ZLP14244SP</t>
  </si>
  <si>
    <t>14x24x4 MERV10 Special Standard Capacity Pleat</t>
  </si>
  <si>
    <t>14x25x1 MERV10 Standard Capacity Pleat</t>
  </si>
  <si>
    <t>14x25x2 MERV10 Standard Capacity Pleat</t>
  </si>
  <si>
    <t>ZLP14252SP</t>
  </si>
  <si>
    <t>14x25x2 SPECIAL MERV10 Standard Capacity Pleat</t>
  </si>
  <si>
    <t>ZLP14261SP</t>
  </si>
  <si>
    <t>14x26x1 MERV10 Special Standard Capacity Pleat</t>
  </si>
  <si>
    <t>ZLP14271</t>
  </si>
  <si>
    <t>14x27x1 Special MERV10 Standard Capacity Pleat</t>
  </si>
  <si>
    <t>14x30x1 MERV10 Standard Capacity Pleat</t>
  </si>
  <si>
    <t>ZLP14302SP</t>
  </si>
  <si>
    <t>14x30x2 Special MERV10 Standard Capacity Pleat</t>
  </si>
  <si>
    <t>ZLP14304SP</t>
  </si>
  <si>
    <t>14 1/2 x 30 5/8 x 4 Special MERV10 Standard Capacity Pleat;</t>
  </si>
  <si>
    <t>ZLP14461</t>
  </si>
  <si>
    <t>14x46x1 Special MERV10 Standard Capacity Pleat</t>
  </si>
  <si>
    <t>ZLP15.515.52SP</t>
  </si>
  <si>
    <t>15 1/2 x 15 1/2 x 2 Special MERV10 Standard Capacity Pleat</t>
  </si>
  <si>
    <t>ZLP15.7535.752SP</t>
  </si>
  <si>
    <t>15 3/4x 35 3/4x 2 SPECIAL MERV10 Standard Capacity Pleat</t>
  </si>
  <si>
    <t>ZLP15151SP</t>
  </si>
  <si>
    <t>15x15x1 Special MERV10 Standard Capacity Pleat</t>
  </si>
  <si>
    <t>ZLP15152SP</t>
  </si>
  <si>
    <t>15  x 15 x 2 Special MERV10 Standard Capacity Pleat</t>
  </si>
  <si>
    <t>ZLP15154SP</t>
  </si>
  <si>
    <t>15 x 15 x 4 Special MERV10 Standard Capacity Pleat</t>
  </si>
  <si>
    <t>15x20x1 MERV10 Standard Capacity Pleat</t>
  </si>
  <si>
    <t>15x20x2 MERV10 Standard Capacity Pleat</t>
  </si>
  <si>
    <t>ZLP15232SP</t>
  </si>
  <si>
    <t>15x23x2 Special  MERV10 Standard Capacity Pleat</t>
  </si>
  <si>
    <t>ZLP15251SP</t>
  </si>
  <si>
    <t>15x25x1 Special MERV10 Standard Capacity Pleat</t>
  </si>
  <si>
    <t>ZLP15252</t>
  </si>
  <si>
    <t>15x25x2 MERV10 Standard Capacity Pleat</t>
  </si>
  <si>
    <t>ZLP15271SP</t>
  </si>
  <si>
    <t>15 x 27 x 1 Special MERV10 Standard Capacity Pleat</t>
  </si>
  <si>
    <t>ZLP15291SP</t>
  </si>
  <si>
    <t>15 x 29 x 1 Special MERV10 Standard Capacity Pleat; EXACT</t>
  </si>
  <si>
    <t>ZLP15301</t>
  </si>
  <si>
    <t>15x30x1 Special MERV10 Standard Capacity Pleat</t>
  </si>
  <si>
    <t>ZLP15302</t>
  </si>
  <si>
    <t>15x30x2 MERV10 Standard Capacity Pleat</t>
  </si>
  <si>
    <t>ZLP15305/81SP</t>
  </si>
  <si>
    <t>15x30 5/8x1 MERV10 Standard Capacity Pleat</t>
  </si>
  <si>
    <t>ZLP15311SP</t>
  </si>
  <si>
    <t>15x31x1 Special MERV10 Standard Capacity Pleat</t>
  </si>
  <si>
    <t>ZLP161/4172SP</t>
  </si>
  <si>
    <t>16 1/4x17 3/4x2 MERV10 Special Standard Capacity Pleat</t>
  </si>
  <si>
    <t>ZLP161/4241SP</t>
  </si>
  <si>
    <t>16 1/4x24x1 MERV10 Special Standard Capacity Pleat</t>
  </si>
  <si>
    <t>ZLP161/4242SP</t>
  </si>
  <si>
    <t>16 1/4x24x2 MERV10 Special Standard Capacity Pleat</t>
  </si>
  <si>
    <t>16x16x1 MERV10 Standard Capacity Pleat</t>
  </si>
  <si>
    <t>16x16x2 MERV10 Standard Capacity Pleat</t>
  </si>
  <si>
    <t>ZLP16164SP</t>
  </si>
  <si>
    <t>16x16x4 MERV10 Standard Capacity Pleat</t>
  </si>
  <si>
    <t>ZLP16182SP</t>
  </si>
  <si>
    <t>16x18x2 SPECIAL MERV10 Standard Capacity Pleat</t>
  </si>
  <si>
    <t>16x20x1 MERV10 Standard Capacity Pleat</t>
  </si>
  <si>
    <t>16x20x2 MERV10 Standard Capacity Pleat</t>
  </si>
  <si>
    <t>16x20x4 MERV10 Standard Capacity Pleat</t>
  </si>
  <si>
    <t>ZLP16221</t>
  </si>
  <si>
    <t>16x22x1 Special MERV10 Standard Capacity Pleat</t>
  </si>
  <si>
    <t>16x24x1 MERV10 Standard Capacity Pleat</t>
  </si>
  <si>
    <t>16x24x2 MERV10 Standard Capacity Pleat</t>
  </si>
  <si>
    <t>ZLP16242SP</t>
  </si>
  <si>
    <t>16 1/4x24x2  MERV10 Special Standard Capacity Pleat</t>
  </si>
  <si>
    <t>16x24x4 MERV10 Standard Capacity Pleat</t>
  </si>
  <si>
    <t>16x25x1 MERV10 Standard Capacity Pleat</t>
  </si>
  <si>
    <t>16x25x2 MERV10 Standard Capacity Pleat</t>
  </si>
  <si>
    <t>16x25x4 MERV10 Standard Capacity Pleat</t>
  </si>
  <si>
    <t>ZLP163/4241SP</t>
  </si>
  <si>
    <t>16 3/4x24x1 MERV10 Special Standard Capacity Pleat</t>
  </si>
  <si>
    <t>ZLP163/4242SP</t>
  </si>
  <si>
    <t>16 3/4x24x2 MERV10 Special Standard Capacity Pleat</t>
  </si>
  <si>
    <t>16x30x1 MERV10 Standard Capacity Pleat</t>
  </si>
  <si>
    <t>ZLP16302</t>
  </si>
  <si>
    <t>16x30x2 MERV10 Standard Capacity Pleat</t>
  </si>
  <si>
    <t>ZLP16321SP</t>
  </si>
  <si>
    <t>16x32x1 SPECIAL MERV10 Standard Capacity Pleat</t>
  </si>
  <si>
    <t>ZLP16322SP</t>
  </si>
  <si>
    <t>16x32x2 SPECIAL MERV10 Standard Capacity Pleat</t>
  </si>
  <si>
    <t>ZLP16422SP</t>
  </si>
  <si>
    <t>16x42x2 SPECIAL MERV10 Standard Capacity Pleat</t>
  </si>
  <si>
    <t>ZLP171/4282SP</t>
  </si>
  <si>
    <t>17 1/4 x 28x2 Special  MERV10 Standard Capacity Pleat</t>
  </si>
  <si>
    <t>ZLP17221SP</t>
  </si>
  <si>
    <t>17x22x1 MERV10 Special Standard Capacity Pleat</t>
  </si>
  <si>
    <t>ZLP17232SP</t>
  </si>
  <si>
    <t>17x23x2 Special  MERV10 Standard Capacity Pleat</t>
  </si>
  <si>
    <t>ZLP17331SP</t>
  </si>
  <si>
    <t>17 3/4x33x1  MERV10 Special Standard Capacity Pleat</t>
  </si>
  <si>
    <t>ZLP17332SP</t>
  </si>
  <si>
    <t>17 3/4x33x2  MERV10 Special Standard Capacity Pleat</t>
  </si>
  <si>
    <t>ZLP17352SP</t>
  </si>
  <si>
    <t>17x35x2 Special  MERV10 Standard Capacity Pleat</t>
  </si>
  <si>
    <t>ZLP181/292SP</t>
  </si>
  <si>
    <t>18 1/2 x 9 1/2 x 2 Special MERV10 Standard Capacity Pleat</t>
  </si>
  <si>
    <t>ZLP18164SP</t>
  </si>
  <si>
    <t>18x16x4 SPECIAL MERV10 Standard Capacity Pleat</t>
  </si>
  <si>
    <t>18x18x1 MERV10 Standard Capacity Pleat</t>
  </si>
  <si>
    <t>18x18x2 MERV10 Standard Capacity Pleat</t>
  </si>
  <si>
    <t>ZLP18184SP</t>
  </si>
  <si>
    <t>18x18x4 SPECIAL MERV10 Standard Capacity Pleat</t>
  </si>
  <si>
    <t>18x20x1 MERV10 Standard Capacity Pleat</t>
  </si>
  <si>
    <t>18x20x2 MERV10 Standard Capacity Pleat</t>
  </si>
  <si>
    <t>ZLP18204</t>
  </si>
  <si>
    <t>18x20x4 MERV10 Standard Capacity Pleat</t>
  </si>
  <si>
    <t>ZLP18221SP</t>
  </si>
  <si>
    <t>18x22x1 Special MERV10 Standard Capacity Plea</t>
  </si>
  <si>
    <t>ZLP18222</t>
  </si>
  <si>
    <t>18x22x2 MERV10 Standard Capacity Plea</t>
  </si>
  <si>
    <t>18x24x1 MERV10 Standard Capacity Pleat</t>
  </si>
  <si>
    <t>18x24x2 MERV10 Standard Capacity Pleat</t>
  </si>
  <si>
    <t>18x24x4 MERV10 Standard Capacity Pleat</t>
  </si>
  <si>
    <t>18x25x1 MERV10 Standard Capacity Pleat</t>
  </si>
  <si>
    <t>18x25x2 MERV10 Standard Capacity Pleat</t>
  </si>
  <si>
    <t>18x30x1 MERV10 Standard Capacity Pleat</t>
  </si>
  <si>
    <t>ZLP18302SP</t>
  </si>
  <si>
    <t>18x30x2 Special MERV10 Standard Capacity Pleat</t>
  </si>
  <si>
    <t>ZLP18312SP</t>
  </si>
  <si>
    <t>18 x 31.5 x 2 Special MERV10 Standard Capacity Pleat</t>
  </si>
  <si>
    <t>ZLP18371SP</t>
  </si>
  <si>
    <t>18x37x1 Special  MERV10 Standard Capacity Pleat</t>
  </si>
  <si>
    <t>ZLP191/2271</t>
  </si>
  <si>
    <t>19 1/2x27x1 Special MERV10 Standard Capacity Pleat</t>
  </si>
  <si>
    <t>ZLP191/2312SP</t>
  </si>
  <si>
    <t>19 1/2 x 31 x 2 Special  MERV10 Standard Capacity Pleat</t>
  </si>
  <si>
    <t>ZLP19242SP</t>
  </si>
  <si>
    <t>19x24x2 Special  MERV10 Standard Capacity Pleat; EXACT</t>
  </si>
  <si>
    <t>ZLP19271</t>
  </si>
  <si>
    <t>19x27x1 Special MERV10 Standard Capacity Pleat</t>
  </si>
  <si>
    <t>ZLP201/4192SP</t>
  </si>
  <si>
    <t>20 1/4 x 19 1/2 x 2 Special  MERV10 Standard Capacity Pleat</t>
  </si>
  <si>
    <t>20x20x1 MERV10 Standard Capacity Pleat</t>
  </si>
  <si>
    <t>20x20x2 MERV10 Standard Capacity Pleat</t>
  </si>
  <si>
    <t>20x20x4 MERV10 Standard Capacity Pleat</t>
  </si>
  <si>
    <t>20x22x1 MERV10 Standard Capacity Pleat</t>
  </si>
  <si>
    <t>ZLP20222SP</t>
  </si>
  <si>
    <t>20x22x2 Special MERV10 Standard Capacity Pleat</t>
  </si>
  <si>
    <t>20x24x1 MERV10 Standard Capacity Pleat</t>
  </si>
  <si>
    <t>20x24x2 MERV10 Standard Capacity Pleat</t>
  </si>
  <si>
    <t>20x24x4 MERV10 Standard Capacity Pleat</t>
  </si>
  <si>
    <t>20x25x1 MERV10 Standard Capacity Pleat</t>
  </si>
  <si>
    <t>20x25x2 MERV10 Standard Capacity Pleat</t>
  </si>
  <si>
    <t>20x25x4 MERV10 Standard Capacity Pleat</t>
  </si>
  <si>
    <t>20x30x1 MERV10 Standard Capacity Pleat</t>
  </si>
  <si>
    <t>20x30x2 MERV10 Standard Capacity Pleat</t>
  </si>
  <si>
    <t>ZLP20302SP</t>
  </si>
  <si>
    <t>20x30x2 MERV10 Standard Capacity Pleat; EXACT</t>
  </si>
  <si>
    <t>ZLP20352</t>
  </si>
  <si>
    <t>20x35x2MERV10 Standard Capacity Pleat</t>
  </si>
  <si>
    <t>ZLP211/2202SP</t>
  </si>
  <si>
    <t>21-1/2x20-1/2 x2  SPECIAL MERV10 Standard Capacity Pleat</t>
  </si>
  <si>
    <t>ZLP21172SP</t>
  </si>
  <si>
    <t>21 1/2x17 3/4x2 MERV10 Special Standard Capacity Pleat</t>
  </si>
  <si>
    <t>ZLP21211</t>
  </si>
  <si>
    <t>21x21x1 MERV10 Standard Capacity Pleat</t>
  </si>
  <si>
    <t>ZLP21231SP</t>
  </si>
  <si>
    <t>21x23x1 SPECIAL MERV10 Standard Capacity Pleat</t>
  </si>
  <si>
    <t>ZLP21282</t>
  </si>
  <si>
    <t>21x28x2 MERV10 Standard Capacity Pleat</t>
  </si>
  <si>
    <t>22x22x1 MERV10 Standard Capacity Pleat</t>
  </si>
  <si>
    <t>ZLP22222SP</t>
  </si>
  <si>
    <t>22x22x2 MERV10 Standard Capacity Pleat</t>
  </si>
  <si>
    <t>ZLP22241SP</t>
  </si>
  <si>
    <t>22x24x1 MERV10 Special Standard Capacity Pleat</t>
  </si>
  <si>
    <t>ZLP22262SP</t>
  </si>
  <si>
    <t>22x26x2 Special  MERV10 Standard Capacity Pleat</t>
  </si>
  <si>
    <t>ZLP22271SP</t>
  </si>
  <si>
    <t>22x27x1 MERV10 Standard Capacity Pleat, Special</t>
  </si>
  <si>
    <t>ZLP23304SP</t>
  </si>
  <si>
    <t>23x30x4 MERV10 Standard Capacity Pleat</t>
  </si>
  <si>
    <t>24x24x1 MERV10 Standard Capacity Pleat</t>
  </si>
  <si>
    <t>24x24x2 MERV10 Standard Capacity Pleat</t>
  </si>
  <si>
    <t>24x24x4 MERV10 Standard Capacity Pleat</t>
  </si>
  <si>
    <t>ZLP24251SP</t>
  </si>
  <si>
    <t>24x25x1 MERV10 Special High Capacity Pleat</t>
  </si>
  <si>
    <t>ZLP24252SP</t>
  </si>
  <si>
    <t>24x25x2 MERV10 Special High Capacity Pleat</t>
  </si>
  <si>
    <t>ZLP24282SP</t>
  </si>
  <si>
    <t>24x28x2 Special MERV10 Standard Capacity Pleat</t>
  </si>
  <si>
    <t>24x30x1 MERV10 Standard Capacity Pleat</t>
  </si>
  <si>
    <t>25x25x1 MERV10 Standard Capacity Pleat</t>
  </si>
  <si>
    <t>25x25x2 MERV10 Standard Capacity Pleat</t>
  </si>
  <si>
    <t>ZLP25301SP</t>
  </si>
  <si>
    <t>25x30x1 (MERV 10) SC Pleated Filter, SPCL</t>
  </si>
  <si>
    <t>ZLP28.529.54SP</t>
  </si>
  <si>
    <t>28.5x29.5x4 Special  MERV10 Standard Capacity Pleat</t>
  </si>
  <si>
    <t>ZLP29171/22SP</t>
  </si>
  <si>
    <t>29x17 1/2 x 2 Special  MERV10 Standard Capacity Pleat</t>
  </si>
  <si>
    <t>ZLP29291SP</t>
  </si>
  <si>
    <t>29 1/2 x 29 1/2 x 1 SPECIAL MERV10 Standard Capacity Pleat</t>
  </si>
  <si>
    <t>ZLP29292SP</t>
  </si>
  <si>
    <t>29 1/2 x 29 1/2 x 2 SPECIAL MERV10 Standard Capacity Pleat</t>
  </si>
  <si>
    <t>ZLP29294-SP</t>
  </si>
  <si>
    <t>29 1/2 x 29 12 x 4 Special  MERV10 Standard Capacity Pleat</t>
  </si>
  <si>
    <t>ZLP301/2172SP</t>
  </si>
  <si>
    <t>30 1/2 x 17 1/4 x 2 Special  MERV10 Standard Capacity Pleat</t>
  </si>
  <si>
    <t>ZLP30442SP</t>
  </si>
  <si>
    <t>30x44x2 (MERV 10) SC Pleated Filter, SPCL</t>
  </si>
  <si>
    <t>ZLP6341SP</t>
  </si>
  <si>
    <t>6 1/4 x 34 x 1 Special Standard Capacity Pleat</t>
  </si>
  <si>
    <t>ZLP7301SP</t>
  </si>
  <si>
    <t>7x30x1 MERV10 Special Standard Capacity Pleat</t>
  </si>
  <si>
    <t>ZLP7381SP</t>
  </si>
  <si>
    <t>7x38x1 MERV10 Special Standard Capacity Pleat</t>
  </si>
  <si>
    <t>ZLP8161</t>
  </si>
  <si>
    <t>8x16x1 Special MERV10 Standard Capacity Pleat</t>
  </si>
  <si>
    <t>ZLP8241</t>
  </si>
  <si>
    <t>8x24x1 Special MERV10 Standard Capacity Pleat</t>
  </si>
  <si>
    <t>ZLP8241SP</t>
  </si>
  <si>
    <t>8x24x1 (MERV 10) SC Pleated Filter, SPCL</t>
  </si>
  <si>
    <t>ZLP8341</t>
  </si>
  <si>
    <t>8x34x1 Special MERV10 Standard Capacity Pleat</t>
  </si>
  <si>
    <t>ZLP8341SP</t>
  </si>
  <si>
    <t>8x34x1 (MERV 10) SC Pleated Filter, SPCL</t>
  </si>
  <si>
    <t>ZLP91/2172SP</t>
  </si>
  <si>
    <t>9 1/2 x17 1/2 x 2  Special  MERV10 Standard Capacity Pleat</t>
  </si>
  <si>
    <t>ZLP9242SP</t>
  </si>
  <si>
    <t>ZLP9292SP</t>
  </si>
  <si>
    <t>9 1/2 x 29 1/2 x 2  Special  MERV10 Standard Capacity Pleat; EXACT</t>
  </si>
  <si>
    <t>ZLPSP13H27F1E</t>
  </si>
  <si>
    <t>13.5 x 27.375 x 1 MERV 10 Special ZLP Pleat Exact</t>
  </si>
  <si>
    <t>ZLPSP15301SP</t>
  </si>
  <si>
    <t>15x30x1 Merv 10 Special Pleat</t>
  </si>
  <si>
    <t>12x24x12 Rigid Box Filter 95% Fiberglass</t>
  </si>
  <si>
    <t>ZPK24241285</t>
  </si>
  <si>
    <t>24.0 X 24.0 X 12 in Glass Z-PAK MERV 13 (85%) Box  Nominal</t>
  </si>
  <si>
    <t>ZPK24241295</t>
  </si>
  <si>
    <t>24x24x12 Rigid Box Filter 95% Fiberglass</t>
  </si>
  <si>
    <t>ZPK2424695HO</t>
  </si>
  <si>
    <t>24x24x6 Rigid Box Filter 95% Fiberglass HEADER</t>
  </si>
  <si>
    <t>ZPS-SPECIAL</t>
  </si>
  <si>
    <t>Special Synthetic Rigid Box Filter</t>
  </si>
  <si>
    <t>ZPS122012-95H</t>
  </si>
  <si>
    <t>12x20x12 Sythetic Z-Pack 95% Header</t>
  </si>
  <si>
    <t>ZPS122012-95NH</t>
  </si>
  <si>
    <t>12x20x12 Sythetic Z-Pack 95% No Header</t>
  </si>
  <si>
    <t>ZPS12206-95H</t>
  </si>
  <si>
    <t>12x20x6 Sythetic Z-Pack 95% Header</t>
  </si>
  <si>
    <t>ZPS122412-65NH</t>
  </si>
  <si>
    <t>12x24x12 Synthetic Media 65% Rigid Box Filter Non-Headered</t>
  </si>
  <si>
    <t>ZPS122412-85H</t>
  </si>
  <si>
    <t>12x24x12 Synthetic Media 85% Rigid Box Filter Headered</t>
  </si>
  <si>
    <t>ZPS122412-85NH</t>
  </si>
  <si>
    <t>12x24x12 Synthetic Media 85% Rigid Box Filter Non-Headered</t>
  </si>
  <si>
    <t>ZPS122412-95H</t>
  </si>
  <si>
    <t>12x24x12 Synthetic Media 95% Rigid Box Filters Single Header</t>
  </si>
  <si>
    <t>ZPS122412-95NH</t>
  </si>
  <si>
    <t>12x24x12 Synthetic Media 95% Rigid Box Filter Non-Headered</t>
  </si>
  <si>
    <t>ZPS12241265HO</t>
  </si>
  <si>
    <t>12x24x12 Rigid Box Filter 65% Header</t>
  </si>
  <si>
    <t>ZPS12241285BO</t>
  </si>
  <si>
    <t>12.0 X 24.0 X 12 in Synthetic Z-PAK MERV 13 (85%) Box Frame Nominal, Non-Headered</t>
  </si>
  <si>
    <t>12.0 X 24.0 X 12 inch Synthetic Z-PAK MERV 14 (95%) Box Style Nominal Size</t>
  </si>
  <si>
    <t>12x24x12 Rigid Box Filter 95% Header</t>
  </si>
  <si>
    <t>ZPS122412F-95NH</t>
  </si>
  <si>
    <t>12x24x12 Fiberglass Media (MERV 15) 95% Rigid Box Filter Non-Headered</t>
  </si>
  <si>
    <t>ZPS12246-Merv14</t>
  </si>
  <si>
    <t>12x24x6 Synthetic Merv 14 Rigid Box Filter</t>
  </si>
  <si>
    <t>ZPS1224665-NH</t>
  </si>
  <si>
    <t>12x24x6 Synthetic 65% Rigid Box Non-Header</t>
  </si>
  <si>
    <t>ZPS1224665HO</t>
  </si>
  <si>
    <t>12x24x6 (MERV 14) Synthetic 65% Rigid Box HEADERED</t>
  </si>
  <si>
    <t>ZPS1224695-HO</t>
  </si>
  <si>
    <t>12 X 24 X 6 in Synthetic Z-PAK MERV 14 (95%) Box Nominal HEADERED</t>
  </si>
  <si>
    <t>ZPS1224695-NH</t>
  </si>
  <si>
    <t>12 X 24 X 6 in Synthetic Z-PAK MERV 14 (95%) Box Nominal</t>
  </si>
  <si>
    <t>ZPS162012-95DH</t>
  </si>
  <si>
    <t>16x20x12 Synthetic Media 95% Rigid Box Filter Double-Headered</t>
  </si>
  <si>
    <t>ZPS16201285HO</t>
  </si>
  <si>
    <t>16x20x12 Synthetic Z-PAK MERV 13 (85%) Header</t>
  </si>
  <si>
    <t>ZPS16201295BO</t>
  </si>
  <si>
    <t>16x20x12 Rigid Air Box Sytle filter 95% Metal Frame</t>
  </si>
  <si>
    <t>ZPS16201295HO</t>
  </si>
  <si>
    <t>16x20x12 Rigid Air Box Sytle filter 95% Metal Frame Single Header</t>
  </si>
  <si>
    <t>ZPS1620685H</t>
  </si>
  <si>
    <t>16.0 X 20.0 X 6 in Synthetic Z-PAK MERV13..(85%) Box Nominal-HEADER</t>
  </si>
  <si>
    <t>ZPS162512-95DH</t>
  </si>
  <si>
    <t>16x25x12 Synthetic Media 95% Rigid Box Filter Double-Headered</t>
  </si>
  <si>
    <t>ZPS162512-95NH</t>
  </si>
  <si>
    <t>16x25x12 Synthetic Media 95% Rigid Box Filter Non-Headered</t>
  </si>
  <si>
    <t>ZPS202012-85 NH</t>
  </si>
  <si>
    <t>20x20x12 Rigid Box Filters 85% Synthetic Non Headered</t>
  </si>
  <si>
    <t>ZPS202012-95DH</t>
  </si>
  <si>
    <t>20x20x12 Synthetic Media 95% Rigid Box Filter Double-Headered</t>
  </si>
  <si>
    <t>ZPS202012-95H</t>
  </si>
  <si>
    <t>20x20x12 Synthetic Media 95% Rigid Box Filter Headered</t>
  </si>
  <si>
    <t>ZPS202012-95NH</t>
  </si>
  <si>
    <t>20x20x12 Synthetic Media 95% Rigid Box Filter Non-Headered</t>
  </si>
  <si>
    <t>ZPS20201285HO</t>
  </si>
  <si>
    <t>20x20x12 Synthetic Z-PAK MERV 13 (85%) Header</t>
  </si>
  <si>
    <t>ZPS20206-95H</t>
  </si>
  <si>
    <t>20x20x6 Synthetic Z-Pack 95% Header</t>
  </si>
  <si>
    <t>ZPS202412-95H</t>
  </si>
  <si>
    <t>20x24x12 Synthetic Media 95% Rigid Box Filter Headered</t>
  </si>
  <si>
    <t>ZPS202412-95NH</t>
  </si>
  <si>
    <t>20x24x12 Synthetic Media 95% Rigid Box Filter - No Headered</t>
  </si>
  <si>
    <t>ZPS20246-65H</t>
  </si>
  <si>
    <t>20x24x6 Synthetic Z-Pack 65% Header</t>
  </si>
  <si>
    <t>ZPS20246-95H</t>
  </si>
  <si>
    <t>20x24x6 Synthetic Z-Pack 95% Header</t>
  </si>
  <si>
    <t>ZPS202512-95NH</t>
  </si>
  <si>
    <t>20x25x12 Synthetic Media 95% Rigid Box Filter Non-Headered</t>
  </si>
  <si>
    <t>ZPS2025685-H</t>
  </si>
  <si>
    <t>20x25x6 Synthetic Media 85% Rigid Box Filter Non-Headered</t>
  </si>
  <si>
    <t>ZPS242412-65NH</t>
  </si>
  <si>
    <t>24x24x12 Synthetic Media 65% Rigid Box Filter Non-Headered</t>
  </si>
  <si>
    <t>ZPS242412-85H</t>
  </si>
  <si>
    <t>24x24x12 Synthetic Media 85% Rigid Box Filter Headered</t>
  </si>
  <si>
    <t>ZPS242412-85NH</t>
  </si>
  <si>
    <t>24x24x12 Synthetic Media 85% Rigid Box Filter Non-Headered</t>
  </si>
  <si>
    <t>ZPS242412-95H</t>
  </si>
  <si>
    <t>24x24x12 Rigid Box Filters 95% Sythentic Single Header</t>
  </si>
  <si>
    <t>ZPS242412-95NH</t>
  </si>
  <si>
    <t>24x24x12 Synthetic Media 95% Rigid Box Filter Non-Headered</t>
  </si>
  <si>
    <t>ZPS24241265HO</t>
  </si>
  <si>
    <t>24x24x12 Rigid Box Filter 65% Header</t>
  </si>
  <si>
    <t>ZPS24241285BO</t>
  </si>
  <si>
    <t>24.0 X 24.0 X 12 in Synthetic Z-PAK MERV 13 (85%) Box Frame Nominal, Non-Headered</t>
  </si>
  <si>
    <t>24x24x12 Rigid Box Filter 95% Header</t>
  </si>
  <si>
    <t>ZPS242412F-95NH</t>
  </si>
  <si>
    <t>24x24x12 Fiberglass Media (MERV 15) 95% Rigid Box Filter Non-Headered</t>
  </si>
  <si>
    <t>24x24x6 Synthetic 85% Rigid Box Filter</t>
  </si>
  <si>
    <t>ZPS24246-85NH</t>
  </si>
  <si>
    <t>24x24x6 Sythetic Z-Pack 85% No Header</t>
  </si>
  <si>
    <t>ZPS24246-Merv14</t>
  </si>
  <si>
    <t>24x24x6 Synthetic Merv 14 Rigid Box Filter</t>
  </si>
  <si>
    <t>ZPS2424665-NH</t>
  </si>
  <si>
    <t>24x24x6 Synthetic 65% Rigid Box Non-Header</t>
  </si>
  <si>
    <t>ZPS2424665HO</t>
  </si>
  <si>
    <t>24x24x6 Synthetic 65% Rigid Box HEADERED</t>
  </si>
  <si>
    <t>ZPS2424695-HO</t>
  </si>
  <si>
    <t>24 X 24 X 6 in Synthetic Z-PAK MERV 14 (95%) Box Nominal HEADERED</t>
  </si>
  <si>
    <t>ZPS2424695-NH</t>
  </si>
  <si>
    <t>24 X 24 X 6 in Synthetic Z-PAK MERV 14 (95%) Box Nominal</t>
  </si>
  <si>
    <t>ZPS2424695BO</t>
  </si>
  <si>
    <t>24x24x6 Synthetic MERV 14 Rigid Box Non-Header</t>
  </si>
  <si>
    <t>ZPS2520685HO</t>
  </si>
  <si>
    <t>25.0 X 20.0 X 6 in Synthetic Z-PAK MERV 13 (85%) Header Nominal</t>
  </si>
  <si>
    <t>eMaxx E-10 1/1 DSGP</t>
  </si>
  <si>
    <t>24" x 24" x 17" eMaxx High Efficiency Cassette Filter w/DSG Foamed-on PU</t>
  </si>
  <si>
    <t>la palma</t>
  </si>
  <si>
    <t>2027-2028</t>
  </si>
  <si>
    <t>2026-2027</t>
  </si>
  <si>
    <t>WA</t>
  </si>
  <si>
    <t>FP 200</t>
  </si>
  <si>
    <t>montclair</t>
  </si>
  <si>
    <t>4250-2ply</t>
  </si>
  <si>
    <t>HVP16322</t>
  </si>
  <si>
    <t>HBH</t>
  </si>
  <si>
    <t>CENTINELA</t>
  </si>
  <si>
    <r>
      <t>tax not included</t>
    </r>
    <r>
      <rPr>
        <b/>
        <sz val="9"/>
        <color rgb="FF000000"/>
        <rFont val="Verdana"/>
        <family val="2"/>
      </rPr>
      <t xml:space="preserve"> *</t>
    </r>
  </si>
  <si>
    <t>ZLN201642AC</t>
  </si>
  <si>
    <t>ZLN2025644AC</t>
  </si>
  <si>
    <t>something went wrong or no NA</t>
  </si>
  <si>
    <t>10x16</t>
  </si>
  <si>
    <t xml:space="preserve">10 � </t>
  </si>
  <si>
    <t>10x18</t>
  </si>
  <si>
    <t>10x20</t>
  </si>
  <si>
    <t>10x25</t>
  </si>
  <si>
    <t>10x26</t>
  </si>
  <si>
    <t>10x30</t>
  </si>
  <si>
    <t>10x31</t>
  </si>
  <si>
    <t>10x40</t>
  </si>
  <si>
    <t>10x44</t>
  </si>
  <si>
    <t>10x80</t>
  </si>
  <si>
    <t>11x14</t>
  </si>
  <si>
    <t>11x17</t>
  </si>
  <si>
    <t>11.37</t>
  </si>
  <si>
    <t>11x26</t>
  </si>
  <si>
    <t>12x12</t>
  </si>
  <si>
    <t>12x16</t>
  </si>
  <si>
    <t>12x25</t>
  </si>
  <si>
    <t>12x30</t>
  </si>
  <si>
    <t>12x36</t>
  </si>
  <si>
    <t>12x38</t>
  </si>
  <si>
    <t>12x42</t>
  </si>
  <si>
    <t>12.25</t>
  </si>
  <si>
    <t xml:space="preserve">13 � </t>
  </si>
  <si>
    <t>13.5x</t>
  </si>
  <si>
    <t>13x27</t>
  </si>
  <si>
    <t>13x30</t>
  </si>
  <si>
    <t>14x16</t>
  </si>
  <si>
    <t>14x18</t>
  </si>
  <si>
    <t>14x21</t>
  </si>
  <si>
    <t>14x22</t>
  </si>
  <si>
    <t>14x23</t>
  </si>
  <si>
    <t>14x24</t>
  </si>
  <si>
    <t>14x25</t>
  </si>
  <si>
    <t>14x26</t>
  </si>
  <si>
    <t>14x27</t>
  </si>
  <si>
    <t>14x30</t>
  </si>
  <si>
    <t>14x46</t>
  </si>
  <si>
    <t>15 3/</t>
  </si>
  <si>
    <t>15x15</t>
  </si>
  <si>
    <t>15  x</t>
  </si>
  <si>
    <t xml:space="preserve">15 x </t>
  </si>
  <si>
    <t>15x23</t>
  </si>
  <si>
    <t>15x25</t>
  </si>
  <si>
    <t>15x30</t>
  </si>
  <si>
    <t>15x31</t>
  </si>
  <si>
    <t>16 1/</t>
  </si>
  <si>
    <t>16x16</t>
  </si>
  <si>
    <t>16x18</t>
  </si>
  <si>
    <t>16x22</t>
  </si>
  <si>
    <t>16 3/</t>
  </si>
  <si>
    <t>16x30</t>
  </si>
  <si>
    <t>16x32</t>
  </si>
  <si>
    <t>16x42</t>
  </si>
  <si>
    <t>17 1/</t>
  </si>
  <si>
    <t>17x22</t>
  </si>
  <si>
    <t>17x23</t>
  </si>
  <si>
    <t>17 3/</t>
  </si>
  <si>
    <t>17x35</t>
  </si>
  <si>
    <t>18 1/</t>
  </si>
  <si>
    <t>18x16</t>
  </si>
  <si>
    <t>18x18</t>
  </si>
  <si>
    <t>18x20</t>
  </si>
  <si>
    <t>18x22</t>
  </si>
  <si>
    <t>18x30</t>
  </si>
  <si>
    <t xml:space="preserve">18 x </t>
  </si>
  <si>
    <t>18x37</t>
  </si>
  <si>
    <t>19 1/</t>
  </si>
  <si>
    <t>19x24</t>
  </si>
  <si>
    <t>19x27</t>
  </si>
  <si>
    <t>20 1/</t>
  </si>
  <si>
    <t>20x22</t>
  </si>
  <si>
    <t>20x25</t>
  </si>
  <si>
    <t>20x30</t>
  </si>
  <si>
    <t>20x35</t>
  </si>
  <si>
    <t>21-1/</t>
  </si>
  <si>
    <t>21 1/</t>
  </si>
  <si>
    <t>21x21</t>
  </si>
  <si>
    <t>21x23</t>
  </si>
  <si>
    <t>21x28</t>
  </si>
  <si>
    <t>22x22</t>
  </si>
  <si>
    <t>22x24</t>
  </si>
  <si>
    <t>22x26</t>
  </si>
  <si>
    <t>22x27</t>
  </si>
  <si>
    <t>23x30</t>
  </si>
  <si>
    <t>24x25</t>
  </si>
  <si>
    <t>24x28</t>
  </si>
  <si>
    <t>25x30</t>
  </si>
  <si>
    <t>28.5x</t>
  </si>
  <si>
    <t>29x17</t>
  </si>
  <si>
    <t>30 1/</t>
  </si>
  <si>
    <t>30x44</t>
  </si>
  <si>
    <t>6 1/4</t>
  </si>
  <si>
    <t>9 1/2</t>
  </si>
  <si>
    <t xml:space="preserve">13.5 </t>
  </si>
  <si>
    <t>1</t>
  </si>
  <si>
    <t xml:space="preserve"> </t>
  </si>
  <si>
    <t>2</t>
  </si>
  <si>
    <t>4</t>
  </si>
  <si>
    <t>7x30</t>
  </si>
  <si>
    <t>7x38</t>
  </si>
  <si>
    <t>8x16</t>
  </si>
  <si>
    <t>8x24</t>
  </si>
  <si>
    <t>8x34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</si>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</sst>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4"/>
      <color rgb="FF000000"/>
      <name val="Verdana"/>
      <family val="2"/>
    </font>
    <font>
      <sz val="9"/>
      <color rgb="FF000000"/>
      <name val="Verdana"/>
      <family val="2"/>
    </font>
    <font>
      <b/>
      <u/>
      <sz val="12"/>
      <color theme="1"/>
      <name val="Aptos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rgb="FF000000"/>
      <name val="Verdana"/>
      <family val="2"/>
    </font>
  </fonts>
  <fills count="2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E7F6FF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</cellStyleXfs>
  <cellXfs count="78">
    <xf numFmtId="0" fontId="0" fillId="0" borderId="0" xfId="0"/>
    <xf numFmtId="44" fontId="0" fillId="0" borderId="0" xfId="5" applyFont="1"/>
    <xf numFmtId="0" fontId="0" fillId="2" borderId="0" xfId="0" applyFill="1"/>
    <xf numFmtId="44" fontId="0" fillId="2" borderId="0" xfId="5" applyFont="1" applyFill="1"/>
    <xf numFmtId="0" fontId="0" fillId="3" borderId="0" xfId="0" applyFill="1"/>
    <xf numFmtId="44" fontId="0" fillId="3" borderId="0" xfId="5" applyFont="1" applyFill="1"/>
    <xf numFmtId="0" fontId="0" fillId="4" borderId="0" xfId="0" applyFill="1"/>
    <xf numFmtId="44" fontId="0" fillId="4" borderId="0" xfId="5" applyFont="1" applyFill="1"/>
    <xf numFmtId="0" fontId="0" fillId="5" borderId="0" xfId="0" applyFill="1"/>
    <xf numFmtId="44" fontId="0" fillId="5" borderId="0" xfId="5" applyFont="1" applyFill="1"/>
    <xf numFmtId="44" fontId="0" fillId="0" borderId="0" xfId="5" applyFont="1" applyFill="1"/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9" fontId="0" fillId="0" borderId="0" xfId="0" applyNumberFormat="1"/>
    <xf numFmtId="44" fontId="0" fillId="8" borderId="0" xfId="5" applyFont="1" applyFill="1"/>
    <xf numFmtId="44" fontId="0" fillId="0" borderId="1" xfId="5" applyFont="1" applyBorder="1"/>
    <xf numFmtId="44" fontId="0" fillId="0" borderId="1" xfId="5" applyFont="1" applyFill="1" applyBorder="1"/>
    <xf numFmtId="44" fontId="0" fillId="9" borderId="0" xfId="5" applyFont="1" applyFill="1"/>
    <xf numFmtId="0" fontId="0" fillId="9" borderId="1" xfId="0" applyFill="1" applyBorder="1"/>
    <xf numFmtId="44" fontId="0" fillId="0" borderId="0" xfId="0" applyNumberFormat="1"/>
    <xf numFmtId="0" fontId="0" fillId="5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0" fontId="0" fillId="0" borderId="0" xfId="0" applyNumberFormat="1" applyAlignment="1">
      <alignment horizontal="right"/>
    </xf>
    <xf numFmtId="10" fontId="0" fillId="0" borderId="0" xfId="8" applyNumberFormat="1" applyFont="1"/>
    <xf numFmtId="0" fontId="0" fillId="10" borderId="1" xfId="0" applyFill="1" applyBorder="1"/>
    <xf numFmtId="10" fontId="0" fillId="10" borderId="1" xfId="0" applyNumberFormat="1" applyFill="1" applyBorder="1" applyAlignment="1">
      <alignment horizontal="right"/>
    </xf>
    <xf numFmtId="0" fontId="0" fillId="11" borderId="1" xfId="0" applyFill="1" applyBorder="1"/>
    <xf numFmtId="10" fontId="0" fillId="11" borderId="1" xfId="0" applyNumberFormat="1" applyFill="1" applyBorder="1" applyAlignment="1">
      <alignment horizontal="right"/>
    </xf>
    <xf numFmtId="10" fontId="0" fillId="5" borderId="1" xfId="0" applyNumberFormat="1" applyFill="1" applyBorder="1" applyAlignment="1">
      <alignment horizontal="right"/>
    </xf>
    <xf numFmtId="10" fontId="0" fillId="3" borderId="1" xfId="0" applyNumberFormat="1" applyFill="1" applyBorder="1" applyAlignment="1">
      <alignment horizontal="right"/>
    </xf>
    <xf numFmtId="0" fontId="0" fillId="12" borderId="1" xfId="0" applyFill="1" applyBorder="1"/>
    <xf numFmtId="10" fontId="0" fillId="12" borderId="1" xfId="0" applyNumberFormat="1" applyFill="1" applyBorder="1" applyAlignment="1">
      <alignment horizontal="right"/>
    </xf>
    <xf numFmtId="0" fontId="0" fillId="14" borderId="1" xfId="0" applyFill="1" applyBorder="1"/>
    <xf numFmtId="10" fontId="0" fillId="14" borderId="1" xfId="0" applyNumberFormat="1" applyFill="1" applyBorder="1" applyAlignment="1">
      <alignment horizontal="right"/>
    </xf>
    <xf numFmtId="0" fontId="0" fillId="13" borderId="1" xfId="0" applyFill="1" applyBorder="1"/>
    <xf numFmtId="10" fontId="0" fillId="13" borderId="1" xfId="0" applyNumberFormat="1" applyFill="1" applyBorder="1" applyAlignment="1">
      <alignment horizontal="right"/>
    </xf>
    <xf numFmtId="0" fontId="0" fillId="15" borderId="1" xfId="0" applyFill="1" applyBorder="1"/>
    <xf numFmtId="10" fontId="0" fillId="15" borderId="1" xfId="0" applyNumberFormat="1" applyFill="1" applyBorder="1" applyAlignment="1">
      <alignment horizontal="right"/>
    </xf>
    <xf numFmtId="0" fontId="0" fillId="16" borderId="1" xfId="0" applyFill="1" applyBorder="1"/>
    <xf numFmtId="10" fontId="0" fillId="16" borderId="1" xfId="0" applyNumberFormat="1" applyFill="1" applyBorder="1" applyAlignment="1">
      <alignment horizontal="right"/>
    </xf>
    <xf numFmtId="0" fontId="0" fillId="17" borderId="1" xfId="0" applyFill="1" applyBorder="1"/>
    <xf numFmtId="10" fontId="0" fillId="17" borderId="1" xfId="0" applyNumberFormat="1" applyFill="1" applyBorder="1" applyAlignment="1">
      <alignment horizontal="right"/>
    </xf>
    <xf numFmtId="0" fontId="0" fillId="18" borderId="1" xfId="0" applyFill="1" applyBorder="1"/>
    <xf numFmtId="10" fontId="0" fillId="18" borderId="1" xfId="0" applyNumberFormat="1" applyFill="1" applyBorder="1" applyAlignment="1">
      <alignment horizontal="right"/>
    </xf>
    <xf numFmtId="0" fontId="0" fillId="19" borderId="1" xfId="0" applyFill="1" applyBorder="1"/>
    <xf numFmtId="10" fontId="0" fillId="19" borderId="1" xfId="0" applyNumberFormat="1" applyFill="1" applyBorder="1" applyAlignment="1">
      <alignment horizontal="right"/>
    </xf>
    <xf numFmtId="2" fontId="0" fillId="0" borderId="0" xfId="0" applyNumberFormat="1"/>
    <xf numFmtId="8" fontId="0" fillId="0" borderId="0" xfId="0" applyNumberFormat="1"/>
    <xf numFmtId="8" fontId="4" fillId="0" borderId="0" xfId="0" applyNumberFormat="1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/>
    <xf numFmtId="8" fontId="7" fillId="20" borderId="4" xfId="0" applyNumberFormat="1" applyFont="1" applyFill="1" applyBorder="1" applyAlignment="1">
      <alignment horizontal="center" vertical="center" wrapText="1"/>
    </xf>
    <xf numFmtId="0" fontId="8" fillId="20" borderId="3" xfId="0" applyFont="1" applyFill="1" applyBorder="1" applyAlignment="1">
      <alignment horizontal="center" vertical="center" wrapText="1"/>
    </xf>
    <xf numFmtId="8" fontId="7" fillId="20" borderId="5" xfId="0" applyNumberFormat="1" applyFont="1" applyFill="1" applyBorder="1" applyAlignment="1">
      <alignment horizontal="center" vertical="center" wrapText="1"/>
    </xf>
    <xf numFmtId="9" fontId="0" fillId="0" borderId="0" xfId="8" applyFont="1"/>
    <xf numFmtId="0" fontId="9" fillId="0" borderId="0" xfId="0" applyFont="1" applyAlignment="1">
      <alignment vertical="center"/>
    </xf>
    <xf numFmtId="0" fontId="10" fillId="0" borderId="6" xfId="0" applyFont="1" applyBorder="1"/>
    <xf numFmtId="44" fontId="10" fillId="0" borderId="6" xfId="5" applyFont="1" applyBorder="1"/>
    <xf numFmtId="44" fontId="0" fillId="21" borderId="0" xfId="5" applyFont="1" applyFill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8" fontId="7" fillId="20" borderId="1" xfId="0" applyNumberFormat="1" applyFont="1" applyFill="1" applyBorder="1" applyAlignment="1">
      <alignment horizontal="center" vertical="center" wrapText="1"/>
    </xf>
    <xf numFmtId="8" fontId="12" fillId="0" borderId="0" xfId="0" applyNumberFormat="1" applyFont="1" applyAlignment="1">
      <alignment horizontal="left" vertical="center" wrapText="1"/>
    </xf>
    <xf numFmtId="0" fontId="12" fillId="6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 wrapText="1"/>
    </xf>
    <xf numFmtId="8" fontId="8" fillId="20" borderId="3" xfId="0" applyNumberFormat="1" applyFont="1" applyFill="1" applyBorder="1" applyAlignment="1">
      <alignment horizontal="center" vertical="center" wrapText="1"/>
    </xf>
    <xf numFmtId="8" fontId="7" fillId="20" borderId="3" xfId="0" applyNumberFormat="1" applyFont="1" applyFill="1" applyBorder="1" applyAlignment="1">
      <alignment horizontal="center" vertical="center" wrapText="1"/>
    </xf>
    <xf numFmtId="44" fontId="0" fillId="0" borderId="0" xfId="5" applyFont="1" applyAlignment="1">
      <alignment horizontal="right"/>
    </xf>
    <xf numFmtId="0" fontId="0" fillId="9" borderId="0" xfId="0" applyFill="1" applyAlignment="1">
      <alignment horizontal="center"/>
    </xf>
    <xf numFmtId="0" fontId="0" fillId="9" borderId="1" xfId="0" applyFill="1" applyBorder="1" applyAlignment="1">
      <alignment horizontal="center"/>
    </xf>
  </cellXfs>
  <cellStyles count="9">
    <cellStyle name="Currency" xfId="5" builtinId="4"/>
    <cellStyle name="Currency 3" xfId="6" xr:uid="{51F2B02C-B4F5-4A87-A44C-3DA98F4B6C6A}"/>
    <cellStyle name="Currency 4" xfId="3" xr:uid="{9A6C16E9-D09F-4A72-957C-74D7E577E324}"/>
    <cellStyle name="Normal" xfId="0" builtinId="0"/>
    <cellStyle name="Normal 2" xfId="1" xr:uid="{7B62A8D5-4549-48AE-894F-7308625D2086}"/>
    <cellStyle name="Normal 2 2 2" xfId="7" xr:uid="{1A60FC20-0445-48F6-81F5-F98FFFFF92CA}"/>
    <cellStyle name="Normal 3" xfId="2" xr:uid="{662E034F-585B-447F-B646-3797FF9591E6}"/>
    <cellStyle name="Normal 4" xfId="4" xr:uid="{67C9DC69-2A1F-41C7-8E9F-4119F4A8C6B3}"/>
    <cellStyle name="Percent" xfId="8" builtinId="5"/>
  </cellStyles>
  <dxfs count="46"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  <color rgb="FFFF3300"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  <color rgb="FFFF3300"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  <color rgb="FFFF3300"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  <fill>
        <patternFill>
          <bgColor rgb="FFFF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2CE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C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E5A0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C5E0B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BE4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49BF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  <color rgb="FFFF3300"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CC99FF"/>
      <color rgb="FFFF9933"/>
      <color rgb="FF99FF66"/>
      <color rgb="FF99CCFF"/>
      <color rgb="FFCC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01%20AFC%20STANDARDIZED%20SURVEYS\23%20LA%20PALMA%20INTER%20(Standard)%20RO.xlsx" TargetMode="External"/><Relationship Id="rId1" Type="http://schemas.openxmlformats.org/officeDocument/2006/relationships/externalLinkPath" Target="file:///Y:\01%20AFC%20STANDARDIZED%20SURVEYS\23%20LA%20PALMA%20INTER%20(Standard)%20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BUILDING"/>
      <sheetName val="Filter"/>
    </sheetNames>
    <sheetDataSet>
      <sheetData sheetId="0">
        <row r="6">
          <cell r="H6" t="str">
            <v>ZLP15202</v>
          </cell>
          <cell r="L6">
            <v>24</v>
          </cell>
        </row>
        <row r="7">
          <cell r="H7" t="str">
            <v>F8V4-2424-GWB</v>
          </cell>
          <cell r="L7">
            <v>2</v>
          </cell>
        </row>
        <row r="8">
          <cell r="L8">
            <v>0</v>
          </cell>
        </row>
        <row r="9">
          <cell r="H9" t="str">
            <v>ZLP20252</v>
          </cell>
          <cell r="L9">
            <v>4</v>
          </cell>
        </row>
        <row r="10">
          <cell r="H10" t="str">
            <v>F8V4-2424-GWB</v>
          </cell>
          <cell r="L10">
            <v>1</v>
          </cell>
        </row>
        <row r="11">
          <cell r="H11"/>
          <cell r="L11">
            <v>0</v>
          </cell>
        </row>
        <row r="12">
          <cell r="H12" t="str">
            <v>ZLP20252</v>
          </cell>
          <cell r="L12">
            <v>4</v>
          </cell>
        </row>
        <row r="13">
          <cell r="H13" t="str">
            <v>F8V4-2424-GWB</v>
          </cell>
          <cell r="L13">
            <v>1</v>
          </cell>
        </row>
        <row r="14">
          <cell r="L14">
            <v>0</v>
          </cell>
        </row>
        <row r="15">
          <cell r="H15" t="str">
            <v>ZLP15202</v>
          </cell>
          <cell r="L15">
            <v>8</v>
          </cell>
        </row>
        <row r="16">
          <cell r="H16" t="str">
            <v>ZLP14302</v>
          </cell>
          <cell r="L16">
            <v>4</v>
          </cell>
        </row>
        <row r="17">
          <cell r="H17" t="str">
            <v>F8V4-2424-GWB</v>
          </cell>
          <cell r="L17">
            <v>1</v>
          </cell>
        </row>
        <row r="18">
          <cell r="H18"/>
          <cell r="L18">
            <v>0</v>
          </cell>
        </row>
        <row r="19">
          <cell r="H19" t="str">
            <v>ZLP16242</v>
          </cell>
          <cell r="L19">
            <v>16</v>
          </cell>
        </row>
        <row r="20">
          <cell r="H20" t="str">
            <v>F8V4-1224-GWB</v>
          </cell>
          <cell r="L20">
            <v>1</v>
          </cell>
        </row>
        <row r="21">
          <cell r="H21" t="str">
            <v>F8V4-2424-GWB</v>
          </cell>
          <cell r="L21">
            <v>1</v>
          </cell>
        </row>
        <row r="22">
          <cell r="L22">
            <v>0</v>
          </cell>
        </row>
        <row r="23">
          <cell r="H23" t="str">
            <v>ZLP16242</v>
          </cell>
          <cell r="L23">
            <v>8</v>
          </cell>
        </row>
        <row r="24">
          <cell r="H24" t="str">
            <v>F8V4-2424-GWB</v>
          </cell>
          <cell r="L24">
            <v>1</v>
          </cell>
        </row>
        <row r="25">
          <cell r="H25"/>
          <cell r="L25">
            <v>0</v>
          </cell>
        </row>
        <row r="26">
          <cell r="H26" t="str">
            <v>ZLP16252</v>
          </cell>
          <cell r="L26">
            <v>8</v>
          </cell>
        </row>
        <row r="27">
          <cell r="H27" t="str">
            <v>F8V4-2424-GWB</v>
          </cell>
          <cell r="L27">
            <v>2</v>
          </cell>
        </row>
        <row r="28">
          <cell r="L28">
            <v>0</v>
          </cell>
        </row>
        <row r="29">
          <cell r="H29" t="str">
            <v>ZLP16202</v>
          </cell>
          <cell r="L29">
            <v>16</v>
          </cell>
        </row>
        <row r="30">
          <cell r="H30" t="str">
            <v>F8V4-2424-GWB</v>
          </cell>
          <cell r="L30">
            <v>2</v>
          </cell>
        </row>
        <row r="31">
          <cell r="H31"/>
          <cell r="L31">
            <v>0</v>
          </cell>
        </row>
        <row r="32">
          <cell r="H32" t="str">
            <v>ZLP20202</v>
          </cell>
          <cell r="L32">
            <v>16</v>
          </cell>
        </row>
        <row r="33">
          <cell r="H33" t="str">
            <v>ZLP20252</v>
          </cell>
          <cell r="L33">
            <v>8</v>
          </cell>
        </row>
        <row r="34">
          <cell r="H34" t="str">
            <v>PUPSLRB242449O</v>
          </cell>
          <cell r="L34">
            <v>4</v>
          </cell>
        </row>
        <row r="35">
          <cell r="H35" t="str">
            <v>PUPSLRB122449O</v>
          </cell>
          <cell r="L35">
            <v>2</v>
          </cell>
        </row>
        <row r="36">
          <cell r="H36"/>
          <cell r="L36">
            <v>0</v>
          </cell>
        </row>
        <row r="37">
          <cell r="H37" t="str">
            <v>ZLP24242</v>
          </cell>
          <cell r="L37">
            <v>4</v>
          </cell>
        </row>
        <row r="38">
          <cell r="H38" t="str">
            <v>F8V4-2424-GWB</v>
          </cell>
          <cell r="L38">
            <v>1</v>
          </cell>
        </row>
        <row r="39">
          <cell r="L39">
            <v>0</v>
          </cell>
        </row>
        <row r="40">
          <cell r="H40" t="str">
            <v>ZLP1201</v>
          </cell>
          <cell r="L40">
            <v>4</v>
          </cell>
        </row>
        <row r="41">
          <cell r="L41">
            <v>0</v>
          </cell>
        </row>
        <row r="42">
          <cell r="H42"/>
          <cell r="L42">
            <v>1</v>
          </cell>
        </row>
        <row r="43">
          <cell r="H43"/>
          <cell r="L43">
            <v>1</v>
          </cell>
        </row>
        <row r="44">
          <cell r="H44"/>
          <cell r="L44">
            <v>0</v>
          </cell>
        </row>
        <row r="45">
          <cell r="H45" t="str">
            <v>ZLP20252</v>
          </cell>
          <cell r="L45">
            <v>8</v>
          </cell>
        </row>
        <row r="46">
          <cell r="H46" t="str">
            <v>ZLP15202</v>
          </cell>
          <cell r="L46">
            <v>8</v>
          </cell>
        </row>
        <row r="47">
          <cell r="H47" t="str">
            <v>F8V4-2424-GWB</v>
          </cell>
          <cell r="L47">
            <v>1</v>
          </cell>
        </row>
        <row r="48">
          <cell r="L48">
            <v>0</v>
          </cell>
        </row>
        <row r="49">
          <cell r="H49" t="str">
            <v>ZLP16162</v>
          </cell>
          <cell r="L49">
            <v>16</v>
          </cell>
        </row>
        <row r="50">
          <cell r="H50" t="str">
            <v>F8V4-2424-GWB</v>
          </cell>
          <cell r="L50">
            <v>1</v>
          </cell>
        </row>
        <row r="51">
          <cell r="H51"/>
          <cell r="L51">
            <v>0</v>
          </cell>
        </row>
        <row r="52">
          <cell r="H52" t="str">
            <v>ZLP20204</v>
          </cell>
          <cell r="L52">
            <v>8</v>
          </cell>
        </row>
        <row r="53">
          <cell r="L53">
            <v>0</v>
          </cell>
        </row>
        <row r="54">
          <cell r="H54" t="str">
            <v>ZLP16252</v>
          </cell>
          <cell r="L54">
            <v>8</v>
          </cell>
        </row>
        <row r="55">
          <cell r="H55" t="str">
            <v>F8V4-2424-GWB</v>
          </cell>
          <cell r="L55">
            <v>1</v>
          </cell>
        </row>
        <row r="56">
          <cell r="H56"/>
          <cell r="L56">
            <v>0</v>
          </cell>
        </row>
        <row r="57">
          <cell r="H57" t="str">
            <v>ZLP16252</v>
          </cell>
          <cell r="L57">
            <v>8</v>
          </cell>
        </row>
        <row r="58">
          <cell r="H58" t="str">
            <v>F8V4-2424-GWB</v>
          </cell>
          <cell r="L58">
            <v>1</v>
          </cell>
        </row>
        <row r="59">
          <cell r="L59">
            <v>0</v>
          </cell>
        </row>
        <row r="60">
          <cell r="H60" t="str">
            <v>ZLP16202</v>
          </cell>
          <cell r="L60">
            <v>4</v>
          </cell>
        </row>
        <row r="61">
          <cell r="H61" t="str">
            <v>F8V4-2424-GWB</v>
          </cell>
          <cell r="L61">
            <v>1</v>
          </cell>
        </row>
        <row r="62">
          <cell r="H62"/>
          <cell r="L62">
            <v>0</v>
          </cell>
        </row>
        <row r="63">
          <cell r="H63" t="str">
            <v>ZLP20252</v>
          </cell>
          <cell r="L63">
            <v>4</v>
          </cell>
        </row>
        <row r="64">
          <cell r="H64" t="str">
            <v>F8V4-2424-GWB</v>
          </cell>
          <cell r="L64">
            <v>1</v>
          </cell>
        </row>
        <row r="65">
          <cell r="L65">
            <v>0</v>
          </cell>
        </row>
        <row r="66">
          <cell r="H66" t="str">
            <v>ZLP16252</v>
          </cell>
          <cell r="L66">
            <v>8</v>
          </cell>
        </row>
        <row r="67">
          <cell r="H67" t="str">
            <v>F8V4-2424-GWB</v>
          </cell>
          <cell r="L67">
            <v>1</v>
          </cell>
        </row>
        <row r="68">
          <cell r="H68"/>
          <cell r="L68">
            <v>0</v>
          </cell>
        </row>
        <row r="69">
          <cell r="H69" t="str">
            <v>ZLP16252</v>
          </cell>
          <cell r="L69">
            <v>16</v>
          </cell>
        </row>
        <row r="70">
          <cell r="H70" t="str">
            <v>F8V4-2424-GWB</v>
          </cell>
          <cell r="L70">
            <v>1</v>
          </cell>
        </row>
        <row r="71">
          <cell r="L71">
            <v>0</v>
          </cell>
        </row>
        <row r="72">
          <cell r="H72" t="str">
            <v>ZLP16252</v>
          </cell>
          <cell r="L72">
            <v>8</v>
          </cell>
        </row>
        <row r="73">
          <cell r="H73" t="str">
            <v>F8V4-2424-GWB</v>
          </cell>
          <cell r="L73">
            <v>1</v>
          </cell>
        </row>
        <row r="74">
          <cell r="H74"/>
          <cell r="L74">
            <v>0</v>
          </cell>
        </row>
        <row r="75">
          <cell r="H75" t="str">
            <v>ZLP16252</v>
          </cell>
          <cell r="L75">
            <v>8</v>
          </cell>
        </row>
        <row r="76">
          <cell r="H76" t="str">
            <v>F8V4-2424-GWB</v>
          </cell>
          <cell r="L76">
            <v>1</v>
          </cell>
        </row>
        <row r="77">
          <cell r="H77"/>
          <cell r="L77">
            <v>0</v>
          </cell>
        </row>
        <row r="78">
          <cell r="H78" t="str">
            <v>ZLP16252</v>
          </cell>
          <cell r="L78">
            <v>8</v>
          </cell>
        </row>
        <row r="79">
          <cell r="H79" t="str">
            <v>F8V4-2424-GWB</v>
          </cell>
          <cell r="L79">
            <v>1</v>
          </cell>
        </row>
        <row r="80">
          <cell r="H80"/>
          <cell r="L80">
            <v>0</v>
          </cell>
        </row>
        <row r="81">
          <cell r="H81" t="str">
            <v>ZLP16252</v>
          </cell>
          <cell r="L81">
            <v>8</v>
          </cell>
        </row>
        <row r="82">
          <cell r="H82" t="str">
            <v>F8V4-2424-GWB</v>
          </cell>
          <cell r="L82">
            <v>1</v>
          </cell>
        </row>
        <row r="83">
          <cell r="H83"/>
          <cell r="L83">
            <v>0</v>
          </cell>
        </row>
        <row r="84">
          <cell r="H84" t="str">
            <v>ZLP16252</v>
          </cell>
          <cell r="L84">
            <v>8</v>
          </cell>
        </row>
        <row r="85">
          <cell r="H85" t="str">
            <v>F8V4-2424-GWB</v>
          </cell>
          <cell r="L85">
            <v>1</v>
          </cell>
        </row>
        <row r="86">
          <cell r="L86">
            <v>0</v>
          </cell>
        </row>
        <row r="87">
          <cell r="H87" t="str">
            <v>ZLP16252</v>
          </cell>
          <cell r="L87">
            <v>8</v>
          </cell>
        </row>
        <row r="88">
          <cell r="H88" t="str">
            <v>F8V4-2424-GWB</v>
          </cell>
          <cell r="L88">
            <v>1</v>
          </cell>
        </row>
        <row r="89">
          <cell r="H89"/>
          <cell r="L89">
            <v>0</v>
          </cell>
        </row>
        <row r="90">
          <cell r="H90" t="str">
            <v>ZLP16252</v>
          </cell>
          <cell r="L90">
            <v>8</v>
          </cell>
        </row>
        <row r="91">
          <cell r="H91" t="str">
            <v>F8V4-2424-GWB</v>
          </cell>
          <cell r="L91">
            <v>1</v>
          </cell>
        </row>
        <row r="92">
          <cell r="H92"/>
          <cell r="L92">
            <v>0</v>
          </cell>
        </row>
        <row r="93">
          <cell r="H93" t="str">
            <v>ZLP16252</v>
          </cell>
          <cell r="L93">
            <v>8</v>
          </cell>
        </row>
        <row r="94">
          <cell r="H94" t="str">
            <v>F8V4-2424-GWB</v>
          </cell>
          <cell r="L94">
            <v>1</v>
          </cell>
        </row>
        <row r="95">
          <cell r="H95"/>
          <cell r="L95">
            <v>0</v>
          </cell>
        </row>
        <row r="96">
          <cell r="H96" t="str">
            <v>ZLP24242</v>
          </cell>
          <cell r="L96">
            <v>4</v>
          </cell>
        </row>
        <row r="97">
          <cell r="H97" t="str">
            <v>F8V4-2424-GWB</v>
          </cell>
          <cell r="L97">
            <v>1</v>
          </cell>
        </row>
        <row r="98">
          <cell r="L98">
            <v>0</v>
          </cell>
        </row>
        <row r="99">
          <cell r="H99" t="str">
            <v>ZLP16252</v>
          </cell>
          <cell r="L99">
            <v>8</v>
          </cell>
        </row>
        <row r="100">
          <cell r="H100" t="str">
            <v>F8V4-2424-GWB</v>
          </cell>
          <cell r="L100">
            <v>1</v>
          </cell>
        </row>
        <row r="101">
          <cell r="L101">
            <v>0</v>
          </cell>
        </row>
        <row r="102">
          <cell r="H102" t="str">
            <v>ZLP16162</v>
          </cell>
          <cell r="L102">
            <v>16</v>
          </cell>
        </row>
        <row r="103">
          <cell r="H103" t="str">
            <v>PUPSLRB242449O</v>
          </cell>
          <cell r="L103">
            <v>1</v>
          </cell>
        </row>
        <row r="104">
          <cell r="L104">
            <v>0</v>
          </cell>
        </row>
        <row r="105">
          <cell r="H105" t="str">
            <v>ZLP16162</v>
          </cell>
          <cell r="L105">
            <v>16</v>
          </cell>
        </row>
        <row r="106">
          <cell r="H106" t="str">
            <v>PUPSLRB242449O</v>
          </cell>
          <cell r="L106">
            <v>1</v>
          </cell>
        </row>
        <row r="107">
          <cell r="L107">
            <v>0</v>
          </cell>
        </row>
        <row r="108">
          <cell r="H108" t="str">
            <v>ZLP16162</v>
          </cell>
          <cell r="L108">
            <v>16</v>
          </cell>
        </row>
        <row r="109">
          <cell r="H109" t="str">
            <v>PUPSLRB242449O</v>
          </cell>
          <cell r="L109">
            <v>1</v>
          </cell>
        </row>
        <row r="110">
          <cell r="L110">
            <v>0</v>
          </cell>
        </row>
        <row r="111">
          <cell r="H111" t="str">
            <v>ZLP16162</v>
          </cell>
          <cell r="L111">
            <v>16</v>
          </cell>
        </row>
        <row r="112">
          <cell r="H112" t="str">
            <v>PUPSLRB242449O</v>
          </cell>
          <cell r="L112">
            <v>1</v>
          </cell>
        </row>
        <row r="113">
          <cell r="L113">
            <v>0</v>
          </cell>
        </row>
        <row r="114">
          <cell r="H114" t="str">
            <v>ZLP16162</v>
          </cell>
          <cell r="L114">
            <v>16</v>
          </cell>
        </row>
        <row r="115">
          <cell r="H115" t="str">
            <v>F8V4-2424-GWB</v>
          </cell>
          <cell r="L115">
            <v>1</v>
          </cell>
        </row>
        <row r="116">
          <cell r="L116">
            <v>0</v>
          </cell>
        </row>
        <row r="117">
          <cell r="H117" t="str">
            <v>ZLP16162</v>
          </cell>
          <cell r="L117">
            <v>16</v>
          </cell>
        </row>
        <row r="118">
          <cell r="H118" t="str">
            <v>F8V4-2424-GWB</v>
          </cell>
          <cell r="L118">
            <v>1</v>
          </cell>
        </row>
        <row r="119">
          <cell r="L119">
            <v>0</v>
          </cell>
        </row>
        <row r="120">
          <cell r="L120">
            <v>4</v>
          </cell>
        </row>
        <row r="121">
          <cell r="L121">
            <v>1</v>
          </cell>
        </row>
        <row r="122">
          <cell r="L122">
            <v>0</v>
          </cell>
        </row>
        <row r="123">
          <cell r="H123" t="str">
            <v>ZLP24242</v>
          </cell>
          <cell r="L123">
            <v>4</v>
          </cell>
        </row>
        <row r="124">
          <cell r="H124" t="str">
            <v>F8V4-2424-GWB</v>
          </cell>
          <cell r="L124">
            <v>1</v>
          </cell>
        </row>
        <row r="125">
          <cell r="L125">
            <v>0</v>
          </cell>
        </row>
        <row r="126">
          <cell r="H126" t="str">
            <v>ZLP24242</v>
          </cell>
          <cell r="L126">
            <v>4</v>
          </cell>
        </row>
        <row r="127">
          <cell r="H127" t="str">
            <v>F8V4-2424-GWB</v>
          </cell>
          <cell r="L127">
            <v>1</v>
          </cell>
        </row>
        <row r="128">
          <cell r="L128">
            <v>0</v>
          </cell>
        </row>
        <row r="129">
          <cell r="H129" t="str">
            <v>ZLP24242</v>
          </cell>
          <cell r="L129">
            <v>4</v>
          </cell>
        </row>
        <row r="130">
          <cell r="H130" t="str">
            <v>F8V4-2424-GWB</v>
          </cell>
          <cell r="L130">
            <v>1</v>
          </cell>
        </row>
        <row r="131">
          <cell r="L131">
            <v>0</v>
          </cell>
        </row>
        <row r="132">
          <cell r="H132" t="str">
            <v>ZLP24242</v>
          </cell>
          <cell r="L132">
            <v>4</v>
          </cell>
        </row>
        <row r="133">
          <cell r="H133" t="str">
            <v>F8V4-2424-GWB</v>
          </cell>
          <cell r="L133">
            <v>1</v>
          </cell>
        </row>
        <row r="134">
          <cell r="L134">
            <v>0</v>
          </cell>
        </row>
        <row r="135">
          <cell r="H135" t="str">
            <v>ZLP24242</v>
          </cell>
          <cell r="L135">
            <v>4</v>
          </cell>
        </row>
        <row r="136">
          <cell r="H136" t="str">
            <v>F8V4-2424-GWB</v>
          </cell>
          <cell r="L136">
            <v>1</v>
          </cell>
        </row>
        <row r="137">
          <cell r="L137">
            <v>0</v>
          </cell>
        </row>
        <row r="138">
          <cell r="H138" t="str">
            <v>ZLP24242</v>
          </cell>
          <cell r="L138">
            <v>4</v>
          </cell>
        </row>
        <row r="139">
          <cell r="H139" t="str">
            <v>F8V4-2424-GWB</v>
          </cell>
          <cell r="L139">
            <v>1</v>
          </cell>
        </row>
        <row r="140">
          <cell r="L140">
            <v>0</v>
          </cell>
        </row>
        <row r="141">
          <cell r="H141" t="str">
            <v>ZLP24242</v>
          </cell>
          <cell r="L141">
            <v>4</v>
          </cell>
        </row>
        <row r="142">
          <cell r="H142" t="str">
            <v>F8V4-2424-GWB</v>
          </cell>
          <cell r="L142">
            <v>1</v>
          </cell>
        </row>
        <row r="143">
          <cell r="L143">
            <v>0</v>
          </cell>
        </row>
        <row r="144">
          <cell r="H144" t="str">
            <v>ZLP15202</v>
          </cell>
          <cell r="L144">
            <v>8</v>
          </cell>
        </row>
        <row r="145">
          <cell r="H145" t="str">
            <v>ZLP14302</v>
          </cell>
          <cell r="L145">
            <v>4</v>
          </cell>
        </row>
        <row r="146">
          <cell r="H146" t="str">
            <v>F8V4-2424-GWB</v>
          </cell>
          <cell r="L146">
            <v>1</v>
          </cell>
        </row>
        <row r="147">
          <cell r="L147">
            <v>0</v>
          </cell>
        </row>
        <row r="148">
          <cell r="H148" t="str">
            <v>ZLP24242</v>
          </cell>
          <cell r="L148">
            <v>8</v>
          </cell>
        </row>
        <row r="149">
          <cell r="H149" t="str">
            <v>F8V4-2424-GWB</v>
          </cell>
          <cell r="L149">
            <v>2</v>
          </cell>
        </row>
        <row r="150">
          <cell r="L150">
            <v>0</v>
          </cell>
        </row>
        <row r="151">
          <cell r="H151" t="str">
            <v>ZLP24242</v>
          </cell>
          <cell r="L151">
            <v>4</v>
          </cell>
        </row>
        <row r="152">
          <cell r="H152" t="str">
            <v>F8V4-2424-GWB</v>
          </cell>
          <cell r="L152">
            <v>1</v>
          </cell>
        </row>
        <row r="153">
          <cell r="L153">
            <v>0</v>
          </cell>
        </row>
        <row r="154">
          <cell r="H154" t="str">
            <v>ZLP16252</v>
          </cell>
          <cell r="L154">
            <v>12</v>
          </cell>
        </row>
        <row r="155">
          <cell r="H155" t="str">
            <v>F8V4GL-2424-GWB</v>
          </cell>
          <cell r="L155">
            <v>1</v>
          </cell>
        </row>
        <row r="156">
          <cell r="L156">
            <v>0</v>
          </cell>
        </row>
        <row r="157">
          <cell r="H157" t="str">
            <v>ZLP18312SP</v>
          </cell>
          <cell r="L157">
            <v>4</v>
          </cell>
        </row>
        <row r="158">
          <cell r="H158" t="str">
            <v>F8V4GL-2424-GWB</v>
          </cell>
          <cell r="L158">
            <v>1</v>
          </cell>
        </row>
        <row r="159">
          <cell r="L159">
            <v>0</v>
          </cell>
        </row>
        <row r="160">
          <cell r="H160" t="str">
            <v>ZLP16202</v>
          </cell>
          <cell r="L160">
            <v>4</v>
          </cell>
        </row>
        <row r="161">
          <cell r="L161">
            <v>0</v>
          </cell>
        </row>
        <row r="162">
          <cell r="H162" t="str">
            <v>ZLP16252</v>
          </cell>
          <cell r="L162">
            <v>8</v>
          </cell>
        </row>
        <row r="163">
          <cell r="H163" t="str">
            <v>F8V4-2424-GWB</v>
          </cell>
          <cell r="L163">
            <v>1</v>
          </cell>
        </row>
        <row r="164">
          <cell r="L164">
            <v>0</v>
          </cell>
        </row>
        <row r="165">
          <cell r="H165" t="str">
            <v>ZLP16162</v>
          </cell>
          <cell r="L165">
            <v>16</v>
          </cell>
        </row>
        <row r="166">
          <cell r="H166" t="str">
            <v>F8V4-2424-GWB</v>
          </cell>
          <cell r="L166">
            <v>1</v>
          </cell>
        </row>
        <row r="167">
          <cell r="L167">
            <v>0</v>
          </cell>
        </row>
        <row r="168">
          <cell r="H168" t="str">
            <v>ZLP16252</v>
          </cell>
          <cell r="L168">
            <v>8</v>
          </cell>
        </row>
        <row r="169">
          <cell r="L169">
            <v>0</v>
          </cell>
        </row>
        <row r="170">
          <cell r="L170">
            <v>1</v>
          </cell>
        </row>
        <row r="171">
          <cell r="L171">
            <v>0</v>
          </cell>
        </row>
        <row r="172">
          <cell r="H172" t="str">
            <v>ZLP20252</v>
          </cell>
          <cell r="L172">
            <v>4</v>
          </cell>
        </row>
        <row r="173">
          <cell r="H173" t="str">
            <v>F8V4-2424-GWB</v>
          </cell>
          <cell r="L173">
            <v>1</v>
          </cell>
        </row>
        <row r="174">
          <cell r="L174">
            <v>0</v>
          </cell>
        </row>
        <row r="175">
          <cell r="H175" t="str">
            <v>ZLP24242</v>
          </cell>
          <cell r="L175">
            <v>4</v>
          </cell>
        </row>
        <row r="176">
          <cell r="H176" t="str">
            <v>F8V4-2424-GWB</v>
          </cell>
          <cell r="L176">
            <v>1</v>
          </cell>
        </row>
        <row r="177">
          <cell r="L177">
            <v>0</v>
          </cell>
        </row>
        <row r="178">
          <cell r="H178" t="str">
            <v>ZLP16202</v>
          </cell>
          <cell r="L178">
            <v>4</v>
          </cell>
        </row>
        <row r="179">
          <cell r="H179" t="str">
            <v>F8V4-2424-GWB</v>
          </cell>
          <cell r="L179">
            <v>1</v>
          </cell>
        </row>
        <row r="180">
          <cell r="L180">
            <v>0</v>
          </cell>
        </row>
        <row r="181">
          <cell r="H181" t="str">
            <v>ZLP16252</v>
          </cell>
          <cell r="L181">
            <v>8</v>
          </cell>
        </row>
        <row r="182">
          <cell r="H182" t="str">
            <v>F8V4-2424-GWB</v>
          </cell>
          <cell r="L182">
            <v>1</v>
          </cell>
        </row>
        <row r="183">
          <cell r="L183">
            <v>0</v>
          </cell>
        </row>
        <row r="184">
          <cell r="H184" t="str">
            <v>ZLP16252</v>
          </cell>
          <cell r="L184">
            <v>8</v>
          </cell>
        </row>
        <row r="185">
          <cell r="H185" t="str">
            <v>F8V4-2424-GWB</v>
          </cell>
          <cell r="L185">
            <v>2</v>
          </cell>
        </row>
        <row r="186">
          <cell r="L186">
            <v>0</v>
          </cell>
        </row>
        <row r="187">
          <cell r="H187" t="str">
            <v>ZLP15202</v>
          </cell>
          <cell r="L187">
            <v>8</v>
          </cell>
        </row>
        <row r="188">
          <cell r="H188" t="str">
            <v>ZLP14302</v>
          </cell>
          <cell r="L188">
            <v>4</v>
          </cell>
        </row>
        <row r="189">
          <cell r="L189">
            <v>0</v>
          </cell>
        </row>
        <row r="190">
          <cell r="H190" t="str">
            <v>ZLP16252</v>
          </cell>
          <cell r="L190">
            <v>8</v>
          </cell>
        </row>
        <row r="191">
          <cell r="H191" t="str">
            <v>F8V4-2424-GWB</v>
          </cell>
          <cell r="L191">
            <v>1</v>
          </cell>
        </row>
        <row r="192">
          <cell r="L192">
            <v>0</v>
          </cell>
        </row>
        <row r="193">
          <cell r="H193" t="str">
            <v>ZLP16252</v>
          </cell>
          <cell r="L193">
            <v>8</v>
          </cell>
        </row>
        <row r="194">
          <cell r="H194" t="str">
            <v>F8V4-2424-GWB</v>
          </cell>
          <cell r="L194">
            <v>1</v>
          </cell>
        </row>
        <row r="195">
          <cell r="L195">
            <v>0</v>
          </cell>
        </row>
        <row r="196">
          <cell r="H196" t="str">
            <v>ZLP16252</v>
          </cell>
          <cell r="L196">
            <v>8</v>
          </cell>
        </row>
        <row r="197">
          <cell r="H197" t="str">
            <v>F8V4-2424-GWB</v>
          </cell>
          <cell r="L197">
            <v>1</v>
          </cell>
        </row>
        <row r="198">
          <cell r="L198">
            <v>0</v>
          </cell>
        </row>
        <row r="199">
          <cell r="H199" t="str">
            <v>ZLP16242</v>
          </cell>
          <cell r="L199">
            <v>16</v>
          </cell>
        </row>
        <row r="200">
          <cell r="L200">
            <v>0</v>
          </cell>
        </row>
        <row r="201">
          <cell r="H201" t="str">
            <v>ZLP16252</v>
          </cell>
          <cell r="L201">
            <v>8</v>
          </cell>
        </row>
        <row r="202">
          <cell r="H202" t="str">
            <v>F8V4-2424-GWB</v>
          </cell>
          <cell r="L202">
            <v>1</v>
          </cell>
        </row>
        <row r="203">
          <cell r="L203">
            <v>0</v>
          </cell>
        </row>
        <row r="204">
          <cell r="H204" t="str">
            <v>ZLP16162</v>
          </cell>
          <cell r="L204">
            <v>16</v>
          </cell>
        </row>
        <row r="205">
          <cell r="H205" t="str">
            <v>F8V4-2424-GWB</v>
          </cell>
          <cell r="L205">
            <v>1</v>
          </cell>
        </row>
        <row r="206">
          <cell r="L206">
            <v>0</v>
          </cell>
        </row>
        <row r="207">
          <cell r="H207" t="str">
            <v>ZLP16252</v>
          </cell>
          <cell r="L207">
            <v>8</v>
          </cell>
        </row>
        <row r="208">
          <cell r="H208" t="str">
            <v>F8V4-2424-GWB</v>
          </cell>
          <cell r="L208">
            <v>1</v>
          </cell>
        </row>
        <row r="209">
          <cell r="L209">
            <v>0</v>
          </cell>
        </row>
        <row r="210">
          <cell r="H210" t="str">
            <v>ZLP16252</v>
          </cell>
          <cell r="L210">
            <v>8</v>
          </cell>
        </row>
        <row r="211">
          <cell r="L211">
            <v>0</v>
          </cell>
        </row>
        <row r="212">
          <cell r="H212" t="str">
            <v>ZLP20252</v>
          </cell>
          <cell r="L212">
            <v>4</v>
          </cell>
        </row>
        <row r="213">
          <cell r="H213" t="str">
            <v>ZLP16202</v>
          </cell>
          <cell r="L213">
            <v>4</v>
          </cell>
        </row>
        <row r="214">
          <cell r="L214">
            <v>0</v>
          </cell>
        </row>
        <row r="215">
          <cell r="H215" t="str">
            <v>ZLP16252</v>
          </cell>
          <cell r="L215">
            <v>8</v>
          </cell>
        </row>
        <row r="216">
          <cell r="L216">
            <v>0</v>
          </cell>
        </row>
        <row r="217">
          <cell r="H217" t="str">
            <v>ZLP20201</v>
          </cell>
          <cell r="L217">
            <v>2</v>
          </cell>
        </row>
        <row r="218">
          <cell r="H218" t="str">
            <v>ZLP-SPECIAL</v>
          </cell>
          <cell r="L218">
            <v>4</v>
          </cell>
        </row>
        <row r="219">
          <cell r="L219">
            <v>0</v>
          </cell>
        </row>
        <row r="220">
          <cell r="H220" t="str">
            <v>ZLP16202</v>
          </cell>
          <cell r="L220">
            <v>24</v>
          </cell>
        </row>
        <row r="221">
          <cell r="H221" t="str">
            <v>ZLP12162</v>
          </cell>
          <cell r="L221">
            <v>8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B40A7-6959-4569-B62A-D5053DDBC2C2}" name="Table1" displayName="Table1" ref="A1:F1646" totalsRowShown="0" headerRowDxfId="45" headerRowBorderDxfId="44">
  <autoFilter ref="A1:F1646" xr:uid="{55CB40A7-6959-4569-B62A-D5053DDBC2C2}">
    <filterColumn colId="4">
      <filters>
        <filter val="1"/>
        <filter val="10"/>
        <filter val="100"/>
        <filter val="1005"/>
        <filter val="1006"/>
        <filter val="1019"/>
        <filter val="104"/>
        <filter val="105"/>
        <filter val="106"/>
        <filter val="107"/>
        <filter val="108"/>
        <filter val="109"/>
        <filter val="1098"/>
        <filter val="11"/>
        <filter val="111"/>
        <filter val="1119"/>
        <filter val="112"/>
        <filter val="113"/>
        <filter val="116"/>
        <filter val="1172"/>
        <filter val="118"/>
        <filter val="1181"/>
        <filter val="12"/>
        <filter val="120"/>
        <filter val="121"/>
        <filter val="123"/>
        <filter val="124"/>
        <filter val="125"/>
        <filter val="1250"/>
        <filter val="126"/>
        <filter val="127"/>
        <filter val="128"/>
        <filter val="129"/>
        <filter val="13"/>
        <filter val="130"/>
        <filter val="132"/>
        <filter val="133"/>
        <filter val="134"/>
        <filter val="1356"/>
        <filter val="136"/>
        <filter val="138"/>
        <filter val="139"/>
        <filter val="14"/>
        <filter val="141"/>
        <filter val="1414"/>
        <filter val="143"/>
        <filter val="144"/>
        <filter val="145"/>
        <filter val="1459"/>
        <filter val="146"/>
        <filter val="1460"/>
        <filter val="1477"/>
        <filter val="148"/>
        <filter val="149"/>
        <filter val="15"/>
        <filter val="150"/>
        <filter val="151"/>
        <filter val="152"/>
        <filter val="1533"/>
        <filter val="154"/>
        <filter val="1541"/>
        <filter val="1557"/>
        <filter val="156"/>
        <filter val="16"/>
        <filter val="161"/>
        <filter val="162"/>
        <filter val="1621"/>
        <filter val="1622"/>
        <filter val="163"/>
        <filter val="1647"/>
        <filter val="165"/>
        <filter val="1653"/>
        <filter val="1667"/>
        <filter val="168"/>
        <filter val="169"/>
        <filter val="170"/>
        <filter val="174"/>
        <filter val="177"/>
        <filter val="178"/>
        <filter val="179"/>
        <filter val="18"/>
        <filter val="180"/>
        <filter val="184"/>
        <filter val="185"/>
        <filter val="186"/>
        <filter val="189"/>
        <filter val="19"/>
        <filter val="190"/>
        <filter val="191"/>
        <filter val="192"/>
        <filter val="194"/>
        <filter val="195"/>
        <filter val="198"/>
        <filter val="2"/>
        <filter val="20"/>
        <filter val="201"/>
        <filter val="203"/>
        <filter val="204"/>
        <filter val="205"/>
        <filter val="206"/>
        <filter val="2070"/>
        <filter val="208"/>
        <filter val="21"/>
        <filter val="210"/>
        <filter val="211"/>
        <filter val="212"/>
        <filter val="214"/>
        <filter val="215"/>
        <filter val="216"/>
        <filter val="217"/>
        <filter val="2185"/>
        <filter val="219"/>
        <filter val="22"/>
        <filter val="220"/>
        <filter val="221"/>
        <filter val="222"/>
        <filter val="223"/>
        <filter val="224"/>
        <filter val="228"/>
        <filter val="23"/>
        <filter val="230"/>
        <filter val="232"/>
        <filter val="236"/>
        <filter val="237"/>
        <filter val="24"/>
        <filter val="242"/>
        <filter val="245"/>
        <filter val="248"/>
        <filter val="25"/>
        <filter val="250"/>
        <filter val="252"/>
        <filter val="253"/>
        <filter val="256"/>
        <filter val="258"/>
        <filter val="259"/>
        <filter val="26"/>
        <filter val="260"/>
        <filter val="263"/>
        <filter val="268"/>
        <filter val="27"/>
        <filter val="270"/>
        <filter val="271"/>
        <filter val="272"/>
        <filter val="273"/>
        <filter val="275"/>
        <filter val="279"/>
        <filter val="28"/>
        <filter val="280"/>
        <filter val="283"/>
        <filter val="285"/>
        <filter val="29"/>
        <filter val="297"/>
        <filter val="298"/>
        <filter val="3"/>
        <filter val="30"/>
        <filter val="300"/>
        <filter val="305"/>
        <filter val="3070"/>
        <filter val="309"/>
        <filter val="31"/>
        <filter val="310"/>
        <filter val="312"/>
        <filter val="314"/>
        <filter val="315"/>
        <filter val="32"/>
        <filter val="324"/>
        <filter val="3268"/>
        <filter val="33"/>
        <filter val="34"/>
        <filter val="348"/>
        <filter val="35"/>
        <filter val="350"/>
        <filter val="358"/>
        <filter val="36"/>
        <filter val="366"/>
        <filter val="37"/>
        <filter val="384"/>
        <filter val="389"/>
        <filter val="39"/>
        <filter val="394"/>
        <filter val="398"/>
        <filter val="399"/>
        <filter val="4"/>
        <filter val="40"/>
        <filter val="408"/>
        <filter val="41"/>
        <filter val="411"/>
        <filter val="413"/>
        <filter val="414"/>
        <filter val="42"/>
        <filter val="429"/>
        <filter val="43"/>
        <filter val="431"/>
        <filter val="432"/>
        <filter val="436"/>
        <filter val="44"/>
        <filter val="444"/>
        <filter val="45"/>
        <filter val="451"/>
        <filter val="46"/>
        <filter val="467"/>
        <filter val="469"/>
        <filter val="47"/>
        <filter val="472"/>
        <filter val="478"/>
        <filter val="48"/>
        <filter val="487"/>
        <filter val="49"/>
        <filter val="492"/>
        <filter val="494"/>
        <filter val="497"/>
        <filter val="5"/>
        <filter val="50"/>
        <filter val="51"/>
        <filter val="514"/>
        <filter val="518"/>
        <filter val="52"/>
        <filter val="524"/>
        <filter val="53"/>
        <filter val="532"/>
        <filter val="534"/>
        <filter val="538"/>
        <filter val="54"/>
        <filter val="540"/>
        <filter val="542"/>
        <filter val="544"/>
        <filter val="55"/>
        <filter val="56"/>
        <filter val="560"/>
        <filter val="57"/>
        <filter val="58"/>
        <filter val="581"/>
        <filter val="589"/>
        <filter val="59"/>
        <filter val="597"/>
        <filter val="6"/>
        <filter val="60"/>
        <filter val="600"/>
        <filter val="606"/>
        <filter val="607"/>
        <filter val="619"/>
        <filter val="62"/>
        <filter val="620"/>
        <filter val="63"/>
        <filter val="630"/>
        <filter val="638"/>
        <filter val="647"/>
        <filter val="66"/>
        <filter val="660"/>
        <filter val="681"/>
        <filter val="683"/>
        <filter val="7"/>
        <filter val="70"/>
        <filter val="705"/>
        <filter val="71"/>
        <filter val="711"/>
        <filter val="72"/>
        <filter val="735"/>
        <filter val="74"/>
        <filter val="75"/>
        <filter val="755"/>
        <filter val="76"/>
        <filter val="77"/>
        <filter val="779"/>
        <filter val="78"/>
        <filter val="79"/>
        <filter val="8"/>
        <filter val="80"/>
        <filter val="806"/>
        <filter val="81"/>
        <filter val="83"/>
        <filter val="84"/>
        <filter val="87"/>
        <filter val="871"/>
        <filter val="880"/>
        <filter val="897"/>
        <filter val="9"/>
        <filter val="90"/>
        <filter val="908"/>
        <filter val="92"/>
        <filter val="934"/>
        <filter val="94"/>
        <filter val="95"/>
        <filter val="96"/>
        <filter val="98"/>
      </filters>
    </filterColumn>
  </autoFilter>
  <tableColumns count="6">
    <tableColumn id="1" xr3:uid="{4BEC1B14-6847-4E09-830A-8A10E1B09CB6}" name="id"/>
    <tableColumn id="2" xr3:uid="{10505BA2-6808-4F3D-BD7A-299204A3103F}" name="part_number"/>
    <tableColumn id="3" xr3:uid="{92BCB602-D68B-406C-BD4D-8FE3035C8199}" name="description"/>
    <tableColumn id="6" xr3:uid="{FB08BA3C-9DB1-4E8C-9E2E-C03DA807846A}" name="PRICE" dataCellStyle="Currency"/>
    <tableColumn id="4" xr3:uid="{AA87D1E2-BA31-4659-88E1-6071EE3451CE}" name="on_hand"/>
    <tableColumn id="5" xr3:uid="{1CB55BC7-7691-413F-82C7-462C46EEF58B}" name="Physical 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7667-72E7-4040-A3D7-E37E02941B6F}">
  <sheetPr>
    <tabColor theme="5" tint="-0.499984740745262"/>
  </sheetPr>
  <dimension ref="B1:V47"/>
  <sheetViews>
    <sheetView topLeftCell="A13" workbookViewId="0">
      <selection activeCell="M45" sqref="M45"/>
    </sheetView>
  </sheetViews>
  <sheetFormatPr defaultRowHeight="15" x14ac:dyDescent="0.25"/>
  <cols>
    <col min="3" max="3" width="10.5703125" bestFit="1" customWidth="1"/>
    <col min="4" max="6" width="10.28515625" bestFit="1" customWidth="1"/>
    <col min="8" max="9" width="9.42578125" customWidth="1"/>
    <col min="14" max="14" width="11.5703125" customWidth="1"/>
  </cols>
  <sheetData>
    <row r="1" spans="2:22" x14ac:dyDescent="0.25">
      <c r="V1" t="s">
        <v>111</v>
      </c>
    </row>
    <row r="2" spans="2:22" x14ac:dyDescent="0.25">
      <c r="C2" s="21"/>
      <c r="D2" s="22"/>
      <c r="E2" s="23"/>
      <c r="F2" s="24"/>
      <c r="U2">
        <v>46143</v>
      </c>
    </row>
    <row r="3" spans="2:22" x14ac:dyDescent="0.25">
      <c r="C3" s="11" t="s">
        <v>1673</v>
      </c>
      <c r="D3" s="11" t="s">
        <v>1378</v>
      </c>
      <c r="E3" s="11" t="s">
        <v>1379</v>
      </c>
      <c r="F3" s="11" t="s">
        <v>1380</v>
      </c>
      <c r="V3" t="s">
        <v>112</v>
      </c>
    </row>
    <row r="4" spans="2:22" x14ac:dyDescent="0.25">
      <c r="V4" t="s">
        <v>113</v>
      </c>
    </row>
    <row r="6" spans="2:22" x14ac:dyDescent="0.25">
      <c r="B6" t="s">
        <v>1479</v>
      </c>
    </row>
    <row r="8" spans="2:22" x14ac:dyDescent="0.25">
      <c r="C8">
        <v>1</v>
      </c>
      <c r="N8">
        <v>2</v>
      </c>
    </row>
    <row r="9" spans="2:22" x14ac:dyDescent="0.25">
      <c r="B9" t="s">
        <v>63</v>
      </c>
      <c r="C9" t="s">
        <v>76</v>
      </c>
      <c r="D9" t="s">
        <v>79</v>
      </c>
      <c r="E9" t="s">
        <v>0</v>
      </c>
      <c r="J9" t="s">
        <v>114</v>
      </c>
      <c r="K9" t="s">
        <v>114</v>
      </c>
      <c r="M9" t="s">
        <v>63</v>
      </c>
      <c r="N9" t="s">
        <v>76</v>
      </c>
      <c r="O9" t="s">
        <v>79</v>
      </c>
      <c r="P9" t="s">
        <v>0</v>
      </c>
      <c r="U9" t="s">
        <v>114</v>
      </c>
      <c r="V9" t="s">
        <v>114</v>
      </c>
    </row>
    <row r="10" spans="2:22" x14ac:dyDescent="0.25">
      <c r="B10" t="s">
        <v>64</v>
      </c>
      <c r="C10" t="s">
        <v>86</v>
      </c>
      <c r="D10" t="s">
        <v>75</v>
      </c>
      <c r="E10" s="8">
        <v>0.4</v>
      </c>
      <c r="F10" s="2" t="s">
        <v>1378</v>
      </c>
      <c r="G10" s="4" t="s">
        <v>1379</v>
      </c>
      <c r="H10" s="6" t="s">
        <v>1380</v>
      </c>
      <c r="I10" s="6"/>
      <c r="J10" t="s">
        <v>115</v>
      </c>
      <c r="K10" t="s">
        <v>65</v>
      </c>
      <c r="M10" t="s">
        <v>64</v>
      </c>
      <c r="N10" t="s">
        <v>86</v>
      </c>
      <c r="O10" t="s">
        <v>75</v>
      </c>
      <c r="P10">
        <v>0.38</v>
      </c>
      <c r="Q10" t="s">
        <v>1378</v>
      </c>
      <c r="R10" t="s">
        <v>1379</v>
      </c>
      <c r="S10" t="s">
        <v>1380</v>
      </c>
      <c r="U10" t="s">
        <v>115</v>
      </c>
      <c r="V10" t="s">
        <v>65</v>
      </c>
    </row>
    <row r="11" spans="2:22" x14ac:dyDescent="0.25">
      <c r="B11" t="s">
        <v>116</v>
      </c>
      <c r="C11" t="s">
        <v>10</v>
      </c>
      <c r="D11">
        <v>6.85</v>
      </c>
      <c r="E11" s="9">
        <f>D11*$E$10</f>
        <v>2.74</v>
      </c>
      <c r="F11" s="3">
        <f>(E11/0.65)+0.3</f>
        <v>4.5153846153846153</v>
      </c>
      <c r="G11" s="5">
        <f>(E11/0.7)+0.3</f>
        <v>4.2142857142857153</v>
      </c>
      <c r="H11" s="7">
        <f>(E11/0.75)+0.3</f>
        <v>3.9533333333333336</v>
      </c>
      <c r="I11" s="7">
        <f>(E11/0.8)+0.3</f>
        <v>3.7250000000000001</v>
      </c>
      <c r="J11">
        <v>12</v>
      </c>
      <c r="K11" t="s">
        <v>3</v>
      </c>
      <c r="M11" t="s">
        <v>117</v>
      </c>
      <c r="N11" t="s">
        <v>118</v>
      </c>
      <c r="O11">
        <v>7.52</v>
      </c>
      <c r="P11" s="9">
        <f>O11*$P$10</f>
        <v>2.8575999999999997</v>
      </c>
      <c r="Q11" s="3">
        <f>(P11/0.65)+0.3</f>
        <v>4.6963076923076912</v>
      </c>
      <c r="R11" s="5">
        <f>(P11/0.7)+0.3</f>
        <v>4.3822857142857137</v>
      </c>
      <c r="S11" s="7">
        <f>(P11/0.75)+0.3</f>
        <v>4.1101333333333328</v>
      </c>
      <c r="T11" s="7">
        <f>(P11/0.8)+0.3</f>
        <v>3.8719999999999994</v>
      </c>
      <c r="U11">
        <v>12</v>
      </c>
      <c r="V11" t="s">
        <v>59</v>
      </c>
    </row>
    <row r="12" spans="2:22" x14ac:dyDescent="0.25">
      <c r="B12" t="s">
        <v>119</v>
      </c>
      <c r="C12" t="s">
        <v>12</v>
      </c>
      <c r="D12">
        <v>7.24</v>
      </c>
      <c r="E12" s="9">
        <f t="shared" ref="E12:E45" si="0">D12*$E$10</f>
        <v>2.8960000000000004</v>
      </c>
      <c r="F12" s="3">
        <f t="shared" ref="F12:F45" si="1">(E12/0.65)+0.3</f>
        <v>4.7553846153846155</v>
      </c>
      <c r="G12" s="5">
        <f t="shared" ref="G12:G45" si="2">(E12/0.7)+0.3</f>
        <v>4.4371428571428577</v>
      </c>
      <c r="H12" s="7">
        <f t="shared" ref="H12:H45" si="3">(E12/0.75)+0.3</f>
        <v>4.1613333333333342</v>
      </c>
      <c r="I12" s="7">
        <f t="shared" ref="I12:I45" si="4">(E12/0.8)+0.3</f>
        <v>3.92</v>
      </c>
      <c r="J12">
        <v>12</v>
      </c>
      <c r="K12" t="s">
        <v>9</v>
      </c>
      <c r="M12" t="s">
        <v>120</v>
      </c>
      <c r="N12" t="s">
        <v>121</v>
      </c>
      <c r="O12">
        <v>10.07</v>
      </c>
      <c r="P12" s="9">
        <f t="shared" ref="P12:P31" si="5">O12*$P$10</f>
        <v>3.8266</v>
      </c>
      <c r="Q12" s="3">
        <f t="shared" ref="Q12:Q31" si="6">(P12/0.65)+0.3</f>
        <v>6.1870769230769227</v>
      </c>
      <c r="R12" s="5">
        <f t="shared" ref="R12:R31" si="7">(P12/0.7)+0.3</f>
        <v>5.7665714285714289</v>
      </c>
      <c r="S12" s="7">
        <f t="shared" ref="S12:S31" si="8">(P12/0.75)+0.3</f>
        <v>5.4021333333333335</v>
      </c>
      <c r="T12" s="7">
        <f t="shared" ref="T12:T31" si="9">(P12/0.8)+0.3</f>
        <v>5.0832499999999996</v>
      </c>
      <c r="U12">
        <v>12</v>
      </c>
      <c r="V12" t="s">
        <v>35</v>
      </c>
    </row>
    <row r="13" spans="2:22" x14ac:dyDescent="0.25">
      <c r="B13" t="s">
        <v>122</v>
      </c>
      <c r="C13" t="s">
        <v>13</v>
      </c>
      <c r="D13">
        <v>14.24</v>
      </c>
      <c r="E13" s="9">
        <f t="shared" si="0"/>
        <v>5.6960000000000006</v>
      </c>
      <c r="F13" s="3">
        <f t="shared" si="1"/>
        <v>9.0630769230769239</v>
      </c>
      <c r="G13" s="5">
        <f t="shared" si="2"/>
        <v>8.4371428571428595</v>
      </c>
      <c r="H13" s="7">
        <f t="shared" si="3"/>
        <v>7.8946666666666676</v>
      </c>
      <c r="I13" s="7">
        <f t="shared" si="4"/>
        <v>7.42</v>
      </c>
      <c r="J13">
        <v>12</v>
      </c>
      <c r="K13" t="s">
        <v>9</v>
      </c>
      <c r="M13" t="s">
        <v>123</v>
      </c>
      <c r="N13" t="s">
        <v>124</v>
      </c>
      <c r="O13">
        <v>8.02</v>
      </c>
      <c r="P13" s="9">
        <f t="shared" si="5"/>
        <v>3.0476000000000001</v>
      </c>
      <c r="Q13" s="3">
        <f t="shared" si="6"/>
        <v>4.9886153846153842</v>
      </c>
      <c r="R13" s="5">
        <f t="shared" si="7"/>
        <v>4.6537142857142859</v>
      </c>
      <c r="S13" s="7">
        <f t="shared" si="8"/>
        <v>4.3634666666666666</v>
      </c>
      <c r="T13" s="7">
        <f t="shared" si="9"/>
        <v>4.1094999999999997</v>
      </c>
      <c r="U13">
        <v>12</v>
      </c>
      <c r="V13" t="s">
        <v>54</v>
      </c>
    </row>
    <row r="14" spans="2:22" x14ac:dyDescent="0.25">
      <c r="B14" t="s">
        <v>125</v>
      </c>
      <c r="C14" t="s">
        <v>15</v>
      </c>
      <c r="D14">
        <v>14.62</v>
      </c>
      <c r="E14" s="9">
        <f t="shared" si="0"/>
        <v>5.8479999999999999</v>
      </c>
      <c r="F14" s="3">
        <f t="shared" si="1"/>
        <v>9.2969230769230773</v>
      </c>
      <c r="G14" s="5">
        <f t="shared" si="2"/>
        <v>8.6542857142857148</v>
      </c>
      <c r="H14" s="7">
        <f t="shared" si="3"/>
        <v>8.0973333333333333</v>
      </c>
      <c r="I14" s="7">
        <f t="shared" si="4"/>
        <v>7.6099999999999994</v>
      </c>
      <c r="J14">
        <v>12</v>
      </c>
      <c r="K14" t="s">
        <v>30</v>
      </c>
      <c r="M14" t="s">
        <v>126</v>
      </c>
      <c r="N14" t="s">
        <v>41</v>
      </c>
      <c r="O14">
        <v>7.74</v>
      </c>
      <c r="P14" s="9">
        <f t="shared" si="5"/>
        <v>2.9412000000000003</v>
      </c>
      <c r="Q14" s="3">
        <f t="shared" si="6"/>
        <v>4.8249230769230769</v>
      </c>
      <c r="R14" s="5">
        <f t="shared" si="7"/>
        <v>4.5017142857142858</v>
      </c>
      <c r="S14" s="7">
        <f t="shared" si="8"/>
        <v>4.2216000000000005</v>
      </c>
      <c r="T14" s="7">
        <f t="shared" si="9"/>
        <v>3.9765000000000001</v>
      </c>
      <c r="U14">
        <v>12</v>
      </c>
      <c r="V14" t="s">
        <v>59</v>
      </c>
    </row>
    <row r="15" spans="2:22" x14ac:dyDescent="0.25">
      <c r="B15" t="s">
        <v>127</v>
      </c>
      <c r="C15" t="s">
        <v>16</v>
      </c>
      <c r="D15">
        <v>8.7899999999999991</v>
      </c>
      <c r="E15" s="9">
        <f t="shared" si="0"/>
        <v>3.516</v>
      </c>
      <c r="F15" s="3">
        <f t="shared" si="1"/>
        <v>5.7092307692307687</v>
      </c>
      <c r="G15" s="5">
        <f t="shared" si="2"/>
        <v>5.322857142857143</v>
      </c>
      <c r="H15" s="7">
        <f t="shared" si="3"/>
        <v>4.9879999999999995</v>
      </c>
      <c r="I15" s="7">
        <f t="shared" si="4"/>
        <v>4.6949999999999994</v>
      </c>
      <c r="J15">
        <v>12</v>
      </c>
      <c r="K15" t="s">
        <v>5</v>
      </c>
      <c r="M15" t="s">
        <v>128</v>
      </c>
      <c r="N15" t="s">
        <v>42</v>
      </c>
      <c r="O15">
        <v>8.24</v>
      </c>
      <c r="P15" s="9">
        <f t="shared" si="5"/>
        <v>3.1312000000000002</v>
      </c>
      <c r="Q15" s="3">
        <f t="shared" si="6"/>
        <v>5.117230769230769</v>
      </c>
      <c r="R15" s="5">
        <f t="shared" si="7"/>
        <v>4.7731428571428571</v>
      </c>
      <c r="S15" s="7">
        <f t="shared" si="8"/>
        <v>4.4749333333333334</v>
      </c>
      <c r="T15" s="7">
        <f t="shared" si="9"/>
        <v>4.2140000000000004</v>
      </c>
      <c r="U15">
        <v>12</v>
      </c>
      <c r="V15" t="s">
        <v>59</v>
      </c>
    </row>
    <row r="16" spans="2:22" x14ac:dyDescent="0.25">
      <c r="B16" t="s">
        <v>129</v>
      </c>
      <c r="C16" t="s">
        <v>17</v>
      </c>
      <c r="D16">
        <v>7.44</v>
      </c>
      <c r="E16" s="9">
        <f t="shared" si="0"/>
        <v>2.9760000000000004</v>
      </c>
      <c r="F16" s="3">
        <f t="shared" si="1"/>
        <v>4.8784615384615391</v>
      </c>
      <c r="G16" s="5">
        <f t="shared" si="2"/>
        <v>4.5514285714285725</v>
      </c>
      <c r="H16" s="7">
        <f t="shared" si="3"/>
        <v>4.2680000000000007</v>
      </c>
      <c r="I16" s="7">
        <f t="shared" si="4"/>
        <v>4.0200000000000005</v>
      </c>
      <c r="J16">
        <v>12</v>
      </c>
      <c r="K16" t="s">
        <v>30</v>
      </c>
      <c r="M16" t="s">
        <v>130</v>
      </c>
      <c r="N16" t="s">
        <v>43</v>
      </c>
      <c r="O16">
        <v>9.09</v>
      </c>
      <c r="P16" s="9">
        <f t="shared" si="5"/>
        <v>3.4542000000000002</v>
      </c>
      <c r="Q16" s="3">
        <f t="shared" si="6"/>
        <v>5.6141538461538456</v>
      </c>
      <c r="R16" s="5">
        <f t="shared" si="7"/>
        <v>5.2345714285714289</v>
      </c>
      <c r="S16" s="7">
        <f t="shared" si="8"/>
        <v>4.9055999999999997</v>
      </c>
      <c r="T16" s="7">
        <f t="shared" si="9"/>
        <v>4.61775</v>
      </c>
      <c r="U16">
        <v>12</v>
      </c>
      <c r="V16" t="s">
        <v>56</v>
      </c>
    </row>
    <row r="17" spans="2:22" x14ac:dyDescent="0.25">
      <c r="B17" t="s">
        <v>131</v>
      </c>
      <c r="C17" t="s">
        <v>19</v>
      </c>
      <c r="D17">
        <v>7.24</v>
      </c>
      <c r="E17" s="9">
        <f t="shared" si="0"/>
        <v>2.8960000000000004</v>
      </c>
      <c r="F17" s="3">
        <f t="shared" si="1"/>
        <v>4.7553846153846155</v>
      </c>
      <c r="G17" s="5">
        <f t="shared" si="2"/>
        <v>4.4371428571428577</v>
      </c>
      <c r="H17" s="7">
        <f t="shared" si="3"/>
        <v>4.1613333333333342</v>
      </c>
      <c r="I17" s="7">
        <f t="shared" si="4"/>
        <v>3.92</v>
      </c>
      <c r="J17">
        <v>12</v>
      </c>
      <c r="K17" t="s">
        <v>9</v>
      </c>
      <c r="M17" t="s">
        <v>132</v>
      </c>
      <c r="N17" t="s">
        <v>44</v>
      </c>
      <c r="O17">
        <v>8.24</v>
      </c>
      <c r="P17" s="9">
        <f t="shared" si="5"/>
        <v>3.1312000000000002</v>
      </c>
      <c r="Q17" s="3">
        <f t="shared" si="6"/>
        <v>5.117230769230769</v>
      </c>
      <c r="R17" s="5">
        <f t="shared" si="7"/>
        <v>4.7731428571428571</v>
      </c>
      <c r="S17" s="7">
        <f t="shared" si="8"/>
        <v>4.4749333333333334</v>
      </c>
      <c r="T17" s="7">
        <f t="shared" si="9"/>
        <v>4.2140000000000004</v>
      </c>
      <c r="U17">
        <v>12</v>
      </c>
      <c r="V17" t="s">
        <v>59</v>
      </c>
    </row>
    <row r="18" spans="2:22" x14ac:dyDescent="0.25">
      <c r="B18" t="s">
        <v>133</v>
      </c>
      <c r="C18" t="s">
        <v>21</v>
      </c>
      <c r="D18">
        <v>7.74</v>
      </c>
      <c r="E18" s="9">
        <f t="shared" si="0"/>
        <v>3.0960000000000001</v>
      </c>
      <c r="F18" s="3">
        <f t="shared" si="1"/>
        <v>5.063076923076923</v>
      </c>
      <c r="G18" s="5">
        <f t="shared" si="2"/>
        <v>4.7228571428571433</v>
      </c>
      <c r="H18" s="7">
        <f t="shared" si="3"/>
        <v>4.4279999999999999</v>
      </c>
      <c r="I18" s="7">
        <f t="shared" si="4"/>
        <v>4.17</v>
      </c>
      <c r="J18">
        <v>12</v>
      </c>
      <c r="K18" t="s">
        <v>9</v>
      </c>
      <c r="M18" t="s">
        <v>134</v>
      </c>
      <c r="N18" t="s">
        <v>45</v>
      </c>
      <c r="O18">
        <v>10.56</v>
      </c>
      <c r="P18" s="9">
        <f t="shared" si="5"/>
        <v>4.0128000000000004</v>
      </c>
      <c r="Q18" s="3">
        <f t="shared" si="6"/>
        <v>6.4735384615384621</v>
      </c>
      <c r="R18" s="5">
        <f t="shared" si="7"/>
        <v>6.0325714285714289</v>
      </c>
      <c r="S18" s="7">
        <f t="shared" si="8"/>
        <v>5.6504000000000003</v>
      </c>
      <c r="T18" s="7">
        <f t="shared" si="9"/>
        <v>5.3159999999999998</v>
      </c>
      <c r="U18">
        <v>12</v>
      </c>
      <c r="V18" t="s">
        <v>54</v>
      </c>
    </row>
    <row r="19" spans="2:22" x14ac:dyDescent="0.25">
      <c r="B19" t="s">
        <v>135</v>
      </c>
      <c r="C19" t="s">
        <v>23</v>
      </c>
      <c r="D19">
        <v>14.62</v>
      </c>
      <c r="E19" s="9">
        <f t="shared" si="0"/>
        <v>5.8479999999999999</v>
      </c>
      <c r="F19" s="3">
        <f t="shared" si="1"/>
        <v>9.2969230769230773</v>
      </c>
      <c r="G19" s="5">
        <f t="shared" si="2"/>
        <v>8.6542857142857148</v>
      </c>
      <c r="H19" s="7">
        <f t="shared" si="3"/>
        <v>8.0973333333333333</v>
      </c>
      <c r="I19" s="7">
        <f t="shared" si="4"/>
        <v>7.6099999999999994</v>
      </c>
      <c r="J19">
        <v>12</v>
      </c>
      <c r="K19" t="s">
        <v>30</v>
      </c>
      <c r="M19" t="s">
        <v>136</v>
      </c>
      <c r="N19" t="s">
        <v>46</v>
      </c>
      <c r="O19">
        <v>7.76</v>
      </c>
      <c r="P19" s="9">
        <f t="shared" si="5"/>
        <v>2.9487999999999999</v>
      </c>
      <c r="Q19" s="3">
        <f t="shared" si="6"/>
        <v>4.8366153846153841</v>
      </c>
      <c r="R19" s="5">
        <f t="shared" si="7"/>
        <v>4.5125714285714285</v>
      </c>
      <c r="S19" s="7">
        <f t="shared" si="8"/>
        <v>4.2317333333333336</v>
      </c>
      <c r="T19" s="7">
        <f t="shared" si="9"/>
        <v>3.9859999999999993</v>
      </c>
      <c r="U19">
        <v>12</v>
      </c>
      <c r="V19" t="s">
        <v>54</v>
      </c>
    </row>
    <row r="20" spans="2:22" x14ac:dyDescent="0.25">
      <c r="B20" t="s">
        <v>137</v>
      </c>
      <c r="C20" t="s">
        <v>11</v>
      </c>
      <c r="D20">
        <v>10.43</v>
      </c>
      <c r="E20" s="9">
        <f t="shared" si="0"/>
        <v>4.1719999999999997</v>
      </c>
      <c r="F20" s="3">
        <f t="shared" si="1"/>
        <v>6.718461538461538</v>
      </c>
      <c r="G20" s="5">
        <f t="shared" si="2"/>
        <v>6.26</v>
      </c>
      <c r="H20" s="7">
        <f t="shared" si="3"/>
        <v>5.8626666666666658</v>
      </c>
      <c r="I20" s="7">
        <f t="shared" si="4"/>
        <v>5.5149999999999988</v>
      </c>
      <c r="J20">
        <v>12</v>
      </c>
      <c r="K20" t="s">
        <v>9</v>
      </c>
      <c r="M20" t="s">
        <v>138</v>
      </c>
      <c r="N20" t="s">
        <v>47</v>
      </c>
      <c r="O20">
        <v>10.41</v>
      </c>
      <c r="P20" s="9">
        <f t="shared" si="5"/>
        <v>3.9558</v>
      </c>
      <c r="Q20" s="3">
        <f t="shared" si="6"/>
        <v>6.3858461538461535</v>
      </c>
      <c r="R20" s="5">
        <f t="shared" si="7"/>
        <v>5.9511428571428571</v>
      </c>
      <c r="S20" s="7">
        <f t="shared" si="8"/>
        <v>5.5743999999999998</v>
      </c>
      <c r="T20" s="7">
        <f t="shared" si="9"/>
        <v>5.2447499999999998</v>
      </c>
      <c r="U20">
        <v>12</v>
      </c>
      <c r="V20" t="s">
        <v>56</v>
      </c>
    </row>
    <row r="21" spans="2:22" x14ac:dyDescent="0.25">
      <c r="B21" t="s">
        <v>139</v>
      </c>
      <c r="C21" t="s">
        <v>25</v>
      </c>
      <c r="D21">
        <v>7.44</v>
      </c>
      <c r="E21" s="9">
        <f t="shared" si="0"/>
        <v>2.9760000000000004</v>
      </c>
      <c r="F21" s="3">
        <f t="shared" si="1"/>
        <v>4.8784615384615391</v>
      </c>
      <c r="G21" s="5">
        <f t="shared" si="2"/>
        <v>4.5514285714285725</v>
      </c>
      <c r="H21" s="7">
        <f t="shared" si="3"/>
        <v>4.2680000000000007</v>
      </c>
      <c r="I21" s="7">
        <f t="shared" si="4"/>
        <v>4.0200000000000005</v>
      </c>
      <c r="J21">
        <v>12</v>
      </c>
      <c r="K21" t="s">
        <v>9</v>
      </c>
      <c r="M21" t="s">
        <v>140</v>
      </c>
      <c r="N21" t="s">
        <v>48</v>
      </c>
      <c r="O21">
        <v>8.84</v>
      </c>
      <c r="P21" s="9">
        <f t="shared" si="5"/>
        <v>3.3592</v>
      </c>
      <c r="Q21" s="3">
        <f t="shared" si="6"/>
        <v>5.468</v>
      </c>
      <c r="R21" s="5">
        <f t="shared" si="7"/>
        <v>5.0988571428571428</v>
      </c>
      <c r="S21" s="7">
        <f t="shared" si="8"/>
        <v>4.7789333333333328</v>
      </c>
      <c r="T21" s="7">
        <f t="shared" si="9"/>
        <v>4.4989999999999997</v>
      </c>
      <c r="U21">
        <v>12</v>
      </c>
      <c r="V21" t="s">
        <v>56</v>
      </c>
    </row>
    <row r="22" spans="2:22" x14ac:dyDescent="0.25">
      <c r="B22" t="s">
        <v>141</v>
      </c>
      <c r="C22" t="s">
        <v>14</v>
      </c>
      <c r="D22">
        <v>12.12</v>
      </c>
      <c r="E22" s="9">
        <f t="shared" si="0"/>
        <v>4.8479999999999999</v>
      </c>
      <c r="F22" s="3">
        <f t="shared" si="1"/>
        <v>7.7584615384615381</v>
      </c>
      <c r="G22" s="5">
        <f t="shared" si="2"/>
        <v>7.225714285714286</v>
      </c>
      <c r="H22" s="7">
        <f t="shared" si="3"/>
        <v>6.7639999999999993</v>
      </c>
      <c r="I22" s="7">
        <f t="shared" si="4"/>
        <v>6.3599999999999994</v>
      </c>
      <c r="J22">
        <v>12</v>
      </c>
      <c r="K22" t="s">
        <v>30</v>
      </c>
      <c r="M22" t="s">
        <v>142</v>
      </c>
      <c r="N22" t="s">
        <v>143</v>
      </c>
      <c r="O22">
        <v>15.6</v>
      </c>
      <c r="P22" s="9">
        <f t="shared" si="5"/>
        <v>5.9279999999999999</v>
      </c>
      <c r="Q22" s="3">
        <f t="shared" si="6"/>
        <v>9.42</v>
      </c>
      <c r="R22" s="5">
        <f t="shared" si="7"/>
        <v>8.7685714285714305</v>
      </c>
      <c r="S22" s="7">
        <f t="shared" si="8"/>
        <v>8.2040000000000006</v>
      </c>
      <c r="T22" s="7">
        <f t="shared" si="9"/>
        <v>7.7099999999999991</v>
      </c>
      <c r="U22">
        <v>12</v>
      </c>
      <c r="V22" t="s">
        <v>56</v>
      </c>
    </row>
    <row r="23" spans="2:22" x14ac:dyDescent="0.25">
      <c r="B23" t="s">
        <v>144</v>
      </c>
      <c r="C23" t="s">
        <v>27</v>
      </c>
      <c r="D23">
        <v>8.08</v>
      </c>
      <c r="E23" s="9">
        <f t="shared" si="0"/>
        <v>3.2320000000000002</v>
      </c>
      <c r="F23" s="3">
        <f t="shared" si="1"/>
        <v>5.2723076923076926</v>
      </c>
      <c r="G23" s="5">
        <f t="shared" si="2"/>
        <v>4.9171428571428573</v>
      </c>
      <c r="H23" s="7">
        <f t="shared" si="3"/>
        <v>4.6093333333333337</v>
      </c>
      <c r="I23" s="7">
        <f t="shared" si="4"/>
        <v>4.34</v>
      </c>
      <c r="J23">
        <v>12</v>
      </c>
      <c r="K23" t="s">
        <v>30</v>
      </c>
      <c r="M23" t="s">
        <v>145</v>
      </c>
      <c r="N23" t="s">
        <v>146</v>
      </c>
      <c r="O23">
        <v>10.48</v>
      </c>
      <c r="P23" s="9">
        <f t="shared" si="5"/>
        <v>3.9824000000000002</v>
      </c>
      <c r="Q23" s="3">
        <f t="shared" si="6"/>
        <v>6.4267692307692306</v>
      </c>
      <c r="R23" s="5">
        <f t="shared" si="7"/>
        <v>5.9891428571428573</v>
      </c>
      <c r="S23" s="7">
        <f t="shared" si="8"/>
        <v>5.609866666666667</v>
      </c>
      <c r="T23" s="7">
        <f t="shared" si="9"/>
        <v>5.2779999999999996</v>
      </c>
      <c r="U23">
        <v>12</v>
      </c>
      <c r="V23" t="s">
        <v>56</v>
      </c>
    </row>
    <row r="24" spans="2:22" x14ac:dyDescent="0.25">
      <c r="B24" t="s">
        <v>147</v>
      </c>
      <c r="C24" t="s">
        <v>29</v>
      </c>
      <c r="D24">
        <v>15.77</v>
      </c>
      <c r="E24" s="9">
        <f t="shared" si="0"/>
        <v>6.3079999999999998</v>
      </c>
      <c r="F24" s="3">
        <f t="shared" si="1"/>
        <v>10.004615384615384</v>
      </c>
      <c r="G24" s="5">
        <f t="shared" si="2"/>
        <v>9.3114285714285732</v>
      </c>
      <c r="H24" s="7">
        <f t="shared" si="3"/>
        <v>8.7106666666666666</v>
      </c>
      <c r="I24" s="7">
        <f t="shared" si="4"/>
        <v>8.1850000000000005</v>
      </c>
      <c r="J24">
        <v>12</v>
      </c>
      <c r="K24" t="s">
        <v>30</v>
      </c>
      <c r="M24" t="s">
        <v>148</v>
      </c>
      <c r="N24" t="s">
        <v>49</v>
      </c>
      <c r="O24">
        <v>10.19</v>
      </c>
      <c r="P24" s="9">
        <f t="shared" si="5"/>
        <v>3.8721999999999999</v>
      </c>
      <c r="Q24" s="3">
        <f t="shared" si="6"/>
        <v>6.2572307692307687</v>
      </c>
      <c r="R24" s="5">
        <f t="shared" si="7"/>
        <v>5.8317142857142859</v>
      </c>
      <c r="S24" s="7">
        <f t="shared" si="8"/>
        <v>5.462933333333333</v>
      </c>
      <c r="T24" s="7">
        <f t="shared" si="9"/>
        <v>5.1402499999999991</v>
      </c>
      <c r="U24">
        <v>12</v>
      </c>
      <c r="V24" t="s">
        <v>88</v>
      </c>
    </row>
    <row r="25" spans="2:22" x14ac:dyDescent="0.25">
      <c r="B25" t="s">
        <v>149</v>
      </c>
      <c r="C25" t="s">
        <v>31</v>
      </c>
      <c r="D25">
        <v>7.52</v>
      </c>
      <c r="E25" s="9">
        <f t="shared" si="0"/>
        <v>3.008</v>
      </c>
      <c r="F25" s="3">
        <f t="shared" si="1"/>
        <v>4.9276923076923076</v>
      </c>
      <c r="G25" s="5">
        <f t="shared" si="2"/>
        <v>4.597142857142857</v>
      </c>
      <c r="H25" s="7">
        <f t="shared" si="3"/>
        <v>4.3106666666666662</v>
      </c>
      <c r="I25" s="7">
        <f t="shared" si="4"/>
        <v>4.0599999999999996</v>
      </c>
      <c r="J25">
        <v>12</v>
      </c>
      <c r="K25" t="s">
        <v>9</v>
      </c>
      <c r="M25" t="s">
        <v>150</v>
      </c>
      <c r="N25" t="s">
        <v>151</v>
      </c>
      <c r="O25">
        <v>10.99</v>
      </c>
      <c r="P25" s="9">
        <f t="shared" si="5"/>
        <v>4.1761999999999997</v>
      </c>
      <c r="Q25" s="3">
        <f t="shared" si="6"/>
        <v>6.7249230769230763</v>
      </c>
      <c r="R25" s="5">
        <f t="shared" si="7"/>
        <v>6.266</v>
      </c>
      <c r="S25" s="7">
        <f t="shared" si="8"/>
        <v>5.8682666666666661</v>
      </c>
      <c r="T25" s="7">
        <f t="shared" si="9"/>
        <v>5.520249999999999</v>
      </c>
      <c r="U25">
        <v>12</v>
      </c>
      <c r="V25" t="s">
        <v>80</v>
      </c>
    </row>
    <row r="26" spans="2:22" x14ac:dyDescent="0.25">
      <c r="B26" t="s">
        <v>152</v>
      </c>
      <c r="C26" t="s">
        <v>153</v>
      </c>
      <c r="D26">
        <v>15.77</v>
      </c>
      <c r="E26" s="9">
        <f t="shared" si="0"/>
        <v>6.3079999999999998</v>
      </c>
      <c r="F26" s="3">
        <f t="shared" si="1"/>
        <v>10.004615384615384</v>
      </c>
      <c r="G26" s="5">
        <f t="shared" si="2"/>
        <v>9.3114285714285732</v>
      </c>
      <c r="H26" s="7">
        <f t="shared" si="3"/>
        <v>8.7106666666666666</v>
      </c>
      <c r="I26" s="7">
        <f t="shared" si="4"/>
        <v>8.1850000000000005</v>
      </c>
      <c r="J26">
        <v>12</v>
      </c>
      <c r="K26" t="s">
        <v>59</v>
      </c>
      <c r="M26" t="s">
        <v>154</v>
      </c>
      <c r="N26" t="s">
        <v>50</v>
      </c>
      <c r="O26">
        <v>8.99</v>
      </c>
      <c r="P26" s="9">
        <f t="shared" si="5"/>
        <v>3.4161999999999999</v>
      </c>
      <c r="Q26" s="3">
        <f t="shared" si="6"/>
        <v>5.5556923076923068</v>
      </c>
      <c r="R26" s="5">
        <f t="shared" si="7"/>
        <v>5.1802857142857146</v>
      </c>
      <c r="S26" s="7">
        <f t="shared" si="8"/>
        <v>4.8549333333333333</v>
      </c>
      <c r="T26" s="7">
        <f t="shared" si="9"/>
        <v>4.5702499999999997</v>
      </c>
      <c r="U26">
        <v>12</v>
      </c>
      <c r="V26" t="s">
        <v>88</v>
      </c>
    </row>
    <row r="27" spans="2:22" x14ac:dyDescent="0.25">
      <c r="B27" t="s">
        <v>155</v>
      </c>
      <c r="C27" t="s">
        <v>32</v>
      </c>
      <c r="D27">
        <v>10.49</v>
      </c>
      <c r="E27" s="9">
        <f t="shared" si="0"/>
        <v>4.1960000000000006</v>
      </c>
      <c r="F27" s="3">
        <f t="shared" si="1"/>
        <v>6.7553846153846155</v>
      </c>
      <c r="G27" s="5">
        <f t="shared" si="2"/>
        <v>6.2942857142857154</v>
      </c>
      <c r="H27" s="7">
        <f t="shared" si="3"/>
        <v>5.8946666666666676</v>
      </c>
      <c r="I27" s="7">
        <f t="shared" si="4"/>
        <v>5.5449999999999999</v>
      </c>
      <c r="J27">
        <v>12</v>
      </c>
      <c r="K27" t="s">
        <v>9</v>
      </c>
      <c r="M27" t="s">
        <v>156</v>
      </c>
      <c r="N27" t="s">
        <v>51</v>
      </c>
      <c r="O27">
        <v>10.56</v>
      </c>
      <c r="P27" s="9">
        <f t="shared" si="5"/>
        <v>4.0128000000000004</v>
      </c>
      <c r="Q27" s="3">
        <f t="shared" si="6"/>
        <v>6.4735384615384621</v>
      </c>
      <c r="R27" s="5">
        <f t="shared" si="7"/>
        <v>6.0325714285714289</v>
      </c>
      <c r="S27" s="7">
        <f t="shared" si="8"/>
        <v>5.6504000000000003</v>
      </c>
      <c r="T27" s="7">
        <f t="shared" si="9"/>
        <v>5.3159999999999998</v>
      </c>
      <c r="U27">
        <v>12</v>
      </c>
      <c r="V27" t="s">
        <v>67</v>
      </c>
    </row>
    <row r="28" spans="2:22" x14ac:dyDescent="0.25">
      <c r="B28" t="s">
        <v>157</v>
      </c>
      <c r="C28" t="s">
        <v>2</v>
      </c>
      <c r="D28">
        <v>7.17</v>
      </c>
      <c r="E28" s="9">
        <f t="shared" si="0"/>
        <v>2.8680000000000003</v>
      </c>
      <c r="F28" s="3">
        <f t="shared" si="1"/>
        <v>4.7123076923076921</v>
      </c>
      <c r="G28" s="5">
        <f t="shared" si="2"/>
        <v>4.3971428571428577</v>
      </c>
      <c r="H28" s="7">
        <f t="shared" si="3"/>
        <v>4.1240000000000006</v>
      </c>
      <c r="I28" s="7">
        <f t="shared" si="4"/>
        <v>3.8850000000000002</v>
      </c>
      <c r="J28">
        <v>12</v>
      </c>
      <c r="K28" t="s">
        <v>158</v>
      </c>
      <c r="M28" t="s">
        <v>159</v>
      </c>
      <c r="N28" t="s">
        <v>52</v>
      </c>
      <c r="O28">
        <v>10.27</v>
      </c>
      <c r="P28" s="9">
        <f t="shared" si="5"/>
        <v>3.9026000000000001</v>
      </c>
      <c r="Q28" s="3">
        <f t="shared" si="6"/>
        <v>6.3039999999999994</v>
      </c>
      <c r="R28" s="5">
        <f t="shared" si="7"/>
        <v>5.8751428571428574</v>
      </c>
      <c r="S28" s="7">
        <f t="shared" si="8"/>
        <v>5.5034666666666663</v>
      </c>
      <c r="T28" s="7">
        <f t="shared" si="9"/>
        <v>5.1782499999999994</v>
      </c>
      <c r="U28">
        <v>12</v>
      </c>
      <c r="V28" t="s">
        <v>67</v>
      </c>
    </row>
    <row r="29" spans="2:22" x14ac:dyDescent="0.25">
      <c r="B29" t="s">
        <v>160</v>
      </c>
      <c r="C29" t="s">
        <v>18</v>
      </c>
      <c r="D29">
        <v>10.220000000000001</v>
      </c>
      <c r="E29" s="9">
        <f t="shared" si="0"/>
        <v>4.0880000000000001</v>
      </c>
      <c r="F29" s="3">
        <f t="shared" si="1"/>
        <v>6.5892307692307686</v>
      </c>
      <c r="G29" s="5">
        <f t="shared" si="2"/>
        <v>6.1400000000000006</v>
      </c>
      <c r="H29" s="7">
        <f t="shared" si="3"/>
        <v>5.7506666666666666</v>
      </c>
      <c r="I29" s="7">
        <f t="shared" si="4"/>
        <v>5.4099999999999993</v>
      </c>
      <c r="J29">
        <v>12</v>
      </c>
      <c r="K29" t="s">
        <v>35</v>
      </c>
      <c r="M29" t="s">
        <v>161</v>
      </c>
      <c r="N29" t="s">
        <v>162</v>
      </c>
      <c r="O29">
        <v>19.18</v>
      </c>
      <c r="P29" s="9">
        <f t="shared" si="5"/>
        <v>7.2884000000000002</v>
      </c>
      <c r="Q29" s="3">
        <f t="shared" si="6"/>
        <v>11.512923076923078</v>
      </c>
      <c r="R29" s="5">
        <f t="shared" si="7"/>
        <v>10.712000000000002</v>
      </c>
      <c r="S29" s="7">
        <f t="shared" si="8"/>
        <v>10.017866666666668</v>
      </c>
      <c r="T29" s="7">
        <f t="shared" si="9"/>
        <v>9.4105000000000008</v>
      </c>
      <c r="U29">
        <v>12</v>
      </c>
      <c r="V29" t="s">
        <v>92</v>
      </c>
    </row>
    <row r="30" spans="2:22" x14ac:dyDescent="0.25">
      <c r="B30" t="s">
        <v>163</v>
      </c>
      <c r="C30" t="s">
        <v>4</v>
      </c>
      <c r="D30">
        <v>7.88</v>
      </c>
      <c r="E30" s="9">
        <f t="shared" si="0"/>
        <v>3.1520000000000001</v>
      </c>
      <c r="F30" s="3">
        <f t="shared" si="1"/>
        <v>5.1492307692307691</v>
      </c>
      <c r="G30" s="5">
        <f t="shared" si="2"/>
        <v>4.8028571428571434</v>
      </c>
      <c r="H30" s="7">
        <f t="shared" si="3"/>
        <v>4.5026666666666664</v>
      </c>
      <c r="I30" s="7">
        <f t="shared" si="4"/>
        <v>4.24</v>
      </c>
      <c r="J30">
        <v>12</v>
      </c>
      <c r="K30" t="s">
        <v>164</v>
      </c>
      <c r="M30" t="s">
        <v>165</v>
      </c>
      <c r="N30" t="s">
        <v>53</v>
      </c>
      <c r="O30">
        <v>11.46</v>
      </c>
      <c r="P30" s="9">
        <f t="shared" si="5"/>
        <v>4.3548</v>
      </c>
      <c r="Q30" s="3">
        <f t="shared" si="6"/>
        <v>6.9996923076923077</v>
      </c>
      <c r="R30" s="5">
        <f t="shared" si="7"/>
        <v>6.5211428571428574</v>
      </c>
      <c r="S30" s="7">
        <f t="shared" si="8"/>
        <v>6.1063999999999998</v>
      </c>
      <c r="T30" s="7">
        <f t="shared" si="9"/>
        <v>5.7434999999999992</v>
      </c>
      <c r="U30">
        <v>12</v>
      </c>
      <c r="V30" t="s">
        <v>80</v>
      </c>
    </row>
    <row r="31" spans="2:22" x14ac:dyDescent="0.25">
      <c r="B31" t="s">
        <v>166</v>
      </c>
      <c r="C31" t="s">
        <v>20</v>
      </c>
      <c r="D31">
        <v>15.77</v>
      </c>
      <c r="E31" s="9">
        <f t="shared" si="0"/>
        <v>6.3079999999999998</v>
      </c>
      <c r="F31" s="3">
        <f t="shared" si="1"/>
        <v>10.004615384615384</v>
      </c>
      <c r="G31" s="5">
        <f t="shared" si="2"/>
        <v>9.3114285714285732</v>
      </c>
      <c r="H31" s="7">
        <f t="shared" si="3"/>
        <v>8.7106666666666666</v>
      </c>
      <c r="I31" s="7">
        <f t="shared" si="4"/>
        <v>8.1850000000000005</v>
      </c>
      <c r="J31">
        <v>12</v>
      </c>
      <c r="K31" t="s">
        <v>59</v>
      </c>
      <c r="M31" t="s">
        <v>167</v>
      </c>
      <c r="N31" t="s">
        <v>55</v>
      </c>
      <c r="O31">
        <v>13.86</v>
      </c>
      <c r="P31" s="9">
        <f t="shared" si="5"/>
        <v>5.2667999999999999</v>
      </c>
      <c r="Q31" s="3">
        <f t="shared" si="6"/>
        <v>8.4027692307692305</v>
      </c>
      <c r="R31" s="5">
        <f t="shared" si="7"/>
        <v>7.8239999999999998</v>
      </c>
      <c r="S31" s="7">
        <f t="shared" si="8"/>
        <v>7.3224</v>
      </c>
      <c r="T31" s="7">
        <f t="shared" si="9"/>
        <v>6.8834999999999997</v>
      </c>
      <c r="U31">
        <v>12</v>
      </c>
      <c r="V31" t="s">
        <v>81</v>
      </c>
    </row>
    <row r="32" spans="2:22" x14ac:dyDescent="0.25">
      <c r="B32" t="s">
        <v>168</v>
      </c>
      <c r="C32" t="s">
        <v>22</v>
      </c>
      <c r="D32">
        <v>14.62</v>
      </c>
      <c r="E32" s="9">
        <f t="shared" si="0"/>
        <v>5.8479999999999999</v>
      </c>
      <c r="F32" s="3">
        <f t="shared" si="1"/>
        <v>9.2969230769230773</v>
      </c>
      <c r="G32" s="5">
        <f t="shared" si="2"/>
        <v>8.6542857142857148</v>
      </c>
      <c r="H32" s="7">
        <f t="shared" si="3"/>
        <v>8.0973333333333333</v>
      </c>
      <c r="I32" s="7">
        <f t="shared" si="4"/>
        <v>7.6099999999999994</v>
      </c>
      <c r="J32">
        <v>12</v>
      </c>
      <c r="K32" t="s">
        <v>35</v>
      </c>
    </row>
    <row r="33" spans="2:22" x14ac:dyDescent="0.25">
      <c r="B33" t="s">
        <v>169</v>
      </c>
      <c r="C33" t="s">
        <v>24</v>
      </c>
      <c r="D33">
        <v>10.19</v>
      </c>
      <c r="E33" s="9">
        <f t="shared" si="0"/>
        <v>4.0759999999999996</v>
      </c>
      <c r="F33" s="3">
        <f t="shared" si="1"/>
        <v>6.5707692307692298</v>
      </c>
      <c r="G33" s="5">
        <f t="shared" si="2"/>
        <v>6.1228571428571428</v>
      </c>
      <c r="H33" s="7">
        <f t="shared" si="3"/>
        <v>5.7346666666666657</v>
      </c>
      <c r="I33" s="7">
        <f t="shared" si="4"/>
        <v>5.3949999999999987</v>
      </c>
      <c r="J33">
        <v>12</v>
      </c>
      <c r="K33" t="s">
        <v>35</v>
      </c>
      <c r="N33">
        <v>4</v>
      </c>
    </row>
    <row r="34" spans="2:22" x14ac:dyDescent="0.25">
      <c r="B34" t="s">
        <v>170</v>
      </c>
      <c r="C34" t="s">
        <v>26</v>
      </c>
      <c r="D34">
        <v>9.77</v>
      </c>
      <c r="E34" s="9">
        <f t="shared" si="0"/>
        <v>3.9079999999999999</v>
      </c>
      <c r="F34" s="3">
        <f t="shared" si="1"/>
        <v>6.3123076923076917</v>
      </c>
      <c r="G34" s="5">
        <f t="shared" si="2"/>
        <v>5.8828571428571426</v>
      </c>
      <c r="H34" s="7">
        <f t="shared" si="3"/>
        <v>5.5106666666666664</v>
      </c>
      <c r="I34" s="7">
        <f t="shared" si="4"/>
        <v>5.1849999999999996</v>
      </c>
      <c r="J34">
        <v>12</v>
      </c>
      <c r="K34" t="s">
        <v>164</v>
      </c>
      <c r="M34" t="s">
        <v>63</v>
      </c>
      <c r="N34" t="s">
        <v>76</v>
      </c>
      <c r="O34" t="s">
        <v>79</v>
      </c>
      <c r="P34" t="s">
        <v>0</v>
      </c>
      <c r="U34" t="s">
        <v>114</v>
      </c>
      <c r="V34" t="s">
        <v>114</v>
      </c>
    </row>
    <row r="35" spans="2:22" x14ac:dyDescent="0.25">
      <c r="B35" t="s">
        <v>171</v>
      </c>
      <c r="C35" t="s">
        <v>34</v>
      </c>
      <c r="D35">
        <v>9.52</v>
      </c>
      <c r="E35" s="9">
        <f t="shared" si="0"/>
        <v>3.8079999999999998</v>
      </c>
      <c r="F35" s="3">
        <f t="shared" si="1"/>
        <v>6.1584615384615375</v>
      </c>
      <c r="G35" s="5">
        <f t="shared" si="2"/>
        <v>5.74</v>
      </c>
      <c r="H35" s="7">
        <f t="shared" si="3"/>
        <v>5.3773333333333326</v>
      </c>
      <c r="I35" s="7">
        <f t="shared" si="4"/>
        <v>5.0599999999999996</v>
      </c>
      <c r="J35">
        <v>12</v>
      </c>
      <c r="K35" t="s">
        <v>56</v>
      </c>
      <c r="M35" t="s">
        <v>64</v>
      </c>
      <c r="N35" t="s">
        <v>86</v>
      </c>
      <c r="O35" t="s">
        <v>75</v>
      </c>
      <c r="P35">
        <v>0.4</v>
      </c>
      <c r="Q35" t="s">
        <v>1378</v>
      </c>
      <c r="R35" t="s">
        <v>1379</v>
      </c>
      <c r="S35" t="s">
        <v>1380</v>
      </c>
      <c r="U35" t="s">
        <v>115</v>
      </c>
      <c r="V35" t="s">
        <v>65</v>
      </c>
    </row>
    <row r="36" spans="2:22" x14ac:dyDescent="0.25">
      <c r="B36" t="s">
        <v>172</v>
      </c>
      <c r="C36" t="s">
        <v>28</v>
      </c>
      <c r="D36">
        <v>17.45</v>
      </c>
      <c r="E36" s="9">
        <f t="shared" si="0"/>
        <v>6.98</v>
      </c>
      <c r="F36" s="3">
        <f t="shared" si="1"/>
        <v>11.03846153846154</v>
      </c>
      <c r="G36" s="5">
        <f t="shared" si="2"/>
        <v>10.271428571428574</v>
      </c>
      <c r="H36" s="7">
        <f t="shared" si="3"/>
        <v>9.6066666666666674</v>
      </c>
      <c r="I36" s="7">
        <f t="shared" si="4"/>
        <v>9.0250000000000004</v>
      </c>
      <c r="J36">
        <v>12</v>
      </c>
      <c r="K36" t="s">
        <v>56</v>
      </c>
      <c r="M36" t="s">
        <v>173</v>
      </c>
      <c r="N36" t="s">
        <v>174</v>
      </c>
      <c r="O36">
        <v>12.13</v>
      </c>
      <c r="P36" s="9">
        <f>O36*$P$35</f>
        <v>4.8520000000000003</v>
      </c>
      <c r="Q36" s="3">
        <f>(P36/0.65)+0.3</f>
        <v>7.7646153846153849</v>
      </c>
      <c r="R36" s="5">
        <f>(P36/0.7)+0.3</f>
        <v>7.2314285714285722</v>
      </c>
      <c r="S36" s="7">
        <f>(P36/0.75)+0.3</f>
        <v>6.7693333333333339</v>
      </c>
      <c r="T36" s="7"/>
      <c r="U36">
        <v>6</v>
      </c>
      <c r="V36" t="s">
        <v>35</v>
      </c>
    </row>
    <row r="37" spans="2:22" x14ac:dyDescent="0.25">
      <c r="B37" t="s">
        <v>175</v>
      </c>
      <c r="C37" t="s">
        <v>7</v>
      </c>
      <c r="D37">
        <v>7.95</v>
      </c>
      <c r="E37" s="9">
        <f t="shared" si="0"/>
        <v>3.18</v>
      </c>
      <c r="F37" s="3">
        <f t="shared" si="1"/>
        <v>5.1923076923076925</v>
      </c>
      <c r="G37" s="5">
        <f t="shared" si="2"/>
        <v>4.8428571428571434</v>
      </c>
      <c r="H37" s="7">
        <f t="shared" si="3"/>
        <v>4.54</v>
      </c>
      <c r="I37" s="7">
        <f t="shared" si="4"/>
        <v>4.2750000000000004</v>
      </c>
      <c r="J37">
        <v>12</v>
      </c>
      <c r="K37" t="s">
        <v>176</v>
      </c>
      <c r="M37" t="s">
        <v>177</v>
      </c>
      <c r="N37" t="s">
        <v>178</v>
      </c>
      <c r="O37">
        <v>13.02</v>
      </c>
      <c r="P37" s="9">
        <f t="shared" ref="P37:P44" si="10">O37*$P$35</f>
        <v>5.2080000000000002</v>
      </c>
      <c r="Q37" s="3">
        <f t="shared" ref="Q37:Q47" si="11">(P37/0.65)+0.3</f>
        <v>8.3123076923076926</v>
      </c>
      <c r="R37" s="5">
        <f t="shared" ref="R37:R47" si="12">(P37/0.7)+0.3</f>
        <v>7.74</v>
      </c>
      <c r="S37" s="7">
        <f t="shared" ref="S37:S47" si="13">(P37/0.75)+0.3</f>
        <v>7.2439999999999998</v>
      </c>
      <c r="T37" s="7"/>
      <c r="U37">
        <v>6</v>
      </c>
      <c r="V37" t="s">
        <v>59</v>
      </c>
    </row>
    <row r="38" spans="2:22" x14ac:dyDescent="0.25">
      <c r="B38" t="s">
        <v>179</v>
      </c>
      <c r="C38" t="s">
        <v>180</v>
      </c>
      <c r="D38">
        <v>14.62</v>
      </c>
      <c r="E38" s="9">
        <f t="shared" si="0"/>
        <v>5.8479999999999999</v>
      </c>
      <c r="F38" s="3">
        <f t="shared" si="1"/>
        <v>9.2969230769230773</v>
      </c>
      <c r="G38" s="5">
        <f t="shared" si="2"/>
        <v>8.6542857142857148</v>
      </c>
      <c r="H38" s="7">
        <f t="shared" si="3"/>
        <v>8.0973333333333333</v>
      </c>
      <c r="I38" s="7">
        <f t="shared" si="4"/>
        <v>7.6099999999999994</v>
      </c>
      <c r="J38">
        <v>12</v>
      </c>
      <c r="K38" t="s">
        <v>35</v>
      </c>
      <c r="M38" t="s">
        <v>181</v>
      </c>
      <c r="N38" t="s">
        <v>182</v>
      </c>
      <c r="O38">
        <v>16.96</v>
      </c>
      <c r="P38" s="9">
        <f t="shared" si="10"/>
        <v>6.7840000000000007</v>
      </c>
      <c r="Q38" s="3">
        <f t="shared" si="11"/>
        <v>10.736923076923079</v>
      </c>
      <c r="R38" s="5">
        <f t="shared" si="12"/>
        <v>9.9914285714285729</v>
      </c>
      <c r="S38" s="7">
        <f t="shared" si="13"/>
        <v>9.3453333333333344</v>
      </c>
      <c r="T38" s="7"/>
      <c r="U38">
        <v>6</v>
      </c>
      <c r="V38" t="s">
        <v>56</v>
      </c>
    </row>
    <row r="39" spans="2:22" x14ac:dyDescent="0.25">
      <c r="B39" t="s">
        <v>183</v>
      </c>
      <c r="C39" t="s">
        <v>36</v>
      </c>
      <c r="D39">
        <v>9.31</v>
      </c>
      <c r="E39" s="9">
        <f t="shared" si="0"/>
        <v>3.7240000000000002</v>
      </c>
      <c r="F39" s="3">
        <f t="shared" si="1"/>
        <v>6.0292307692307689</v>
      </c>
      <c r="G39" s="5">
        <f t="shared" si="2"/>
        <v>5.62</v>
      </c>
      <c r="H39" s="7">
        <f t="shared" si="3"/>
        <v>5.2653333333333334</v>
      </c>
      <c r="I39" s="7">
        <f t="shared" si="4"/>
        <v>4.9550000000000001</v>
      </c>
      <c r="J39">
        <v>12</v>
      </c>
      <c r="K39" t="s">
        <v>184</v>
      </c>
      <c r="M39" t="s">
        <v>185</v>
      </c>
      <c r="N39" t="s">
        <v>186</v>
      </c>
      <c r="O39">
        <v>13.99</v>
      </c>
      <c r="P39" s="9">
        <f t="shared" si="10"/>
        <v>5.5960000000000001</v>
      </c>
      <c r="Q39" s="3">
        <f t="shared" si="11"/>
        <v>8.9092307692307706</v>
      </c>
      <c r="R39" s="5">
        <f t="shared" si="12"/>
        <v>8.2942857142857154</v>
      </c>
      <c r="S39" s="7">
        <f t="shared" si="13"/>
        <v>7.761333333333333</v>
      </c>
      <c r="T39" s="7"/>
      <c r="U39">
        <v>6</v>
      </c>
      <c r="V39" t="s">
        <v>56</v>
      </c>
    </row>
    <row r="40" spans="2:22" x14ac:dyDescent="0.25">
      <c r="B40" t="s">
        <v>187</v>
      </c>
      <c r="C40" t="s">
        <v>8</v>
      </c>
      <c r="D40">
        <v>9.09</v>
      </c>
      <c r="E40" s="9">
        <f t="shared" si="0"/>
        <v>3.6360000000000001</v>
      </c>
      <c r="F40" s="3">
        <f t="shared" si="1"/>
        <v>5.8938461538461535</v>
      </c>
      <c r="G40" s="5">
        <f t="shared" si="2"/>
        <v>5.4942857142857147</v>
      </c>
      <c r="H40" s="7">
        <f t="shared" si="3"/>
        <v>5.1479999999999997</v>
      </c>
      <c r="I40" s="7">
        <f t="shared" si="4"/>
        <v>4.8449999999999998</v>
      </c>
      <c r="J40">
        <v>12</v>
      </c>
      <c r="K40" t="s">
        <v>184</v>
      </c>
      <c r="M40" t="s">
        <v>188</v>
      </c>
      <c r="N40" t="s">
        <v>189</v>
      </c>
      <c r="O40">
        <v>16.149999999999999</v>
      </c>
      <c r="P40" s="9">
        <f t="shared" si="10"/>
        <v>6.46</v>
      </c>
      <c r="Q40" s="3">
        <f t="shared" si="11"/>
        <v>10.238461538461539</v>
      </c>
      <c r="R40" s="5">
        <f t="shared" si="12"/>
        <v>9.5285714285714302</v>
      </c>
      <c r="S40" s="7">
        <f t="shared" si="13"/>
        <v>8.913333333333334</v>
      </c>
      <c r="T40" s="7"/>
      <c r="U40">
        <v>6</v>
      </c>
      <c r="V40" t="s">
        <v>56</v>
      </c>
    </row>
    <row r="41" spans="2:22" x14ac:dyDescent="0.25">
      <c r="B41" t="s">
        <v>190</v>
      </c>
      <c r="C41" t="s">
        <v>33</v>
      </c>
      <c r="D41">
        <v>11.85</v>
      </c>
      <c r="E41" s="9">
        <f t="shared" si="0"/>
        <v>4.74</v>
      </c>
      <c r="F41" s="3">
        <f t="shared" si="1"/>
        <v>7.592307692307692</v>
      </c>
      <c r="G41" s="5">
        <f t="shared" si="2"/>
        <v>7.0714285714285721</v>
      </c>
      <c r="H41" s="7">
        <f t="shared" si="3"/>
        <v>6.62</v>
      </c>
      <c r="I41" s="7">
        <f t="shared" si="4"/>
        <v>6.2249999999999996</v>
      </c>
      <c r="J41">
        <v>12</v>
      </c>
      <c r="K41" t="s">
        <v>54</v>
      </c>
      <c r="M41" t="s">
        <v>191</v>
      </c>
      <c r="N41" t="s">
        <v>192</v>
      </c>
      <c r="O41">
        <v>13.92</v>
      </c>
      <c r="P41" s="9">
        <f t="shared" si="10"/>
        <v>5.5680000000000005</v>
      </c>
      <c r="Q41" s="3">
        <f t="shared" si="11"/>
        <v>8.8661538461538481</v>
      </c>
      <c r="R41" s="5">
        <f t="shared" si="12"/>
        <v>8.2542857142857162</v>
      </c>
      <c r="S41" s="7">
        <f t="shared" si="13"/>
        <v>7.7240000000000002</v>
      </c>
      <c r="T41" s="7"/>
      <c r="U41">
        <v>6</v>
      </c>
      <c r="V41" t="s">
        <v>56</v>
      </c>
    </row>
    <row r="42" spans="2:22" x14ac:dyDescent="0.25">
      <c r="B42" t="s">
        <v>193</v>
      </c>
      <c r="C42" t="s">
        <v>38</v>
      </c>
      <c r="D42">
        <v>16.29</v>
      </c>
      <c r="E42" s="9">
        <f t="shared" si="0"/>
        <v>6.516</v>
      </c>
      <c r="F42" s="3">
        <f t="shared" si="1"/>
        <v>10.324615384615385</v>
      </c>
      <c r="G42" s="5">
        <f t="shared" si="2"/>
        <v>9.6085714285714303</v>
      </c>
      <c r="H42" s="7">
        <f t="shared" si="3"/>
        <v>8.9880000000000013</v>
      </c>
      <c r="I42" s="7">
        <f t="shared" si="4"/>
        <v>8.4450000000000003</v>
      </c>
      <c r="J42">
        <v>12</v>
      </c>
      <c r="K42" t="s">
        <v>35</v>
      </c>
      <c r="M42" t="s">
        <v>194</v>
      </c>
      <c r="N42" t="s">
        <v>195</v>
      </c>
      <c r="O42">
        <v>16.079999999999998</v>
      </c>
      <c r="P42" s="9">
        <f t="shared" si="10"/>
        <v>6.4319999999999995</v>
      </c>
      <c r="Q42" s="3">
        <f t="shared" si="11"/>
        <v>10.195384615384615</v>
      </c>
      <c r="R42" s="5">
        <f t="shared" si="12"/>
        <v>9.4885714285714293</v>
      </c>
      <c r="S42" s="7">
        <f t="shared" si="13"/>
        <v>8.8759999999999994</v>
      </c>
      <c r="T42" s="7"/>
      <c r="U42">
        <v>6</v>
      </c>
      <c r="V42" t="s">
        <v>89</v>
      </c>
    </row>
    <row r="43" spans="2:22" x14ac:dyDescent="0.25">
      <c r="B43" t="s">
        <v>196</v>
      </c>
      <c r="C43" t="s">
        <v>39</v>
      </c>
      <c r="D43">
        <v>10.3</v>
      </c>
      <c r="E43" s="9">
        <f t="shared" si="0"/>
        <v>4.12</v>
      </c>
      <c r="F43" s="3">
        <f t="shared" si="1"/>
        <v>6.638461538461538</v>
      </c>
      <c r="G43" s="5">
        <f t="shared" si="2"/>
        <v>6.1857142857142859</v>
      </c>
      <c r="H43" s="7">
        <f t="shared" si="3"/>
        <v>5.793333333333333</v>
      </c>
      <c r="I43" s="7">
        <f t="shared" si="4"/>
        <v>5.4499999999999993</v>
      </c>
      <c r="J43">
        <v>12</v>
      </c>
      <c r="K43" t="s">
        <v>197</v>
      </c>
      <c r="M43" t="s">
        <v>198</v>
      </c>
      <c r="N43" t="s">
        <v>199</v>
      </c>
      <c r="O43">
        <v>15.99</v>
      </c>
      <c r="P43" s="9">
        <f t="shared" si="10"/>
        <v>6.3960000000000008</v>
      </c>
      <c r="Q43" s="3">
        <f t="shared" si="11"/>
        <v>10.140000000000002</v>
      </c>
      <c r="R43" s="5">
        <f t="shared" si="12"/>
        <v>9.4371428571428595</v>
      </c>
      <c r="S43" s="7">
        <f t="shared" si="13"/>
        <v>8.8280000000000012</v>
      </c>
      <c r="T43" s="7"/>
      <c r="U43">
        <v>6</v>
      </c>
      <c r="V43" t="s">
        <v>89</v>
      </c>
    </row>
    <row r="44" spans="2:22" x14ac:dyDescent="0.25">
      <c r="B44" t="s">
        <v>200</v>
      </c>
      <c r="C44" t="s">
        <v>37</v>
      </c>
      <c r="D44">
        <v>19.25</v>
      </c>
      <c r="E44" s="9">
        <f t="shared" si="0"/>
        <v>7.7</v>
      </c>
      <c r="F44" s="3">
        <f t="shared" si="1"/>
        <v>12.146153846153847</v>
      </c>
      <c r="G44" s="5">
        <f t="shared" si="2"/>
        <v>11.300000000000002</v>
      </c>
      <c r="H44" s="7">
        <f t="shared" si="3"/>
        <v>10.566666666666668</v>
      </c>
      <c r="I44" s="7">
        <f t="shared" si="4"/>
        <v>9.9250000000000007</v>
      </c>
      <c r="J44">
        <v>12</v>
      </c>
      <c r="K44" t="s">
        <v>67</v>
      </c>
      <c r="M44" t="s">
        <v>201</v>
      </c>
      <c r="N44" t="s">
        <v>202</v>
      </c>
      <c r="O44">
        <v>18.29</v>
      </c>
      <c r="P44" s="9">
        <f t="shared" si="10"/>
        <v>7.3159999999999998</v>
      </c>
      <c r="Q44" s="3">
        <f t="shared" si="11"/>
        <v>11.555384615384616</v>
      </c>
      <c r="R44" s="5">
        <f t="shared" si="12"/>
        <v>10.751428571428573</v>
      </c>
      <c r="S44" s="7">
        <f t="shared" si="13"/>
        <v>10.054666666666668</v>
      </c>
      <c r="T44" s="7"/>
      <c r="U44">
        <v>6</v>
      </c>
      <c r="V44" t="s">
        <v>67</v>
      </c>
    </row>
    <row r="45" spans="2:22" x14ac:dyDescent="0.25">
      <c r="B45" t="s">
        <v>203</v>
      </c>
      <c r="C45" t="s">
        <v>40</v>
      </c>
      <c r="D45">
        <v>11.55</v>
      </c>
      <c r="E45" s="9">
        <f t="shared" si="0"/>
        <v>4.62</v>
      </c>
      <c r="F45" s="3">
        <f t="shared" si="1"/>
        <v>7.4076923076923071</v>
      </c>
      <c r="G45" s="5">
        <f t="shared" si="2"/>
        <v>6.9</v>
      </c>
      <c r="H45" s="7">
        <f t="shared" si="3"/>
        <v>6.46</v>
      </c>
      <c r="I45" s="7">
        <f t="shared" si="4"/>
        <v>6.0749999999999993</v>
      </c>
      <c r="J45">
        <v>12</v>
      </c>
      <c r="K45" t="s">
        <v>67</v>
      </c>
      <c r="M45" t="s">
        <v>204</v>
      </c>
      <c r="P45" s="9"/>
      <c r="Q45" s="3">
        <f t="shared" si="11"/>
        <v>0.3</v>
      </c>
      <c r="R45" s="5">
        <f t="shared" si="12"/>
        <v>0.3</v>
      </c>
      <c r="S45" s="7">
        <f t="shared" si="13"/>
        <v>0.3</v>
      </c>
      <c r="T45" s="7"/>
    </row>
    <row r="46" spans="2:22" x14ac:dyDescent="0.25">
      <c r="M46" t="s">
        <v>205</v>
      </c>
      <c r="N46" t="s">
        <v>206</v>
      </c>
      <c r="O46">
        <v>23.62</v>
      </c>
      <c r="P46" s="9">
        <v>23.62</v>
      </c>
      <c r="Q46" s="3">
        <f t="shared" si="11"/>
        <v>36.638461538461534</v>
      </c>
      <c r="R46" s="5">
        <f t="shared" si="12"/>
        <v>34.042857142857144</v>
      </c>
      <c r="S46" s="7">
        <f t="shared" si="13"/>
        <v>31.793333333333337</v>
      </c>
      <c r="T46" s="7"/>
      <c r="U46">
        <v>6</v>
      </c>
      <c r="V46" t="s">
        <v>56</v>
      </c>
    </row>
    <row r="47" spans="2:22" x14ac:dyDescent="0.25">
      <c r="M47" t="s">
        <v>207</v>
      </c>
      <c r="N47" t="s">
        <v>208</v>
      </c>
      <c r="O47">
        <v>30.91</v>
      </c>
      <c r="P47" s="9">
        <v>30.91</v>
      </c>
      <c r="Q47" s="3">
        <f t="shared" si="11"/>
        <v>47.853846153846149</v>
      </c>
      <c r="R47" s="5">
        <f t="shared" si="12"/>
        <v>44.457142857142856</v>
      </c>
      <c r="S47" s="7">
        <f t="shared" si="13"/>
        <v>41.513333333333328</v>
      </c>
      <c r="T47" s="7"/>
      <c r="U47">
        <v>6</v>
      </c>
      <c r="V47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443C-C6D1-439C-B412-9509404D01CB}">
  <sheetPr>
    <tabColor theme="6" tint="0.59999389629810485"/>
  </sheetPr>
  <dimension ref="C1:AE72"/>
  <sheetViews>
    <sheetView topLeftCell="C1" workbookViewId="0">
      <selection activeCell="O5" sqref="O5"/>
    </sheetView>
  </sheetViews>
  <sheetFormatPr defaultRowHeight="15" x14ac:dyDescent="0.25"/>
  <cols>
    <col min="4" max="6" width="10.28515625" bestFit="1" customWidth="1"/>
    <col min="17" max="17" width="14.42578125" customWidth="1"/>
    <col min="18" max="18" width="10.140625" bestFit="1" customWidth="1"/>
    <col min="22" max="24" width="9.42578125" customWidth="1"/>
    <col min="27" max="27" width="11.42578125" customWidth="1"/>
    <col min="28" max="28" width="11.140625" bestFit="1" customWidth="1"/>
  </cols>
  <sheetData>
    <row r="1" spans="3:31" x14ac:dyDescent="0.25">
      <c r="T1" s="14"/>
      <c r="U1" s="14"/>
      <c r="V1" s="14"/>
      <c r="W1" s="14"/>
      <c r="X1" s="14"/>
    </row>
    <row r="2" spans="3:31" x14ac:dyDescent="0.25">
      <c r="C2" s="21"/>
      <c r="D2" s="22"/>
      <c r="E2" s="23"/>
      <c r="F2" s="24"/>
      <c r="M2" s="11" t="s">
        <v>86</v>
      </c>
      <c r="N2" s="11" t="s">
        <v>1476</v>
      </c>
      <c r="O2" s="11" t="s">
        <v>1663</v>
      </c>
      <c r="P2" s="11" t="s">
        <v>1477</v>
      </c>
      <c r="Q2" s="11" t="s">
        <v>1478</v>
      </c>
      <c r="R2" s="12" t="s">
        <v>1668</v>
      </c>
      <c r="S2" s="12" t="s">
        <v>1669</v>
      </c>
      <c r="T2" s="12" t="s">
        <v>1675</v>
      </c>
      <c r="Y2" s="19" t="s">
        <v>1668</v>
      </c>
      <c r="Z2" s="19" t="s">
        <v>1669</v>
      </c>
      <c r="AA2" s="19" t="s">
        <v>1675</v>
      </c>
    </row>
    <row r="3" spans="3:31" x14ac:dyDescent="0.25">
      <c r="C3" s="11" t="s">
        <v>1673</v>
      </c>
      <c r="D3" s="11" t="s">
        <v>1378</v>
      </c>
      <c r="E3" s="11" t="s">
        <v>1379</v>
      </c>
      <c r="F3" s="11" t="s">
        <v>1380</v>
      </c>
      <c r="M3" s="13"/>
      <c r="N3" s="11">
        <v>13</v>
      </c>
      <c r="O3" s="11">
        <v>27</v>
      </c>
      <c r="P3" s="11">
        <v>1</v>
      </c>
      <c r="Q3" s="11">
        <f>N3*O3</f>
        <v>351</v>
      </c>
      <c r="R3" s="17">
        <f>_xlfn.XLOOKUP($N$3*$O$3, $D$11:$D$20, $I$11:$I$20, $I$10, -1)</f>
        <v>13.59923076923077</v>
      </c>
      <c r="S3" s="16">
        <f>_xlfn.XLOOKUP(N3*O3, $D$11:$D$20, $S$11:$S$20, $S$10, -1)</f>
        <v>14.852307692307692</v>
      </c>
      <c r="T3" s="16">
        <f>_xlfn.XLOOKUP(N3*O3, $D$11:$D$20, $AB$11:$AB$20, $AB$10, -1)</f>
        <v>29.619230769230771</v>
      </c>
      <c r="U3" s="14">
        <v>0.35</v>
      </c>
      <c r="Y3" s="16" t="str">
        <f>IF(OR(AND($N$3&gt;28, $O$3&gt;28), $N$3&gt;35, $O$3&gt;35),_xlfn.XLOOKUP(($N$3*$O$3)/2, $D$11:$D$20, $I$11:$I$20, $I$10, -1) * 2,"N/A")</f>
        <v>N/A</v>
      </c>
      <c r="Z3" s="16" t="str">
        <f>IF(OR(AND($N$3&gt;28, $O$3&gt;28), $N$3&gt;35, $O$3&gt;35),_xlfn.XLOOKUP(($N$3*$O$3)/2, $D$11:$D$20, $S$11:$S$20, $S$10, -1) * 2,"N/A")</f>
        <v>N/A</v>
      </c>
      <c r="AA3" s="16" t="str">
        <f>IF(OR(AND($N$3&gt;28, $O$3&gt;28), $N$3&gt;35, $O$3&gt;35),_xlfn.XLOOKUP(($N$3*$O$3)/2, $D$11:$D$20, $AB$11:$AB$20, $AB$10, -1) * 2,"N/A")</f>
        <v>N/A</v>
      </c>
      <c r="AB3" s="14">
        <v>0.35</v>
      </c>
    </row>
    <row r="4" spans="3:31" x14ac:dyDescent="0.25">
      <c r="Q4">
        <v>77</v>
      </c>
      <c r="R4" s="17">
        <f>_xlfn.XLOOKUP($N$3*$O$3, $D$10:$D$20, $J$10:$J$20, $J$10, -1)</f>
        <v>12.649285714285718</v>
      </c>
      <c r="S4" s="17">
        <f>_xlfn.XLOOKUP($N$3*$O$3, $D$10:$D$20, $T$10:$T$20, $T$10, -1)</f>
        <v>13.812857142857144</v>
      </c>
      <c r="T4" s="17">
        <f>_xlfn.XLOOKUP($N$3*$O$3, $D$10:$D$20, $AC$10:$AC$20, $AC$10, -1)</f>
        <v>27.525000000000002</v>
      </c>
      <c r="U4" s="14">
        <v>0.3</v>
      </c>
      <c r="Y4" s="16" t="str">
        <f>IF(OR(AND($N$3&gt;28, $O$3&gt;28), $N$3&gt;35, $O$3&gt;35),_xlfn.XLOOKUP(($N$3*$O$3)/2, $D$11:$D$20, $J$11:$J$20, $J$10, -1) * 2,"N/A")</f>
        <v>N/A</v>
      </c>
      <c r="Z4" s="16" t="str">
        <f>IF(OR(AND($N$3&gt;28, $O$3&gt;28), $N$3&gt;35, $O$3&gt;35),_xlfn.XLOOKUP(($N$3*$O$3)/2, $D$11:$D$20, $T$11:$T$20, $T$10, -1) * 2,"N/A")</f>
        <v>N/A</v>
      </c>
      <c r="AA4" s="16" t="str">
        <f>IF(OR(AND($N$3&gt;28, $O$3&gt;28), $N$3&gt;35, $O$3&gt;35),_xlfn.XLOOKUP(($N$3*$O$3)/2, $D$11:$D$20, $AC$11:$AC$20, $AC$10, -1) * 2,"N/A")</f>
        <v>N/A</v>
      </c>
      <c r="AB4" s="14">
        <v>0.3</v>
      </c>
    </row>
    <row r="5" spans="3:31" x14ac:dyDescent="0.25">
      <c r="C5" t="s">
        <v>1381</v>
      </c>
      <c r="R5" s="17">
        <f>_xlfn.XLOOKUP($N$3*$O$3, $D$10:$D$20, $K$10:$K$20, $K$10, -1)</f>
        <v>11.826000000000002</v>
      </c>
      <c r="S5" s="17">
        <f>_xlfn.XLOOKUP($N$3*$O$3, $D$10:$D$20, $U$10:$U$20, $U$10, -1)</f>
        <v>12.912000000000001</v>
      </c>
      <c r="T5" s="17">
        <f>_xlfn.XLOOKUP($N$3*$O$3, $D$10:$D$20, $AD$10:$AD$20, $AD$10, -1)</f>
        <v>25.71</v>
      </c>
      <c r="U5" s="14">
        <v>0.25</v>
      </c>
      <c r="Y5" s="16" t="str">
        <f>IF(OR(AND($N$3&gt;28, $O$3&gt;28), $N$3&gt;35, $O$3&gt;35),_xlfn.XLOOKUP(($N$3*$O$3)/2, $D$11:$D$20, $K$11:$K$20, $K$10, -1) * 2,"N/A")</f>
        <v>N/A</v>
      </c>
      <c r="Z5" s="16" t="str">
        <f>IF(OR(AND($N$3&gt;28, $O$3&gt;28), $N$3&gt;35, $O$3&gt;35),_xlfn.XLOOKUP(($N$3*$O$3)/2, $D$11:$D$20, $U$11:$U$20, $U$10, -1) * 2,"N/A")</f>
        <v>N/A</v>
      </c>
      <c r="AA5" s="16" t="str">
        <f>IF(OR(AND($N$3&gt;28, $O$3&gt;28), $N$3&gt;35, $O$3&gt;35),_xlfn.XLOOKUP(($N$3*$O$3)/2, $D$11:$D$20, $AD$11:$AD$20, $AD$10, -1) * 2,"N/A")</f>
        <v>N/A</v>
      </c>
      <c r="AB5" s="14">
        <v>0.25</v>
      </c>
    </row>
    <row r="6" spans="3:31" x14ac:dyDescent="0.25">
      <c r="C6" t="s">
        <v>1382</v>
      </c>
      <c r="Y6" s="77" t="s">
        <v>1676</v>
      </c>
      <c r="Z6" s="77"/>
      <c r="AA6" s="77"/>
    </row>
    <row r="7" spans="3:31" x14ac:dyDescent="0.25">
      <c r="C7" t="s">
        <v>1480</v>
      </c>
      <c r="M7" t="s">
        <v>1481</v>
      </c>
      <c r="V7" t="s">
        <v>1482</v>
      </c>
    </row>
    <row r="8" spans="3:31" x14ac:dyDescent="0.25">
      <c r="C8" t="s">
        <v>1383</v>
      </c>
      <c r="F8" t="s">
        <v>1384</v>
      </c>
      <c r="G8" t="s">
        <v>1385</v>
      </c>
      <c r="H8" t="s">
        <v>0</v>
      </c>
      <c r="M8" t="s">
        <v>1383</v>
      </c>
      <c r="P8" t="s">
        <v>1384</v>
      </c>
      <c r="Q8" t="s">
        <v>1385</v>
      </c>
      <c r="R8" t="s">
        <v>0</v>
      </c>
      <c r="V8" t="s">
        <v>1383</v>
      </c>
      <c r="Y8" t="s">
        <v>1384</v>
      </c>
      <c r="Z8" t="s">
        <v>1385</v>
      </c>
      <c r="AA8" t="s">
        <v>0</v>
      </c>
    </row>
    <row r="9" spans="3:31" x14ac:dyDescent="0.25">
      <c r="C9" t="s">
        <v>1386</v>
      </c>
      <c r="D9" t="s">
        <v>1666</v>
      </c>
      <c r="E9" t="s">
        <v>1667</v>
      </c>
      <c r="F9" t="s">
        <v>57</v>
      </c>
      <c r="G9" t="s">
        <v>1387</v>
      </c>
      <c r="H9">
        <v>0.45</v>
      </c>
      <c r="I9" s="14">
        <v>0.35</v>
      </c>
      <c r="J9" s="14">
        <v>0.3</v>
      </c>
      <c r="K9" s="14">
        <v>0.25</v>
      </c>
      <c r="L9" s="14">
        <v>0.2</v>
      </c>
      <c r="M9" t="s">
        <v>1386</v>
      </c>
      <c r="P9" t="s">
        <v>57</v>
      </c>
      <c r="Q9" t="s">
        <v>1387</v>
      </c>
      <c r="R9">
        <v>0.45</v>
      </c>
      <c r="S9" s="14">
        <v>0.35</v>
      </c>
      <c r="T9" s="14">
        <v>0.3</v>
      </c>
      <c r="U9" s="14">
        <v>0.25</v>
      </c>
      <c r="V9" t="s">
        <v>1386</v>
      </c>
      <c r="Y9" t="s">
        <v>57</v>
      </c>
      <c r="Z9" t="s">
        <v>1387</v>
      </c>
      <c r="AA9">
        <v>0.45</v>
      </c>
      <c r="AB9" s="14">
        <v>0.35</v>
      </c>
      <c r="AC9" s="14">
        <v>0.3</v>
      </c>
      <c r="AD9" s="14">
        <v>0.25</v>
      </c>
    </row>
    <row r="10" spans="3:31" x14ac:dyDescent="0.25">
      <c r="C10" t="s">
        <v>1483</v>
      </c>
      <c r="D10">
        <v>0</v>
      </c>
      <c r="E10">
        <v>150</v>
      </c>
      <c r="F10" t="s">
        <v>1389</v>
      </c>
      <c r="G10">
        <v>11.65</v>
      </c>
      <c r="H10" s="9">
        <f>G10*$H$9</f>
        <v>5.2425000000000006</v>
      </c>
      <c r="I10" s="3">
        <f>(H10/0.65)+0.3</f>
        <v>8.3653846153846168</v>
      </c>
      <c r="J10" s="5">
        <f>(H10/0.7)+0.3</f>
        <v>7.7892857142857155</v>
      </c>
      <c r="K10" s="7">
        <f>(H10/0.75)+0.3</f>
        <v>7.2900000000000009</v>
      </c>
      <c r="L10" s="7">
        <f>(H10/0.8)+0.3</f>
        <v>6.8531250000000004</v>
      </c>
      <c r="M10" t="s">
        <v>1483</v>
      </c>
      <c r="N10">
        <v>0</v>
      </c>
      <c r="O10">
        <v>150</v>
      </c>
      <c r="P10" t="s">
        <v>1390</v>
      </c>
      <c r="Q10">
        <v>13.57</v>
      </c>
      <c r="R10" s="9">
        <f>Q10*$R$9</f>
        <v>6.1065000000000005</v>
      </c>
      <c r="S10" s="3">
        <f>(R10/0.65)+0.3</f>
        <v>9.6946153846153855</v>
      </c>
      <c r="T10" s="5">
        <f>(R10/0.7)+0.3</f>
        <v>9.0235714285714312</v>
      </c>
      <c r="U10" s="7">
        <f>(R10/0.75)+0.3</f>
        <v>8.4420000000000019</v>
      </c>
      <c r="V10" t="s">
        <v>1483</v>
      </c>
      <c r="W10">
        <v>0</v>
      </c>
      <c r="X10">
        <v>150</v>
      </c>
      <c r="Y10" t="s">
        <v>1391</v>
      </c>
      <c r="Z10">
        <v>27.05</v>
      </c>
      <c r="AA10" s="9">
        <f>Z10*$AA$9</f>
        <v>12.172500000000001</v>
      </c>
      <c r="AB10" s="3">
        <f>(AA10/0.65)+0.3</f>
        <v>19.026923076923079</v>
      </c>
      <c r="AC10" s="5">
        <f>(AA10/0.7)+0.3</f>
        <v>17.689285714285717</v>
      </c>
      <c r="AD10" s="7">
        <f>(AA10/0.75)+0.3</f>
        <v>16.53</v>
      </c>
      <c r="AE10" s="20">
        <f>(AA10/0.8)+0.3</f>
        <v>15.515625000000002</v>
      </c>
    </row>
    <row r="11" spans="3:31" x14ac:dyDescent="0.25">
      <c r="C11" t="s">
        <v>1484</v>
      </c>
      <c r="D11">
        <v>150</v>
      </c>
      <c r="E11">
        <v>199</v>
      </c>
      <c r="F11" t="s">
        <v>1393</v>
      </c>
      <c r="G11">
        <v>13.79</v>
      </c>
      <c r="H11" s="9">
        <f t="shared" ref="H11:H20" si="0">G11*$H$9</f>
        <v>6.2054999999999998</v>
      </c>
      <c r="I11" s="3">
        <f t="shared" ref="I11:I20" si="1">(H11/0.65)+0.3</f>
        <v>9.8469230769230762</v>
      </c>
      <c r="J11" s="5">
        <f t="shared" ref="J11:J20" si="2">(H11/0.7)+0.3</f>
        <v>9.1650000000000009</v>
      </c>
      <c r="K11" s="7">
        <f t="shared" ref="K11:K20" si="3">(H11/0.75)+0.3</f>
        <v>8.5739999999999998</v>
      </c>
      <c r="L11" s="7">
        <f t="shared" ref="L11:L20" si="4">(H11/0.8)+0.3</f>
        <v>8.0568749999999998</v>
      </c>
      <c r="M11" t="s">
        <v>1484</v>
      </c>
      <c r="N11">
        <v>150</v>
      </c>
      <c r="O11">
        <v>199</v>
      </c>
      <c r="P11" t="s">
        <v>1394</v>
      </c>
      <c r="Q11">
        <v>15.08</v>
      </c>
      <c r="R11" s="9">
        <f t="shared" ref="R11:R20" si="5">Q11*$R$9</f>
        <v>6.7860000000000005</v>
      </c>
      <c r="S11" s="3">
        <f t="shared" ref="S11:S20" si="6">(R11/0.65)+0.3</f>
        <v>10.74</v>
      </c>
      <c r="T11" s="5">
        <f t="shared" ref="T11:T20" si="7">(R11/0.7)+0.3</f>
        <v>9.9942857142857164</v>
      </c>
      <c r="U11" s="7">
        <f t="shared" ref="U11:U20" si="8">(R11/0.75)+0.3</f>
        <v>9.3480000000000008</v>
      </c>
      <c r="V11" t="s">
        <v>1484</v>
      </c>
      <c r="W11">
        <v>150</v>
      </c>
      <c r="X11">
        <v>199</v>
      </c>
      <c r="Y11" t="s">
        <v>1395</v>
      </c>
      <c r="Z11">
        <v>30.56</v>
      </c>
      <c r="AA11" s="9">
        <f t="shared" ref="AA11:AA20" si="9">Z11*$AA$9</f>
        <v>13.751999999999999</v>
      </c>
      <c r="AB11" s="3">
        <f t="shared" ref="AB11:AB20" si="10">(AA11/0.65)+0.3</f>
        <v>21.456923076923076</v>
      </c>
      <c r="AC11" s="5">
        <f t="shared" ref="AC11:AC20" si="11">(AA11/0.7)+0.3</f>
        <v>19.945714285714285</v>
      </c>
      <c r="AD11" s="7">
        <f t="shared" ref="AD11:AD20" si="12">(AA11/0.75)+0.3</f>
        <v>18.635999999999999</v>
      </c>
    </row>
    <row r="12" spans="3:31" x14ac:dyDescent="0.25">
      <c r="C12" t="s">
        <v>1485</v>
      </c>
      <c r="D12">
        <v>200</v>
      </c>
      <c r="E12">
        <v>249</v>
      </c>
      <c r="F12" t="s">
        <v>1397</v>
      </c>
      <c r="G12">
        <v>15.47</v>
      </c>
      <c r="H12" s="9">
        <f t="shared" si="0"/>
        <v>6.9615</v>
      </c>
      <c r="I12" s="3">
        <f t="shared" si="1"/>
        <v>11.01</v>
      </c>
      <c r="J12" s="5">
        <f t="shared" si="2"/>
        <v>10.245000000000001</v>
      </c>
      <c r="K12" s="7">
        <f t="shared" si="3"/>
        <v>9.5820000000000007</v>
      </c>
      <c r="L12" s="7">
        <f t="shared" si="4"/>
        <v>9.0018750000000001</v>
      </c>
      <c r="M12" t="s">
        <v>1485</v>
      </c>
      <c r="N12">
        <v>200</v>
      </c>
      <c r="O12">
        <v>249</v>
      </c>
      <c r="P12" t="s">
        <v>1398</v>
      </c>
      <c r="Q12">
        <v>16.95</v>
      </c>
      <c r="R12" s="9">
        <f t="shared" si="5"/>
        <v>7.6274999999999995</v>
      </c>
      <c r="S12" s="3">
        <f t="shared" si="6"/>
        <v>12.034615384615384</v>
      </c>
      <c r="T12" s="5">
        <f t="shared" si="7"/>
        <v>11.196428571428573</v>
      </c>
      <c r="U12" s="7">
        <f t="shared" si="8"/>
        <v>10.47</v>
      </c>
      <c r="V12" t="s">
        <v>1485</v>
      </c>
      <c r="W12">
        <v>200</v>
      </c>
      <c r="X12">
        <v>249</v>
      </c>
      <c r="Y12" t="s">
        <v>1399</v>
      </c>
      <c r="Z12">
        <v>34.090000000000003</v>
      </c>
      <c r="AA12" s="9">
        <f t="shared" si="9"/>
        <v>15.340500000000002</v>
      </c>
      <c r="AB12" s="3">
        <f t="shared" si="10"/>
        <v>23.900769230769235</v>
      </c>
      <c r="AC12" s="5">
        <f t="shared" si="11"/>
        <v>22.215000000000007</v>
      </c>
      <c r="AD12" s="7">
        <f t="shared" si="12"/>
        <v>20.754000000000005</v>
      </c>
    </row>
    <row r="13" spans="3:31" x14ac:dyDescent="0.25">
      <c r="C13" t="s">
        <v>1486</v>
      </c>
      <c r="D13">
        <v>250</v>
      </c>
      <c r="E13">
        <v>299</v>
      </c>
      <c r="F13" t="s">
        <v>1401</v>
      </c>
      <c r="G13">
        <v>17.07</v>
      </c>
      <c r="H13" s="9">
        <f t="shared" si="0"/>
        <v>7.6815000000000007</v>
      </c>
      <c r="I13" s="3">
        <f t="shared" si="1"/>
        <v>12.117692307692309</v>
      </c>
      <c r="J13" s="5">
        <f t="shared" si="2"/>
        <v>11.273571428571431</v>
      </c>
      <c r="K13" s="7">
        <f t="shared" si="3"/>
        <v>10.542000000000002</v>
      </c>
      <c r="L13" s="7">
        <f t="shared" si="4"/>
        <v>9.9018750000000004</v>
      </c>
      <c r="M13" t="s">
        <v>1486</v>
      </c>
      <c r="N13">
        <v>250</v>
      </c>
      <c r="O13">
        <v>299</v>
      </c>
      <c r="P13" t="s">
        <v>1402</v>
      </c>
      <c r="Q13">
        <v>18.68</v>
      </c>
      <c r="R13" s="9">
        <f t="shared" si="5"/>
        <v>8.4060000000000006</v>
      </c>
      <c r="S13" s="3">
        <f t="shared" si="6"/>
        <v>13.232307692307694</v>
      </c>
      <c r="T13" s="5">
        <f t="shared" si="7"/>
        <v>12.308571428571431</v>
      </c>
      <c r="U13" s="7">
        <f t="shared" si="8"/>
        <v>11.508000000000001</v>
      </c>
      <c r="V13" t="s">
        <v>1486</v>
      </c>
      <c r="W13">
        <v>250</v>
      </c>
      <c r="X13">
        <v>299</v>
      </c>
      <c r="Y13" t="s">
        <v>1403</v>
      </c>
      <c r="Z13">
        <v>37.57</v>
      </c>
      <c r="AA13" s="9">
        <f t="shared" si="9"/>
        <v>16.906500000000001</v>
      </c>
      <c r="AB13" s="3">
        <f t="shared" si="10"/>
        <v>26.310000000000002</v>
      </c>
      <c r="AC13" s="5">
        <f t="shared" si="11"/>
        <v>24.45214285714286</v>
      </c>
      <c r="AD13" s="7">
        <f t="shared" si="12"/>
        <v>22.842000000000002</v>
      </c>
    </row>
    <row r="14" spans="3:31" x14ac:dyDescent="0.25">
      <c r="C14" t="s">
        <v>1487</v>
      </c>
      <c r="D14">
        <v>300</v>
      </c>
      <c r="E14">
        <v>399</v>
      </c>
      <c r="F14" t="s">
        <v>1405</v>
      </c>
      <c r="G14">
        <v>19.21</v>
      </c>
      <c r="H14" s="9">
        <f t="shared" si="0"/>
        <v>8.6445000000000007</v>
      </c>
      <c r="I14" s="3">
        <f t="shared" si="1"/>
        <v>13.59923076923077</v>
      </c>
      <c r="J14" s="5">
        <f t="shared" si="2"/>
        <v>12.649285714285718</v>
      </c>
      <c r="K14" s="7">
        <f t="shared" si="3"/>
        <v>11.826000000000002</v>
      </c>
      <c r="L14" s="7">
        <f t="shared" si="4"/>
        <v>11.105625000000002</v>
      </c>
      <c r="M14" t="s">
        <v>1487</v>
      </c>
      <c r="N14">
        <v>300</v>
      </c>
      <c r="O14">
        <v>399</v>
      </c>
      <c r="P14" t="s">
        <v>1406</v>
      </c>
      <c r="Q14">
        <v>21.02</v>
      </c>
      <c r="R14" s="9">
        <f t="shared" si="5"/>
        <v>9.4589999999999996</v>
      </c>
      <c r="S14" s="3">
        <f t="shared" si="6"/>
        <v>14.852307692307692</v>
      </c>
      <c r="T14" s="5">
        <f t="shared" si="7"/>
        <v>13.812857142857144</v>
      </c>
      <c r="U14" s="7">
        <f t="shared" si="8"/>
        <v>12.912000000000001</v>
      </c>
      <c r="V14" t="s">
        <v>1487</v>
      </c>
      <c r="W14">
        <v>300</v>
      </c>
      <c r="X14">
        <v>399</v>
      </c>
      <c r="Y14" t="s">
        <v>1407</v>
      </c>
      <c r="Z14">
        <v>42.35</v>
      </c>
      <c r="AA14" s="9">
        <f t="shared" si="9"/>
        <v>19.057500000000001</v>
      </c>
      <c r="AB14" s="3">
        <f t="shared" si="10"/>
        <v>29.619230769230771</v>
      </c>
      <c r="AC14" s="5">
        <f t="shared" si="11"/>
        <v>27.525000000000002</v>
      </c>
      <c r="AD14" s="7">
        <f t="shared" si="12"/>
        <v>25.71</v>
      </c>
    </row>
    <row r="15" spans="3:31" x14ac:dyDescent="0.25">
      <c r="C15" t="s">
        <v>1488</v>
      </c>
      <c r="D15">
        <v>400</v>
      </c>
      <c r="E15">
        <v>499</v>
      </c>
      <c r="F15" t="s">
        <v>1409</v>
      </c>
      <c r="G15">
        <v>21.39</v>
      </c>
      <c r="H15" s="9">
        <f t="shared" si="0"/>
        <v>9.6255000000000006</v>
      </c>
      <c r="I15" s="3">
        <f t="shared" si="1"/>
        <v>15.10846153846154</v>
      </c>
      <c r="J15" s="5">
        <f t="shared" si="2"/>
        <v>14.050714285714289</v>
      </c>
      <c r="K15" s="7">
        <f t="shared" si="3"/>
        <v>13.134000000000002</v>
      </c>
      <c r="L15" s="7">
        <f t="shared" si="4"/>
        <v>12.331875</v>
      </c>
      <c r="M15" t="s">
        <v>1488</v>
      </c>
      <c r="N15">
        <v>400</v>
      </c>
      <c r="O15">
        <v>499</v>
      </c>
      <c r="P15" t="s">
        <v>1410</v>
      </c>
      <c r="Q15">
        <v>23.38</v>
      </c>
      <c r="R15" s="9">
        <f t="shared" si="5"/>
        <v>10.520999999999999</v>
      </c>
      <c r="S15" s="3">
        <f t="shared" si="6"/>
        <v>16.486153846153844</v>
      </c>
      <c r="T15" s="5">
        <f t="shared" si="7"/>
        <v>15.33</v>
      </c>
      <c r="U15" s="7">
        <f t="shared" si="8"/>
        <v>14.327999999999999</v>
      </c>
      <c r="V15" t="s">
        <v>1488</v>
      </c>
      <c r="W15">
        <v>400</v>
      </c>
      <c r="X15">
        <v>499</v>
      </c>
      <c r="Y15" t="s">
        <v>1411</v>
      </c>
      <c r="Z15">
        <v>47</v>
      </c>
      <c r="AA15" s="9">
        <f t="shared" si="9"/>
        <v>21.150000000000002</v>
      </c>
      <c r="AB15" s="3">
        <f t="shared" si="10"/>
        <v>32.838461538461537</v>
      </c>
      <c r="AC15" s="5">
        <f t="shared" si="11"/>
        <v>30.51428571428572</v>
      </c>
      <c r="AD15" s="7">
        <f t="shared" si="12"/>
        <v>28.500000000000004</v>
      </c>
    </row>
    <row r="16" spans="3:31" x14ac:dyDescent="0.25">
      <c r="C16" t="s">
        <v>1489</v>
      </c>
      <c r="D16">
        <v>500</v>
      </c>
      <c r="E16">
        <v>599</v>
      </c>
      <c r="F16" t="s">
        <v>1413</v>
      </c>
      <c r="G16">
        <v>22.95</v>
      </c>
      <c r="H16" s="9">
        <f t="shared" si="0"/>
        <v>10.327500000000001</v>
      </c>
      <c r="I16" s="3">
        <f t="shared" si="1"/>
        <v>16.188461538461539</v>
      </c>
      <c r="J16" s="5">
        <f t="shared" si="2"/>
        <v>15.053571428571431</v>
      </c>
      <c r="K16" s="7">
        <f t="shared" si="3"/>
        <v>14.070000000000002</v>
      </c>
      <c r="L16" s="7">
        <f t="shared" si="4"/>
        <v>13.209375000000001</v>
      </c>
      <c r="M16" t="s">
        <v>1489</v>
      </c>
      <c r="N16">
        <v>500</v>
      </c>
      <c r="O16">
        <v>599</v>
      </c>
      <c r="P16" t="s">
        <v>1414</v>
      </c>
      <c r="Q16">
        <v>25.11</v>
      </c>
      <c r="R16" s="9">
        <f t="shared" si="5"/>
        <v>11.2995</v>
      </c>
      <c r="S16" s="3">
        <f t="shared" si="6"/>
        <v>17.683846153846154</v>
      </c>
      <c r="T16" s="5">
        <f t="shared" si="7"/>
        <v>16.442142857142859</v>
      </c>
      <c r="U16" s="7">
        <f t="shared" si="8"/>
        <v>15.366000000000001</v>
      </c>
      <c r="V16" t="s">
        <v>1489</v>
      </c>
      <c r="W16">
        <v>500</v>
      </c>
      <c r="X16">
        <v>599</v>
      </c>
      <c r="Y16" t="s">
        <v>1415</v>
      </c>
      <c r="Z16">
        <v>50.5</v>
      </c>
      <c r="AA16" s="9">
        <f t="shared" si="9"/>
        <v>22.725000000000001</v>
      </c>
      <c r="AB16" s="3">
        <f t="shared" si="10"/>
        <v>35.261538461538457</v>
      </c>
      <c r="AC16" s="5">
        <f t="shared" si="11"/>
        <v>32.764285714285712</v>
      </c>
      <c r="AD16" s="7">
        <f t="shared" si="12"/>
        <v>30.6</v>
      </c>
    </row>
    <row r="17" spans="3:30" x14ac:dyDescent="0.25">
      <c r="C17" t="s">
        <v>1490</v>
      </c>
      <c r="D17">
        <v>600</v>
      </c>
      <c r="E17">
        <v>699</v>
      </c>
      <c r="F17" t="s">
        <v>1417</v>
      </c>
      <c r="G17">
        <v>24.72</v>
      </c>
      <c r="H17" s="9">
        <f t="shared" si="0"/>
        <v>11.124000000000001</v>
      </c>
      <c r="I17" s="3">
        <f t="shared" si="1"/>
        <v>17.413846153846155</v>
      </c>
      <c r="J17" s="5">
        <f t="shared" si="2"/>
        <v>16.191428571428574</v>
      </c>
      <c r="K17" s="7">
        <f t="shared" si="3"/>
        <v>15.132000000000001</v>
      </c>
      <c r="L17" s="7">
        <f t="shared" si="4"/>
        <v>14.205</v>
      </c>
      <c r="M17" t="s">
        <v>1490</v>
      </c>
      <c r="N17">
        <v>600</v>
      </c>
      <c r="O17">
        <v>699</v>
      </c>
      <c r="P17" t="s">
        <v>1418</v>
      </c>
      <c r="Q17">
        <v>27.02</v>
      </c>
      <c r="R17" s="9">
        <f t="shared" si="5"/>
        <v>12.159000000000001</v>
      </c>
      <c r="S17" s="3">
        <f t="shared" si="6"/>
        <v>19.006153846153847</v>
      </c>
      <c r="T17" s="5">
        <f t="shared" si="7"/>
        <v>17.670000000000002</v>
      </c>
      <c r="U17" s="7">
        <f t="shared" si="8"/>
        <v>16.512</v>
      </c>
      <c r="V17" t="s">
        <v>1490</v>
      </c>
      <c r="W17">
        <v>600</v>
      </c>
      <c r="X17">
        <v>699</v>
      </c>
      <c r="Y17" t="s">
        <v>1419</v>
      </c>
      <c r="Z17">
        <v>54.01</v>
      </c>
      <c r="AA17" s="9">
        <f t="shared" si="9"/>
        <v>24.304500000000001</v>
      </c>
      <c r="AB17" s="3">
        <f t="shared" si="10"/>
        <v>37.691538461538457</v>
      </c>
      <c r="AC17" s="5">
        <f t="shared" si="11"/>
        <v>35.020714285714284</v>
      </c>
      <c r="AD17" s="7">
        <f t="shared" si="12"/>
        <v>32.705999999999996</v>
      </c>
    </row>
    <row r="18" spans="3:30" x14ac:dyDescent="0.25">
      <c r="C18" t="s">
        <v>1491</v>
      </c>
      <c r="D18">
        <v>700</v>
      </c>
      <c r="E18">
        <v>799</v>
      </c>
      <c r="F18" t="s">
        <v>1421</v>
      </c>
      <c r="G18">
        <v>26.12</v>
      </c>
      <c r="H18" s="9">
        <f t="shared" si="0"/>
        <v>11.754000000000001</v>
      </c>
      <c r="I18" s="3">
        <f t="shared" si="1"/>
        <v>18.383076923076924</v>
      </c>
      <c r="J18" s="5">
        <f t="shared" si="2"/>
        <v>17.091428571428576</v>
      </c>
      <c r="K18" s="7">
        <f t="shared" si="3"/>
        <v>15.972000000000003</v>
      </c>
      <c r="L18" s="7">
        <f t="shared" si="4"/>
        <v>14.992500000000001</v>
      </c>
      <c r="M18" t="s">
        <v>1491</v>
      </c>
      <c r="N18">
        <v>700</v>
      </c>
      <c r="O18">
        <v>799</v>
      </c>
      <c r="P18" t="s">
        <v>1422</v>
      </c>
      <c r="Q18">
        <v>28.57</v>
      </c>
      <c r="R18" s="9">
        <f t="shared" si="5"/>
        <v>12.8565</v>
      </c>
      <c r="S18" s="3">
        <f t="shared" si="6"/>
        <v>20.079230769230769</v>
      </c>
      <c r="T18" s="5">
        <f t="shared" si="7"/>
        <v>18.666428571428575</v>
      </c>
      <c r="U18" s="7">
        <f t="shared" si="8"/>
        <v>17.442</v>
      </c>
      <c r="V18" t="s">
        <v>1491</v>
      </c>
      <c r="W18">
        <v>700</v>
      </c>
      <c r="X18">
        <v>799</v>
      </c>
      <c r="Y18" t="s">
        <v>1423</v>
      </c>
      <c r="Z18">
        <v>58.33</v>
      </c>
      <c r="AA18" s="9">
        <f t="shared" si="9"/>
        <v>26.2485</v>
      </c>
      <c r="AB18" s="3">
        <f t="shared" si="10"/>
        <v>40.682307692307688</v>
      </c>
      <c r="AC18" s="5">
        <f t="shared" si="11"/>
        <v>37.79785714285714</v>
      </c>
      <c r="AD18" s="7">
        <f t="shared" si="12"/>
        <v>35.297999999999995</v>
      </c>
    </row>
    <row r="19" spans="3:30" x14ac:dyDescent="0.25">
      <c r="C19" t="s">
        <v>1492</v>
      </c>
      <c r="D19">
        <v>800</v>
      </c>
      <c r="E19">
        <v>899</v>
      </c>
      <c r="F19" t="s">
        <v>1425</v>
      </c>
      <c r="G19">
        <v>28.72</v>
      </c>
      <c r="H19" s="9">
        <f t="shared" si="0"/>
        <v>12.923999999999999</v>
      </c>
      <c r="I19" s="3">
        <f t="shared" si="1"/>
        <v>20.183076923076921</v>
      </c>
      <c r="J19" s="5">
        <f t="shared" si="2"/>
        <v>18.762857142857143</v>
      </c>
      <c r="K19" s="7">
        <f t="shared" si="3"/>
        <v>17.532</v>
      </c>
      <c r="L19" s="7">
        <f t="shared" si="4"/>
        <v>16.454999999999998</v>
      </c>
      <c r="M19" t="s">
        <v>1492</v>
      </c>
      <c r="N19">
        <v>800</v>
      </c>
      <c r="O19">
        <v>899</v>
      </c>
      <c r="P19" t="s">
        <v>1426</v>
      </c>
      <c r="Q19">
        <v>31.44</v>
      </c>
      <c r="R19" s="9">
        <f t="shared" si="5"/>
        <v>14.148000000000001</v>
      </c>
      <c r="S19" s="3">
        <f t="shared" si="6"/>
        <v>22.066153846153849</v>
      </c>
      <c r="T19" s="5">
        <f t="shared" si="7"/>
        <v>20.511428571428574</v>
      </c>
      <c r="U19" s="7">
        <f t="shared" si="8"/>
        <v>19.164000000000001</v>
      </c>
      <c r="V19" t="s">
        <v>1492</v>
      </c>
      <c r="W19">
        <v>800</v>
      </c>
      <c r="X19">
        <v>899</v>
      </c>
      <c r="Y19" t="s">
        <v>1427</v>
      </c>
      <c r="Z19">
        <v>66.790000000000006</v>
      </c>
      <c r="AA19" s="9">
        <f t="shared" si="9"/>
        <v>30.055500000000002</v>
      </c>
      <c r="AB19" s="3">
        <f t="shared" si="10"/>
        <v>46.53923076923077</v>
      </c>
      <c r="AC19" s="5">
        <f t="shared" si="11"/>
        <v>43.236428571428576</v>
      </c>
      <c r="AD19" s="7">
        <f t="shared" si="12"/>
        <v>40.374000000000002</v>
      </c>
    </row>
    <row r="20" spans="3:30" x14ac:dyDescent="0.25">
      <c r="C20" t="s">
        <v>1493</v>
      </c>
      <c r="D20">
        <v>900</v>
      </c>
      <c r="E20">
        <v>999</v>
      </c>
      <c r="F20" t="s">
        <v>1428</v>
      </c>
      <c r="G20">
        <v>31.57</v>
      </c>
      <c r="H20" s="9">
        <f t="shared" si="0"/>
        <v>14.2065</v>
      </c>
      <c r="I20" s="3">
        <f t="shared" si="1"/>
        <v>22.156153846153845</v>
      </c>
      <c r="J20" s="5">
        <f t="shared" si="2"/>
        <v>20.595000000000002</v>
      </c>
      <c r="K20" s="7">
        <f t="shared" si="3"/>
        <v>19.242000000000001</v>
      </c>
      <c r="L20" s="7">
        <f t="shared" si="4"/>
        <v>18.058125</v>
      </c>
      <c r="M20" t="s">
        <v>1493</v>
      </c>
      <c r="N20">
        <v>900</v>
      </c>
      <c r="O20">
        <v>999</v>
      </c>
      <c r="P20" t="s">
        <v>1429</v>
      </c>
      <c r="Q20">
        <v>34.61</v>
      </c>
      <c r="R20" s="9">
        <f t="shared" si="5"/>
        <v>15.5745</v>
      </c>
      <c r="S20" s="3">
        <f t="shared" si="6"/>
        <v>24.260769230769231</v>
      </c>
      <c r="T20" s="5">
        <f t="shared" si="7"/>
        <v>22.549285714285716</v>
      </c>
      <c r="U20" s="7">
        <f t="shared" si="8"/>
        <v>21.066000000000003</v>
      </c>
      <c r="V20" t="s">
        <v>1493</v>
      </c>
      <c r="W20">
        <v>900</v>
      </c>
      <c r="X20">
        <v>999</v>
      </c>
      <c r="Y20" t="s">
        <v>1430</v>
      </c>
      <c r="Z20">
        <v>73.459999999999994</v>
      </c>
      <c r="AA20" s="9">
        <f t="shared" si="9"/>
        <v>33.056999999999995</v>
      </c>
      <c r="AB20" s="3">
        <f t="shared" si="10"/>
        <v>51.156923076923064</v>
      </c>
      <c r="AC20" s="5">
        <f t="shared" si="11"/>
        <v>47.52428571428571</v>
      </c>
      <c r="AD20" s="7">
        <f t="shared" si="12"/>
        <v>44.375999999999991</v>
      </c>
    </row>
    <row r="22" spans="3:30" x14ac:dyDescent="0.25">
      <c r="C22" t="s">
        <v>1431</v>
      </c>
      <c r="P22" s="76" t="s">
        <v>1494</v>
      </c>
      <c r="Q22" s="76"/>
      <c r="R22" s="76"/>
      <c r="S22" s="76"/>
    </row>
    <row r="23" spans="3:30" x14ac:dyDescent="0.25">
      <c r="P23" t="s">
        <v>1664</v>
      </c>
    </row>
    <row r="24" spans="3:30" x14ac:dyDescent="0.25">
      <c r="C24" t="s">
        <v>1432</v>
      </c>
      <c r="P24" t="s">
        <v>1665</v>
      </c>
    </row>
    <row r="25" spans="3:30" x14ac:dyDescent="0.25">
      <c r="C25" t="s">
        <v>1433</v>
      </c>
    </row>
    <row r="26" spans="3:30" x14ac:dyDescent="0.25">
      <c r="C26" t="s">
        <v>1495</v>
      </c>
    </row>
    <row r="28" spans="3:30" x14ac:dyDescent="0.25">
      <c r="C28" t="s">
        <v>1434</v>
      </c>
      <c r="P28" t="s">
        <v>1435</v>
      </c>
    </row>
    <row r="29" spans="3:30" x14ac:dyDescent="0.25">
      <c r="P29" t="s">
        <v>1496</v>
      </c>
    </row>
    <row r="30" spans="3:30" x14ac:dyDescent="0.25">
      <c r="C30" t="s">
        <v>1436</v>
      </c>
    </row>
    <row r="31" spans="3:30" x14ac:dyDescent="0.25">
      <c r="C31" t="s">
        <v>1437</v>
      </c>
      <c r="P31" t="s">
        <v>1670</v>
      </c>
    </row>
    <row r="32" spans="3:30" x14ac:dyDescent="0.25">
      <c r="C32" t="s">
        <v>1438</v>
      </c>
    </row>
    <row r="41" spans="17:28" x14ac:dyDescent="0.25">
      <c r="Q41" s="1">
        <v>83280.259999999995</v>
      </c>
      <c r="R41" s="1">
        <v>6940.0216666666665</v>
      </c>
      <c r="T41">
        <v>83280.259999999995</v>
      </c>
      <c r="U41" s="49">
        <v>6940.0216666666665</v>
      </c>
      <c r="AA41" s="1">
        <v>83280.259999999995</v>
      </c>
      <c r="AB41" s="20">
        <v>20820.064999999999</v>
      </c>
    </row>
    <row r="42" spans="17:28" x14ac:dyDescent="0.25">
      <c r="Q42" s="1">
        <f>Q41-R41</f>
        <v>76340.238333333327</v>
      </c>
      <c r="R42" s="1">
        <v>6940.0216666666665</v>
      </c>
      <c r="T42" s="49">
        <f>T41-U41</f>
        <v>76340.238333333327</v>
      </c>
      <c r="U42" s="49">
        <v>6940.0216666666665</v>
      </c>
      <c r="AA42" s="20">
        <f>AA41-AB41</f>
        <v>62460.194999999992</v>
      </c>
      <c r="AB42" s="20">
        <v>20820.064999999999</v>
      </c>
    </row>
    <row r="43" spans="17:28" x14ac:dyDescent="0.25">
      <c r="Q43" s="1">
        <f t="shared" ref="Q43:Q53" si="13">Q42-R42</f>
        <v>69400.21666666666</v>
      </c>
      <c r="R43" s="1">
        <v>6940.0216666666665</v>
      </c>
      <c r="T43" s="49">
        <f t="shared" ref="T43:T53" si="14">T42-U42</f>
        <v>69400.21666666666</v>
      </c>
      <c r="U43" s="49">
        <v>6940.0216666666665</v>
      </c>
      <c r="AA43" s="20">
        <f t="shared" ref="AA43:AA44" si="15">AA42-AB42</f>
        <v>41640.12999999999</v>
      </c>
      <c r="AB43" s="20">
        <v>20820.064999999999</v>
      </c>
    </row>
    <row r="44" spans="17:28" x14ac:dyDescent="0.25">
      <c r="Q44" s="1">
        <f t="shared" si="13"/>
        <v>62460.194999999992</v>
      </c>
      <c r="R44" s="1">
        <v>6940.0216666666665</v>
      </c>
      <c r="T44" s="49">
        <f t="shared" si="14"/>
        <v>62460.194999999992</v>
      </c>
      <c r="U44" s="49">
        <v>6940.0216666666665</v>
      </c>
      <c r="AA44" s="20">
        <f t="shared" si="15"/>
        <v>20820.064999999991</v>
      </c>
      <c r="AB44" s="20">
        <v>20820.064999999999</v>
      </c>
    </row>
    <row r="45" spans="17:28" x14ac:dyDescent="0.25">
      <c r="Q45" s="1">
        <f t="shared" si="13"/>
        <v>55520.173333333325</v>
      </c>
      <c r="R45" s="1">
        <v>6940.0216666666665</v>
      </c>
      <c r="T45" s="49">
        <f t="shared" si="14"/>
        <v>55520.173333333325</v>
      </c>
      <c r="U45" s="49">
        <v>6940.0216666666665</v>
      </c>
    </row>
    <row r="46" spans="17:28" x14ac:dyDescent="0.25">
      <c r="Q46" s="1">
        <f t="shared" si="13"/>
        <v>48580.151666666658</v>
      </c>
      <c r="R46" s="1">
        <v>6940.0216666666665</v>
      </c>
      <c r="T46" s="49">
        <f t="shared" si="14"/>
        <v>48580.151666666658</v>
      </c>
      <c r="U46" s="49">
        <v>6940.0216666666665</v>
      </c>
      <c r="AA46" t="s">
        <v>1799</v>
      </c>
    </row>
    <row r="47" spans="17:28" x14ac:dyDescent="0.25">
      <c r="Q47" s="1">
        <f t="shared" si="13"/>
        <v>41640.12999999999</v>
      </c>
      <c r="R47" s="1">
        <v>6940.0216666666665</v>
      </c>
      <c r="T47" s="49">
        <f t="shared" si="14"/>
        <v>41640.12999999999</v>
      </c>
      <c r="U47" s="49">
        <v>6940.0216666666665</v>
      </c>
      <c r="AA47" s="51">
        <v>78677.14</v>
      </c>
      <c r="AB47" s="50">
        <v>19669.285</v>
      </c>
    </row>
    <row r="48" spans="17:28" x14ac:dyDescent="0.25">
      <c r="Q48" s="1">
        <f t="shared" si="13"/>
        <v>34700.108333333323</v>
      </c>
      <c r="R48" s="1">
        <v>6940.0216666666665</v>
      </c>
      <c r="T48" s="49">
        <f t="shared" si="14"/>
        <v>34700.108333333323</v>
      </c>
      <c r="U48" s="49">
        <v>6940.0216666666665</v>
      </c>
      <c r="AA48" s="50">
        <f>AA47-AB47</f>
        <v>59007.854999999996</v>
      </c>
      <c r="AB48" s="50">
        <v>19669.285</v>
      </c>
    </row>
    <row r="49" spans="17:28" x14ac:dyDescent="0.25">
      <c r="Q49" s="1">
        <f t="shared" si="13"/>
        <v>27760.086666666655</v>
      </c>
      <c r="R49" s="1">
        <v>6940.0216666666665</v>
      </c>
      <c r="T49" s="49">
        <f t="shared" si="14"/>
        <v>27760.086666666655</v>
      </c>
      <c r="U49" s="49">
        <v>6940.0216666666665</v>
      </c>
      <c r="AA49" s="50">
        <f t="shared" ref="AA49:AA50" si="16">AA48-AB48</f>
        <v>39338.569999999992</v>
      </c>
      <c r="AB49" s="50">
        <v>19669.285</v>
      </c>
    </row>
    <row r="50" spans="17:28" x14ac:dyDescent="0.25">
      <c r="Q50" s="1">
        <f t="shared" si="13"/>
        <v>20820.064999999988</v>
      </c>
      <c r="R50" s="1">
        <v>6940.0216666666665</v>
      </c>
      <c r="T50" s="49">
        <f t="shared" si="14"/>
        <v>20820.064999999988</v>
      </c>
      <c r="U50" s="49">
        <v>6940.0216666666665</v>
      </c>
      <c r="AA50" s="50">
        <f t="shared" si="16"/>
        <v>19669.284999999993</v>
      </c>
      <c r="AB50" s="50">
        <v>19669.285</v>
      </c>
    </row>
    <row r="51" spans="17:28" x14ac:dyDescent="0.25">
      <c r="Q51" s="1">
        <f t="shared" si="13"/>
        <v>13880.04333333332</v>
      </c>
      <c r="R51" s="1">
        <v>6940.0216666666665</v>
      </c>
      <c r="T51" s="49">
        <f t="shared" si="14"/>
        <v>13880.04333333332</v>
      </c>
      <c r="U51" s="49">
        <v>6940.0216666666665</v>
      </c>
    </row>
    <row r="52" spans="17:28" x14ac:dyDescent="0.25">
      <c r="Q52" s="1">
        <f t="shared" si="13"/>
        <v>6940.0216666666538</v>
      </c>
      <c r="R52" s="1">
        <v>6940.0216666666665</v>
      </c>
      <c r="T52" s="49">
        <f t="shared" si="14"/>
        <v>6940.0216666666538</v>
      </c>
      <c r="U52" s="49">
        <v>6940.0216666666665</v>
      </c>
      <c r="AA52" t="s">
        <v>1798</v>
      </c>
    </row>
    <row r="53" spans="17:28" x14ac:dyDescent="0.25">
      <c r="Q53" s="1">
        <f t="shared" si="13"/>
        <v>-1.2732925824820995E-11</v>
      </c>
      <c r="R53" s="1">
        <v>6940.0216666666665</v>
      </c>
      <c r="T53" s="49">
        <f t="shared" si="14"/>
        <v>-1.2732925824820995E-11</v>
      </c>
      <c r="U53" s="49">
        <v>6940.0216666666665</v>
      </c>
      <c r="AA53" s="50">
        <v>36985.64</v>
      </c>
      <c r="AB53" s="50">
        <v>9246.41</v>
      </c>
    </row>
    <row r="54" spans="17:28" x14ac:dyDescent="0.25">
      <c r="AA54" s="50">
        <f>AA53-$AB$53</f>
        <v>27739.23</v>
      </c>
      <c r="AB54" s="50">
        <v>9246.41</v>
      </c>
    </row>
    <row r="55" spans="17:28" x14ac:dyDescent="0.25">
      <c r="AA55" s="50">
        <f t="shared" ref="AA55:AA56" si="17">AA54-$AB$53</f>
        <v>18492.82</v>
      </c>
      <c r="AB55" s="50">
        <v>9246.41</v>
      </c>
    </row>
    <row r="56" spans="17:28" x14ac:dyDescent="0.25">
      <c r="AA56" s="50">
        <f t="shared" si="17"/>
        <v>9246.41</v>
      </c>
      <c r="AB56" s="50">
        <v>9246.41</v>
      </c>
    </row>
    <row r="58" spans="17:28" x14ac:dyDescent="0.25">
      <c r="AA58" t="s">
        <v>1800</v>
      </c>
    </row>
    <row r="59" spans="17:28" x14ac:dyDescent="0.25">
      <c r="AA59" s="1">
        <v>47974.95</v>
      </c>
      <c r="AB59" s="20">
        <v>11993.737499999999</v>
      </c>
    </row>
    <row r="60" spans="17:28" x14ac:dyDescent="0.25">
      <c r="AA60" s="20">
        <f>AA59-AB59</f>
        <v>35981.212499999994</v>
      </c>
      <c r="AB60" s="20">
        <v>11993.737499999999</v>
      </c>
    </row>
    <row r="61" spans="17:28" x14ac:dyDescent="0.25">
      <c r="AA61" s="20">
        <f t="shared" ref="AA61:AA62" si="18">AA60-AB60</f>
        <v>23987.474999999995</v>
      </c>
      <c r="AB61" s="20">
        <v>11993.737499999999</v>
      </c>
    </row>
    <row r="62" spans="17:28" x14ac:dyDescent="0.25">
      <c r="AA62" s="20">
        <f t="shared" si="18"/>
        <v>11993.737499999996</v>
      </c>
      <c r="AB62" s="20">
        <v>11993.737499999999</v>
      </c>
    </row>
    <row r="64" spans="17:28" x14ac:dyDescent="0.25">
      <c r="AA64" s="1">
        <v>49012.21</v>
      </c>
      <c r="AB64" s="1">
        <v>12253.0525</v>
      </c>
    </row>
    <row r="65" spans="27:28" x14ac:dyDescent="0.25">
      <c r="AA65" s="20">
        <f>AA64-AB64</f>
        <v>36759.157500000001</v>
      </c>
      <c r="AB65" s="1">
        <v>12253.0525</v>
      </c>
    </row>
    <row r="66" spans="27:28" x14ac:dyDescent="0.25">
      <c r="AA66" s="20">
        <f t="shared" ref="AA66:AA67" si="19">AA65-AB65</f>
        <v>24506.105000000003</v>
      </c>
      <c r="AB66" s="1">
        <v>12253.0525</v>
      </c>
    </row>
    <row r="67" spans="27:28" x14ac:dyDescent="0.25">
      <c r="AA67" s="20">
        <f t="shared" si="19"/>
        <v>12253.052500000003</v>
      </c>
      <c r="AB67" s="1">
        <v>12253.0525</v>
      </c>
    </row>
    <row r="69" spans="27:28" x14ac:dyDescent="0.25">
      <c r="AA69" s="1">
        <v>18064.849999999999</v>
      </c>
      <c r="AB69" s="1">
        <v>4516.2124999999996</v>
      </c>
    </row>
    <row r="70" spans="27:28" x14ac:dyDescent="0.25">
      <c r="AA70" s="1">
        <f>AA69-AB69</f>
        <v>13548.637499999999</v>
      </c>
      <c r="AB70" s="1">
        <v>4516.2124999999996</v>
      </c>
    </row>
    <row r="71" spans="27:28" x14ac:dyDescent="0.25">
      <c r="AA71" s="1">
        <f t="shared" ref="AA71:AA72" si="20">AA70-AB70</f>
        <v>9032.4249999999993</v>
      </c>
      <c r="AB71" s="1">
        <v>4516.2124999999996</v>
      </c>
    </row>
    <row r="72" spans="27:28" x14ac:dyDescent="0.25">
      <c r="AA72" s="1">
        <f t="shared" si="20"/>
        <v>4516.2124999999996</v>
      </c>
      <c r="AB72" s="1">
        <v>4516.2124999999996</v>
      </c>
    </row>
  </sheetData>
  <mergeCells count="2">
    <mergeCell ref="P22:S22"/>
    <mergeCell ref="Y6:A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DE29-C874-40A0-935B-B1C588550C37}">
  <sheetPr>
    <tabColor theme="5" tint="-0.499984740745262"/>
  </sheetPr>
  <dimension ref="B1:V62"/>
  <sheetViews>
    <sheetView topLeftCell="A11" workbookViewId="0">
      <selection activeCell="K19" sqref="K19"/>
    </sheetView>
  </sheetViews>
  <sheetFormatPr defaultRowHeight="15" x14ac:dyDescent="0.25"/>
  <cols>
    <col min="3" max="3" width="11.5703125" bestFit="1" customWidth="1"/>
    <col min="4" max="8" width="10.28515625" bestFit="1" customWidth="1"/>
    <col min="9" max="9" width="10.28515625" customWidth="1"/>
  </cols>
  <sheetData>
    <row r="1" spans="2:22" x14ac:dyDescent="0.25">
      <c r="V1" t="s">
        <v>209</v>
      </c>
    </row>
    <row r="2" spans="2:22" x14ac:dyDescent="0.25">
      <c r="C2" s="21"/>
      <c r="D2" s="22"/>
      <c r="E2" s="23"/>
      <c r="F2" s="24"/>
      <c r="P2">
        <v>46143</v>
      </c>
    </row>
    <row r="3" spans="2:22" x14ac:dyDescent="0.25">
      <c r="C3" s="11" t="s">
        <v>1673</v>
      </c>
      <c r="D3" s="11" t="s">
        <v>1378</v>
      </c>
      <c r="E3" s="11" t="s">
        <v>1379</v>
      </c>
      <c r="F3" s="11" t="s">
        <v>1380</v>
      </c>
      <c r="V3" t="s">
        <v>112</v>
      </c>
    </row>
    <row r="4" spans="2:22" x14ac:dyDescent="0.25">
      <c r="V4" t="s">
        <v>113</v>
      </c>
    </row>
    <row r="6" spans="2:22" x14ac:dyDescent="0.25">
      <c r="B6" t="s">
        <v>1497</v>
      </c>
    </row>
    <row r="8" spans="2:22" x14ac:dyDescent="0.25">
      <c r="B8" t="s">
        <v>210</v>
      </c>
      <c r="C8" t="s">
        <v>1498</v>
      </c>
      <c r="D8" t="s">
        <v>79</v>
      </c>
      <c r="E8" t="s">
        <v>0</v>
      </c>
      <c r="J8" t="s">
        <v>211</v>
      </c>
      <c r="K8" t="s">
        <v>211</v>
      </c>
      <c r="M8" t="s">
        <v>210</v>
      </c>
      <c r="N8" t="s">
        <v>1499</v>
      </c>
      <c r="O8" t="s">
        <v>79</v>
      </c>
      <c r="P8" t="s">
        <v>0</v>
      </c>
      <c r="U8" t="s">
        <v>211</v>
      </c>
      <c r="V8" t="s">
        <v>211</v>
      </c>
    </row>
    <row r="9" spans="2:22" x14ac:dyDescent="0.25">
      <c r="C9" t="s">
        <v>86</v>
      </c>
      <c r="D9" t="s">
        <v>75</v>
      </c>
      <c r="E9">
        <v>0.34</v>
      </c>
      <c r="F9" t="s">
        <v>1378</v>
      </c>
      <c r="G9" t="s">
        <v>1379</v>
      </c>
      <c r="H9" t="s">
        <v>1380</v>
      </c>
      <c r="J9" t="s">
        <v>85</v>
      </c>
      <c r="K9" t="s">
        <v>212</v>
      </c>
      <c r="N9" t="s">
        <v>86</v>
      </c>
      <c r="O9" t="s">
        <v>75</v>
      </c>
      <c r="P9">
        <v>0.34</v>
      </c>
      <c r="Q9" t="s">
        <v>1378</v>
      </c>
      <c r="R9" t="s">
        <v>1379</v>
      </c>
      <c r="S9" t="s">
        <v>1380</v>
      </c>
      <c r="T9" t="s">
        <v>1674</v>
      </c>
      <c r="U9" t="s">
        <v>85</v>
      </c>
      <c r="V9" t="s">
        <v>212</v>
      </c>
    </row>
    <row r="10" spans="2:22" x14ac:dyDescent="0.25">
      <c r="B10" t="s">
        <v>213</v>
      </c>
      <c r="C10" t="s">
        <v>10</v>
      </c>
      <c r="D10">
        <v>9.09</v>
      </c>
      <c r="E10" s="9">
        <f>D10*$E$9</f>
        <v>3.0906000000000002</v>
      </c>
      <c r="F10" s="3">
        <f>(E10/0.65)+0.3</f>
        <v>5.0547692307692307</v>
      </c>
      <c r="G10" s="5">
        <f>(E10/0.7)+0.3</f>
        <v>4.7151428571428573</v>
      </c>
      <c r="H10" s="7">
        <f>(E10/0.75)+0.3</f>
        <v>4.4207999999999998</v>
      </c>
      <c r="I10" s="7">
        <f>(E10/0.8)+0.3</f>
        <v>4.1632500000000006</v>
      </c>
      <c r="J10">
        <v>12</v>
      </c>
      <c r="K10" t="s">
        <v>5</v>
      </c>
      <c r="M10" t="s">
        <v>214</v>
      </c>
      <c r="N10" t="s">
        <v>118</v>
      </c>
      <c r="O10">
        <v>11.38</v>
      </c>
      <c r="P10" s="9">
        <f>O10*$P$9</f>
        <v>3.8692000000000006</v>
      </c>
      <c r="Q10" s="3">
        <f>(P10/0.65)+0.3</f>
        <v>6.2526153846153854</v>
      </c>
      <c r="R10" s="5">
        <f>(P10/0.7)+0.3</f>
        <v>5.8274285714285723</v>
      </c>
      <c r="S10" s="7">
        <f>(P10/0.75)+0.3</f>
        <v>5.4589333333333343</v>
      </c>
      <c r="T10" s="18">
        <f>(P10/0.8)+0.3</f>
        <v>5.1365000000000007</v>
      </c>
      <c r="U10">
        <v>12</v>
      </c>
      <c r="V10" t="s">
        <v>54</v>
      </c>
    </row>
    <row r="11" spans="2:22" x14ac:dyDescent="0.25">
      <c r="B11" t="s">
        <v>215</v>
      </c>
      <c r="C11" t="s">
        <v>12</v>
      </c>
      <c r="D11">
        <v>9.58</v>
      </c>
      <c r="E11" s="9">
        <f t="shared" ref="E11:E44" si="0">D11*$E$9</f>
        <v>3.2572000000000001</v>
      </c>
      <c r="F11" s="3">
        <f t="shared" ref="F11:F44" si="1">(E11/0.65)+0.3</f>
        <v>5.3110769230769233</v>
      </c>
      <c r="G11" s="5">
        <f t="shared" ref="G11:G44" si="2">(E11/0.7)+0.3</f>
        <v>4.9531428571428577</v>
      </c>
      <c r="H11" s="7">
        <f t="shared" ref="H11:H44" si="3">(E11/0.75)+0.3</f>
        <v>4.6429333333333336</v>
      </c>
      <c r="I11" s="7">
        <f t="shared" ref="I11:I44" si="4">(E11/0.8)+0.3</f>
        <v>4.3714999999999993</v>
      </c>
      <c r="J11">
        <v>12</v>
      </c>
      <c r="K11" t="s">
        <v>30</v>
      </c>
      <c r="M11" t="s">
        <v>216</v>
      </c>
      <c r="N11" t="s">
        <v>121</v>
      </c>
      <c r="O11">
        <v>11.87</v>
      </c>
      <c r="P11" s="9">
        <f t="shared" ref="P11:P30" si="5">O11*$P$9</f>
        <v>4.0358000000000001</v>
      </c>
      <c r="Q11" s="3">
        <f t="shared" ref="Q11:Q30" si="6">(P11/0.65)+0.3</f>
        <v>6.508923076923077</v>
      </c>
      <c r="R11" s="5">
        <f t="shared" ref="R11:R30" si="7">(P11/0.7)+0.3</f>
        <v>6.0654285714285718</v>
      </c>
      <c r="S11" s="7">
        <f t="shared" ref="S11:S30" si="8">(P11/0.75)+0.3</f>
        <v>5.6810666666666663</v>
      </c>
      <c r="T11" s="18">
        <f t="shared" ref="T11:T30" si="9">(P11/0.8)+0.3</f>
        <v>5.3447499999999994</v>
      </c>
      <c r="U11">
        <v>12</v>
      </c>
      <c r="V11" t="s">
        <v>59</v>
      </c>
    </row>
    <row r="12" spans="2:22" x14ac:dyDescent="0.25">
      <c r="B12" t="s">
        <v>217</v>
      </c>
      <c r="C12" t="s">
        <v>13</v>
      </c>
      <c r="D12">
        <v>16.36</v>
      </c>
      <c r="E12" s="9">
        <f t="shared" si="0"/>
        <v>5.5624000000000002</v>
      </c>
      <c r="F12" s="3">
        <f t="shared" si="1"/>
        <v>8.8575384615384625</v>
      </c>
      <c r="G12" s="5">
        <f t="shared" si="2"/>
        <v>8.2462857142857153</v>
      </c>
      <c r="H12" s="7">
        <f t="shared" si="3"/>
        <v>7.7165333333333335</v>
      </c>
      <c r="I12" s="7">
        <f t="shared" si="4"/>
        <v>7.2530000000000001</v>
      </c>
      <c r="J12">
        <v>12</v>
      </c>
      <c r="K12" t="s">
        <v>35</v>
      </c>
      <c r="M12" t="s">
        <v>218</v>
      </c>
      <c r="N12" t="s">
        <v>124</v>
      </c>
      <c r="O12">
        <v>12.06</v>
      </c>
      <c r="P12" s="9">
        <f t="shared" si="5"/>
        <v>4.1004000000000005</v>
      </c>
      <c r="Q12" s="3">
        <f t="shared" si="6"/>
        <v>6.6083076923076929</v>
      </c>
      <c r="R12" s="5">
        <f t="shared" si="7"/>
        <v>6.1577142857142864</v>
      </c>
      <c r="S12" s="7">
        <f t="shared" si="8"/>
        <v>5.7672000000000008</v>
      </c>
      <c r="T12" s="18">
        <f t="shared" si="9"/>
        <v>5.4255000000000004</v>
      </c>
      <c r="U12">
        <v>12</v>
      </c>
      <c r="V12" t="s">
        <v>56</v>
      </c>
    </row>
    <row r="13" spans="2:22" x14ac:dyDescent="0.25">
      <c r="B13" t="s">
        <v>219</v>
      </c>
      <c r="C13" t="s">
        <v>15</v>
      </c>
      <c r="D13">
        <v>16.73</v>
      </c>
      <c r="E13" s="9">
        <f t="shared" si="0"/>
        <v>5.6882000000000001</v>
      </c>
      <c r="F13" s="3">
        <f t="shared" si="1"/>
        <v>9.0510769230769235</v>
      </c>
      <c r="G13" s="5">
        <f t="shared" si="2"/>
        <v>8.4260000000000019</v>
      </c>
      <c r="H13" s="7">
        <f t="shared" si="3"/>
        <v>7.884266666666667</v>
      </c>
      <c r="I13" s="7">
        <f t="shared" si="4"/>
        <v>7.4102499999999996</v>
      </c>
      <c r="J13">
        <v>12</v>
      </c>
      <c r="K13" t="s">
        <v>35</v>
      </c>
      <c r="M13" t="s">
        <v>220</v>
      </c>
      <c r="N13" t="s">
        <v>41</v>
      </c>
      <c r="O13">
        <v>11.35</v>
      </c>
      <c r="P13" s="9">
        <f t="shared" si="5"/>
        <v>3.859</v>
      </c>
      <c r="Q13" s="3">
        <f t="shared" si="6"/>
        <v>6.2369230769230768</v>
      </c>
      <c r="R13" s="5">
        <f t="shared" si="7"/>
        <v>5.8128571428571432</v>
      </c>
      <c r="S13" s="7">
        <f t="shared" si="8"/>
        <v>5.4453333333333331</v>
      </c>
      <c r="T13" s="18">
        <f t="shared" si="9"/>
        <v>5.1237499999999994</v>
      </c>
      <c r="U13">
        <v>12</v>
      </c>
      <c r="V13" t="s">
        <v>54</v>
      </c>
    </row>
    <row r="14" spans="2:22" x14ac:dyDescent="0.25">
      <c r="B14" t="s">
        <v>221</v>
      </c>
      <c r="C14" t="s">
        <v>16</v>
      </c>
      <c r="D14">
        <v>11.62</v>
      </c>
      <c r="E14" s="9">
        <f t="shared" si="0"/>
        <v>3.9508000000000001</v>
      </c>
      <c r="F14" s="3">
        <f t="shared" si="1"/>
        <v>6.3781538461538458</v>
      </c>
      <c r="G14" s="5">
        <f t="shared" si="2"/>
        <v>5.944</v>
      </c>
      <c r="H14" s="7">
        <f t="shared" si="3"/>
        <v>5.567733333333333</v>
      </c>
      <c r="I14" s="7">
        <f t="shared" si="4"/>
        <v>5.2384999999999993</v>
      </c>
      <c r="J14">
        <v>12</v>
      </c>
      <c r="K14" t="s">
        <v>5</v>
      </c>
      <c r="M14" t="s">
        <v>222</v>
      </c>
      <c r="N14" t="s">
        <v>42</v>
      </c>
      <c r="O14">
        <v>11.55</v>
      </c>
      <c r="P14" s="9">
        <f t="shared" si="5"/>
        <v>3.9270000000000005</v>
      </c>
      <c r="Q14" s="3">
        <f t="shared" si="6"/>
        <v>6.3415384615384616</v>
      </c>
      <c r="R14" s="5">
        <f t="shared" si="7"/>
        <v>5.910000000000001</v>
      </c>
      <c r="S14" s="7">
        <f t="shared" si="8"/>
        <v>5.5360000000000005</v>
      </c>
      <c r="T14" s="18">
        <f t="shared" si="9"/>
        <v>5.2087500000000002</v>
      </c>
      <c r="U14">
        <v>12</v>
      </c>
      <c r="V14" t="s">
        <v>54</v>
      </c>
    </row>
    <row r="15" spans="2:22" x14ac:dyDescent="0.25">
      <c r="B15" t="s">
        <v>223</v>
      </c>
      <c r="C15" t="s">
        <v>17</v>
      </c>
      <c r="D15">
        <v>9.83</v>
      </c>
      <c r="E15" s="9">
        <f t="shared" si="0"/>
        <v>3.3422000000000001</v>
      </c>
      <c r="F15" s="3">
        <f t="shared" si="1"/>
        <v>5.4418461538461536</v>
      </c>
      <c r="G15" s="5">
        <f t="shared" si="2"/>
        <v>5.0745714285714287</v>
      </c>
      <c r="H15" s="7">
        <f t="shared" si="3"/>
        <v>4.7562666666666669</v>
      </c>
      <c r="I15" s="7">
        <f t="shared" si="4"/>
        <v>4.4777499999999995</v>
      </c>
      <c r="J15">
        <v>12</v>
      </c>
      <c r="K15" t="s">
        <v>35</v>
      </c>
      <c r="M15" t="s">
        <v>224</v>
      </c>
      <c r="N15" t="s">
        <v>43</v>
      </c>
      <c r="O15">
        <v>12.64</v>
      </c>
      <c r="P15" s="9">
        <f t="shared" si="5"/>
        <v>4.2976000000000001</v>
      </c>
      <c r="Q15" s="3">
        <f t="shared" si="6"/>
        <v>6.9116923076923076</v>
      </c>
      <c r="R15" s="5">
        <f t="shared" si="7"/>
        <v>6.4394285714285715</v>
      </c>
      <c r="S15" s="7">
        <f t="shared" si="8"/>
        <v>6.0301333333333336</v>
      </c>
      <c r="T15" s="18">
        <f t="shared" si="9"/>
        <v>5.6719999999999997</v>
      </c>
      <c r="U15">
        <v>12</v>
      </c>
      <c r="V15" t="s">
        <v>89</v>
      </c>
    </row>
    <row r="16" spans="2:22" x14ac:dyDescent="0.25">
      <c r="B16" t="s">
        <v>225</v>
      </c>
      <c r="C16" t="s">
        <v>19</v>
      </c>
      <c r="D16">
        <v>10.08</v>
      </c>
      <c r="E16" s="9">
        <f t="shared" si="0"/>
        <v>3.4272000000000005</v>
      </c>
      <c r="F16" s="3">
        <f t="shared" si="1"/>
        <v>5.5726153846153847</v>
      </c>
      <c r="G16" s="5">
        <f t="shared" si="2"/>
        <v>5.1960000000000006</v>
      </c>
      <c r="H16" s="7">
        <f t="shared" si="3"/>
        <v>4.8696000000000002</v>
      </c>
      <c r="I16" s="7">
        <f t="shared" si="4"/>
        <v>4.5840000000000005</v>
      </c>
      <c r="J16">
        <v>12</v>
      </c>
      <c r="K16" t="s">
        <v>30</v>
      </c>
      <c r="M16" t="s">
        <v>226</v>
      </c>
      <c r="N16" t="s">
        <v>44</v>
      </c>
      <c r="O16">
        <v>11.95</v>
      </c>
      <c r="P16" s="9">
        <f t="shared" si="5"/>
        <v>4.0629999999999997</v>
      </c>
      <c r="Q16" s="3">
        <f t="shared" si="6"/>
        <v>6.5507692307692302</v>
      </c>
      <c r="R16" s="5">
        <f t="shared" si="7"/>
        <v>6.1042857142857141</v>
      </c>
      <c r="S16" s="7">
        <f t="shared" si="8"/>
        <v>5.7173333333333325</v>
      </c>
      <c r="T16" s="18">
        <f t="shared" si="9"/>
        <v>5.3787499999999993</v>
      </c>
      <c r="U16">
        <v>12</v>
      </c>
      <c r="V16" t="s">
        <v>56</v>
      </c>
    </row>
    <row r="17" spans="2:22" x14ac:dyDescent="0.25">
      <c r="B17" t="s">
        <v>227</v>
      </c>
      <c r="C17" t="s">
        <v>21</v>
      </c>
      <c r="D17">
        <v>10.79</v>
      </c>
      <c r="E17" s="9">
        <f t="shared" si="0"/>
        <v>3.6686000000000001</v>
      </c>
      <c r="F17" s="3">
        <f t="shared" si="1"/>
        <v>5.944</v>
      </c>
      <c r="G17" s="5">
        <f t="shared" si="2"/>
        <v>5.5408571428571429</v>
      </c>
      <c r="H17" s="7">
        <f t="shared" si="3"/>
        <v>5.1914666666666669</v>
      </c>
      <c r="I17" s="7">
        <f t="shared" si="4"/>
        <v>4.8857499999999998</v>
      </c>
      <c r="J17">
        <v>12</v>
      </c>
      <c r="K17" t="s">
        <v>30</v>
      </c>
      <c r="M17" t="s">
        <v>228</v>
      </c>
      <c r="N17" t="s">
        <v>45</v>
      </c>
      <c r="O17">
        <v>15.38</v>
      </c>
      <c r="P17" s="9">
        <f t="shared" si="5"/>
        <v>5.2292000000000005</v>
      </c>
      <c r="Q17" s="3">
        <f t="shared" si="6"/>
        <v>8.3449230769230773</v>
      </c>
      <c r="R17" s="5">
        <f t="shared" si="7"/>
        <v>7.7702857142857154</v>
      </c>
      <c r="S17" s="7">
        <f t="shared" si="8"/>
        <v>7.2722666666666669</v>
      </c>
      <c r="T17" s="18">
        <f t="shared" si="9"/>
        <v>6.8365</v>
      </c>
      <c r="U17">
        <v>12</v>
      </c>
      <c r="V17" t="s">
        <v>88</v>
      </c>
    </row>
    <row r="18" spans="2:22" x14ac:dyDescent="0.25">
      <c r="B18" t="s">
        <v>229</v>
      </c>
      <c r="C18" t="s">
        <v>23</v>
      </c>
      <c r="D18">
        <v>16.73</v>
      </c>
      <c r="E18" s="9">
        <f t="shared" si="0"/>
        <v>5.6882000000000001</v>
      </c>
      <c r="F18" s="3">
        <f t="shared" si="1"/>
        <v>9.0510769230769235</v>
      </c>
      <c r="G18" s="5">
        <f t="shared" si="2"/>
        <v>8.4260000000000019</v>
      </c>
      <c r="H18" s="7">
        <f t="shared" si="3"/>
        <v>7.884266666666667</v>
      </c>
      <c r="I18" s="7">
        <f t="shared" si="4"/>
        <v>7.4102499999999996</v>
      </c>
      <c r="J18">
        <v>12</v>
      </c>
      <c r="K18" t="s">
        <v>35</v>
      </c>
      <c r="M18" t="s">
        <v>230</v>
      </c>
      <c r="N18" t="s">
        <v>46</v>
      </c>
      <c r="O18">
        <v>11.48</v>
      </c>
      <c r="P18" s="9">
        <f t="shared" si="5"/>
        <v>3.9032000000000004</v>
      </c>
      <c r="Q18" s="3">
        <f t="shared" si="6"/>
        <v>6.3049230769230773</v>
      </c>
      <c r="R18" s="5">
        <f t="shared" si="7"/>
        <v>5.8760000000000012</v>
      </c>
      <c r="S18" s="7">
        <f t="shared" si="8"/>
        <v>5.5042666666666671</v>
      </c>
      <c r="T18" s="18">
        <f t="shared" si="9"/>
        <v>5.1790000000000003</v>
      </c>
      <c r="U18">
        <v>12</v>
      </c>
      <c r="V18" t="s">
        <v>88</v>
      </c>
    </row>
    <row r="19" spans="2:22" x14ac:dyDescent="0.25">
      <c r="B19" t="s">
        <v>231</v>
      </c>
      <c r="C19" t="s">
        <v>11</v>
      </c>
      <c r="D19">
        <v>12.01</v>
      </c>
      <c r="E19" s="9">
        <f t="shared" si="0"/>
        <v>4.0834000000000001</v>
      </c>
      <c r="F19" s="3">
        <f t="shared" si="1"/>
        <v>6.5821538461538456</v>
      </c>
      <c r="G19" s="5">
        <f t="shared" si="2"/>
        <v>6.1334285714285715</v>
      </c>
      <c r="H19" s="7">
        <f t="shared" si="3"/>
        <v>5.744533333333333</v>
      </c>
      <c r="I19" s="7">
        <f t="shared" si="4"/>
        <v>5.4042499999999993</v>
      </c>
      <c r="J19">
        <v>12</v>
      </c>
      <c r="K19" t="s">
        <v>9</v>
      </c>
      <c r="M19" t="s">
        <v>232</v>
      </c>
      <c r="N19" t="s">
        <v>47</v>
      </c>
      <c r="O19">
        <v>14.71</v>
      </c>
      <c r="P19" s="9">
        <f t="shared" si="5"/>
        <v>5.0014000000000003</v>
      </c>
      <c r="Q19" s="3">
        <f t="shared" si="6"/>
        <v>7.9944615384615387</v>
      </c>
      <c r="R19" s="5">
        <f t="shared" si="7"/>
        <v>7.4448571428571437</v>
      </c>
      <c r="S19" s="7">
        <f t="shared" si="8"/>
        <v>6.9685333333333332</v>
      </c>
      <c r="T19" s="18">
        <f t="shared" si="9"/>
        <v>6.5517500000000002</v>
      </c>
      <c r="U19">
        <v>12</v>
      </c>
      <c r="V19" t="s">
        <v>67</v>
      </c>
    </row>
    <row r="20" spans="2:22" x14ac:dyDescent="0.25">
      <c r="B20" t="s">
        <v>233</v>
      </c>
      <c r="C20" t="s">
        <v>25</v>
      </c>
      <c r="D20">
        <v>10.26</v>
      </c>
      <c r="E20" s="9">
        <f t="shared" si="0"/>
        <v>3.4884000000000004</v>
      </c>
      <c r="F20" s="3">
        <f t="shared" si="1"/>
        <v>5.6667692307692308</v>
      </c>
      <c r="G20" s="5">
        <f t="shared" si="2"/>
        <v>5.2834285714285718</v>
      </c>
      <c r="H20" s="7">
        <f t="shared" si="3"/>
        <v>4.9512</v>
      </c>
      <c r="I20" s="7">
        <f t="shared" si="4"/>
        <v>4.6604999999999999</v>
      </c>
      <c r="J20">
        <v>12</v>
      </c>
      <c r="K20" t="s">
        <v>30</v>
      </c>
      <c r="M20" t="s">
        <v>234</v>
      </c>
      <c r="N20" t="s">
        <v>48</v>
      </c>
      <c r="O20">
        <v>13.24</v>
      </c>
      <c r="P20" s="9">
        <f t="shared" si="5"/>
        <v>4.5016000000000007</v>
      </c>
      <c r="Q20" s="3">
        <f t="shared" si="6"/>
        <v>7.2255384615384619</v>
      </c>
      <c r="R20" s="5">
        <f t="shared" si="7"/>
        <v>6.7308571428571442</v>
      </c>
      <c r="S20" s="7">
        <f t="shared" si="8"/>
        <v>6.3021333333333338</v>
      </c>
      <c r="T20" s="18">
        <f t="shared" si="9"/>
        <v>5.9270000000000005</v>
      </c>
      <c r="U20">
        <v>12</v>
      </c>
      <c r="V20" t="s">
        <v>67</v>
      </c>
    </row>
    <row r="21" spans="2:22" x14ac:dyDescent="0.25">
      <c r="B21" t="s">
        <v>235</v>
      </c>
      <c r="C21" t="s">
        <v>14</v>
      </c>
      <c r="D21">
        <v>16.61</v>
      </c>
      <c r="E21" s="9">
        <f t="shared" si="0"/>
        <v>5.6474000000000002</v>
      </c>
      <c r="F21" s="3">
        <f t="shared" si="1"/>
        <v>8.9883076923076928</v>
      </c>
      <c r="G21" s="5">
        <f t="shared" si="2"/>
        <v>8.3677142857142872</v>
      </c>
      <c r="H21" s="7">
        <f t="shared" si="3"/>
        <v>7.8298666666666668</v>
      </c>
      <c r="I21" s="7">
        <f t="shared" si="4"/>
        <v>7.3592499999999994</v>
      </c>
      <c r="J21">
        <v>12</v>
      </c>
      <c r="K21" t="s">
        <v>35</v>
      </c>
      <c r="M21" t="s">
        <v>236</v>
      </c>
      <c r="N21" t="s">
        <v>143</v>
      </c>
      <c r="O21">
        <v>19.13</v>
      </c>
      <c r="P21" s="9">
        <f t="shared" si="5"/>
        <v>6.5042</v>
      </c>
      <c r="Q21" s="3">
        <f t="shared" si="6"/>
        <v>10.306461538461539</v>
      </c>
      <c r="R21" s="5">
        <f t="shared" si="7"/>
        <v>9.5917142857142874</v>
      </c>
      <c r="S21" s="7">
        <f t="shared" si="8"/>
        <v>8.9722666666666679</v>
      </c>
      <c r="T21" s="18">
        <f t="shared" si="9"/>
        <v>8.4302500000000009</v>
      </c>
      <c r="U21">
        <v>12</v>
      </c>
      <c r="V21" t="s">
        <v>88</v>
      </c>
    </row>
    <row r="22" spans="2:22" x14ac:dyDescent="0.25">
      <c r="B22" t="s">
        <v>237</v>
      </c>
      <c r="C22" t="s">
        <v>27</v>
      </c>
      <c r="D22">
        <v>11.04</v>
      </c>
      <c r="E22" s="9">
        <f t="shared" si="0"/>
        <v>3.7536</v>
      </c>
      <c r="F22" s="3">
        <f t="shared" si="1"/>
        <v>6.0747692307692303</v>
      </c>
      <c r="G22" s="5">
        <f t="shared" si="2"/>
        <v>5.6622857142857148</v>
      </c>
      <c r="H22" s="7">
        <f t="shared" si="3"/>
        <v>5.3048000000000002</v>
      </c>
      <c r="I22" s="7">
        <f t="shared" si="4"/>
        <v>4.992</v>
      </c>
      <c r="J22">
        <v>12</v>
      </c>
      <c r="K22" t="s">
        <v>35</v>
      </c>
      <c r="M22" t="s">
        <v>238</v>
      </c>
      <c r="N22" t="s">
        <v>146</v>
      </c>
      <c r="O22">
        <v>15.76</v>
      </c>
      <c r="P22" s="9">
        <f t="shared" si="5"/>
        <v>5.3584000000000005</v>
      </c>
      <c r="Q22" s="3">
        <f t="shared" si="6"/>
        <v>8.543692307692309</v>
      </c>
      <c r="R22" s="5">
        <f t="shared" si="7"/>
        <v>7.9548571428571435</v>
      </c>
      <c r="S22" s="7">
        <f t="shared" si="8"/>
        <v>7.4445333333333341</v>
      </c>
      <c r="T22" s="18">
        <f t="shared" si="9"/>
        <v>6.9980000000000002</v>
      </c>
      <c r="U22">
        <v>12</v>
      </c>
      <c r="V22" t="s">
        <v>92</v>
      </c>
    </row>
    <row r="23" spans="2:22" x14ac:dyDescent="0.25">
      <c r="B23" t="s">
        <v>239</v>
      </c>
      <c r="C23" t="s">
        <v>29</v>
      </c>
      <c r="D23">
        <v>18.079999999999998</v>
      </c>
      <c r="E23" s="9">
        <f t="shared" si="0"/>
        <v>6.1471999999999998</v>
      </c>
      <c r="F23" s="3">
        <f t="shared" si="1"/>
        <v>9.7572307692307696</v>
      </c>
      <c r="G23" s="5">
        <f t="shared" si="2"/>
        <v>9.0817142857142859</v>
      </c>
      <c r="H23" s="7">
        <f t="shared" si="3"/>
        <v>8.4962666666666671</v>
      </c>
      <c r="I23" s="7">
        <f t="shared" si="4"/>
        <v>7.9839999999999991</v>
      </c>
      <c r="J23">
        <v>12</v>
      </c>
      <c r="K23" t="s">
        <v>35</v>
      </c>
      <c r="M23" t="s">
        <v>240</v>
      </c>
      <c r="N23" t="s">
        <v>49</v>
      </c>
      <c r="O23">
        <v>15.3</v>
      </c>
      <c r="P23" s="9">
        <f t="shared" si="5"/>
        <v>5.2020000000000008</v>
      </c>
      <c r="Q23" s="3">
        <f t="shared" si="6"/>
        <v>8.3030769230769241</v>
      </c>
      <c r="R23" s="5">
        <f t="shared" si="7"/>
        <v>7.7314285714285731</v>
      </c>
      <c r="S23" s="7">
        <f t="shared" si="8"/>
        <v>7.2360000000000007</v>
      </c>
      <c r="T23" s="18">
        <f t="shared" si="9"/>
        <v>6.8025000000000002</v>
      </c>
      <c r="U23">
        <v>12</v>
      </c>
      <c r="V23" t="s">
        <v>92</v>
      </c>
    </row>
    <row r="24" spans="2:22" x14ac:dyDescent="0.25">
      <c r="B24" t="s">
        <v>241</v>
      </c>
      <c r="C24" t="s">
        <v>31</v>
      </c>
      <c r="D24">
        <v>10.19</v>
      </c>
      <c r="E24" s="9">
        <f t="shared" si="0"/>
        <v>3.4645999999999999</v>
      </c>
      <c r="F24" s="3">
        <f t="shared" si="1"/>
        <v>5.6301538461538456</v>
      </c>
      <c r="G24" s="5">
        <f t="shared" si="2"/>
        <v>5.2494285714285711</v>
      </c>
      <c r="H24" s="7">
        <f t="shared" si="3"/>
        <v>4.9194666666666667</v>
      </c>
      <c r="I24" s="7">
        <f t="shared" si="4"/>
        <v>4.630749999999999</v>
      </c>
      <c r="J24">
        <v>12</v>
      </c>
      <c r="K24" t="s">
        <v>30</v>
      </c>
      <c r="M24" t="s">
        <v>242</v>
      </c>
      <c r="N24" t="s">
        <v>151</v>
      </c>
      <c r="O24">
        <v>16.45</v>
      </c>
      <c r="P24" s="9">
        <f t="shared" si="5"/>
        <v>5.593</v>
      </c>
      <c r="Q24" s="3">
        <f t="shared" si="6"/>
        <v>8.9046153846153846</v>
      </c>
      <c r="R24" s="5">
        <f t="shared" si="7"/>
        <v>8.2900000000000009</v>
      </c>
      <c r="S24" s="7">
        <f t="shared" si="8"/>
        <v>7.7573333333333334</v>
      </c>
      <c r="T24" s="18">
        <f t="shared" si="9"/>
        <v>7.2912499999999998</v>
      </c>
      <c r="U24">
        <v>12</v>
      </c>
      <c r="V24" t="s">
        <v>69</v>
      </c>
    </row>
    <row r="25" spans="2:22" x14ac:dyDescent="0.25">
      <c r="B25" t="s">
        <v>243</v>
      </c>
      <c r="C25" t="s">
        <v>153</v>
      </c>
      <c r="D25">
        <v>18.079999999999998</v>
      </c>
      <c r="E25" s="9">
        <f t="shared" si="0"/>
        <v>6.1471999999999998</v>
      </c>
      <c r="F25" s="3">
        <f t="shared" si="1"/>
        <v>9.7572307692307696</v>
      </c>
      <c r="G25" s="5">
        <f t="shared" si="2"/>
        <v>9.0817142857142859</v>
      </c>
      <c r="H25" s="7">
        <f t="shared" si="3"/>
        <v>8.4962666666666671</v>
      </c>
      <c r="I25" s="7">
        <f t="shared" si="4"/>
        <v>7.9839999999999991</v>
      </c>
      <c r="J25">
        <v>12</v>
      </c>
      <c r="K25" t="s">
        <v>59</v>
      </c>
      <c r="M25" t="s">
        <v>244</v>
      </c>
      <c r="N25" t="s">
        <v>50</v>
      </c>
      <c r="O25">
        <v>13.57</v>
      </c>
      <c r="P25" s="9">
        <f t="shared" si="5"/>
        <v>4.6138000000000003</v>
      </c>
      <c r="Q25" s="3">
        <f t="shared" si="6"/>
        <v>7.3981538461538463</v>
      </c>
      <c r="R25" s="5">
        <f t="shared" si="7"/>
        <v>6.8911428571428575</v>
      </c>
      <c r="S25" s="7">
        <f t="shared" si="8"/>
        <v>6.4517333333333333</v>
      </c>
      <c r="T25" s="18">
        <f t="shared" si="9"/>
        <v>6.0672499999999996</v>
      </c>
      <c r="U25">
        <v>12</v>
      </c>
      <c r="V25" t="s">
        <v>89</v>
      </c>
    </row>
    <row r="26" spans="2:22" x14ac:dyDescent="0.25">
      <c r="B26" t="s">
        <v>245</v>
      </c>
      <c r="C26" t="s">
        <v>32</v>
      </c>
      <c r="D26">
        <v>14.85</v>
      </c>
      <c r="E26" s="9">
        <f t="shared" si="0"/>
        <v>5.0490000000000004</v>
      </c>
      <c r="F26" s="3">
        <f t="shared" si="1"/>
        <v>8.0676923076923082</v>
      </c>
      <c r="G26" s="5">
        <f t="shared" si="2"/>
        <v>7.5128571428571433</v>
      </c>
      <c r="H26" s="7">
        <f t="shared" si="3"/>
        <v>7.032</v>
      </c>
      <c r="I26" s="7">
        <f t="shared" si="4"/>
        <v>6.6112500000000001</v>
      </c>
      <c r="J26">
        <v>12</v>
      </c>
      <c r="K26" t="s">
        <v>30</v>
      </c>
      <c r="M26" t="s">
        <v>246</v>
      </c>
      <c r="N26" t="s">
        <v>51</v>
      </c>
      <c r="O26">
        <v>15.91</v>
      </c>
      <c r="P26" s="9">
        <f t="shared" si="5"/>
        <v>5.4094000000000007</v>
      </c>
      <c r="Q26" s="3">
        <f t="shared" si="6"/>
        <v>8.6221538461538483</v>
      </c>
      <c r="R26" s="5">
        <f t="shared" si="7"/>
        <v>8.0277142857142874</v>
      </c>
      <c r="S26" s="7">
        <f t="shared" si="8"/>
        <v>7.5125333333333337</v>
      </c>
      <c r="T26" s="18">
        <f t="shared" si="9"/>
        <v>7.06175</v>
      </c>
      <c r="U26">
        <v>12</v>
      </c>
      <c r="V26" t="s">
        <v>69</v>
      </c>
    </row>
    <row r="27" spans="2:22" x14ac:dyDescent="0.25">
      <c r="B27" t="s">
        <v>247</v>
      </c>
      <c r="C27" t="s">
        <v>2</v>
      </c>
      <c r="D27">
        <v>9.77</v>
      </c>
      <c r="E27" s="9">
        <f t="shared" si="0"/>
        <v>3.3218000000000001</v>
      </c>
      <c r="F27" s="3">
        <f t="shared" si="1"/>
        <v>5.4104615384615382</v>
      </c>
      <c r="G27" s="5">
        <f t="shared" si="2"/>
        <v>5.0454285714285714</v>
      </c>
      <c r="H27" s="7">
        <f t="shared" si="3"/>
        <v>4.7290666666666663</v>
      </c>
      <c r="I27" s="7">
        <f t="shared" si="4"/>
        <v>4.4522499999999994</v>
      </c>
      <c r="J27">
        <v>12</v>
      </c>
      <c r="K27" t="s">
        <v>30</v>
      </c>
      <c r="M27" t="s">
        <v>248</v>
      </c>
      <c r="N27" t="s">
        <v>52</v>
      </c>
      <c r="O27">
        <v>15.63</v>
      </c>
      <c r="P27" s="9">
        <f t="shared" si="5"/>
        <v>5.3142000000000005</v>
      </c>
      <c r="Q27" s="3">
        <f t="shared" si="6"/>
        <v>8.4756923076923094</v>
      </c>
      <c r="R27" s="5">
        <f t="shared" si="7"/>
        <v>7.8917142857142863</v>
      </c>
      <c r="S27" s="7">
        <f t="shared" si="8"/>
        <v>7.3856000000000002</v>
      </c>
      <c r="T27" s="18">
        <f t="shared" si="9"/>
        <v>6.9427500000000002</v>
      </c>
      <c r="U27">
        <v>12</v>
      </c>
      <c r="V27" t="s">
        <v>69</v>
      </c>
    </row>
    <row r="28" spans="2:22" x14ac:dyDescent="0.25">
      <c r="B28" t="s">
        <v>249</v>
      </c>
      <c r="C28" t="s">
        <v>18</v>
      </c>
      <c r="D28">
        <v>14.41</v>
      </c>
      <c r="E28" s="9">
        <f t="shared" si="0"/>
        <v>4.8994</v>
      </c>
      <c r="F28" s="3">
        <f t="shared" si="1"/>
        <v>7.8375384615384611</v>
      </c>
      <c r="G28" s="5">
        <f t="shared" si="2"/>
        <v>7.2991428571428569</v>
      </c>
      <c r="H28" s="7">
        <f t="shared" si="3"/>
        <v>6.8325333333333331</v>
      </c>
      <c r="I28" s="7">
        <f t="shared" si="4"/>
        <v>6.4242499999999998</v>
      </c>
      <c r="J28">
        <v>12</v>
      </c>
      <c r="K28" t="s">
        <v>35</v>
      </c>
      <c r="M28" t="s">
        <v>250</v>
      </c>
      <c r="N28" t="s">
        <v>162</v>
      </c>
      <c r="O28">
        <v>23.47</v>
      </c>
      <c r="P28" s="9">
        <f t="shared" si="5"/>
        <v>7.9798</v>
      </c>
      <c r="Q28" s="3">
        <f t="shared" si="6"/>
        <v>12.576615384615385</v>
      </c>
      <c r="R28" s="5">
        <f t="shared" si="7"/>
        <v>11.699714285714288</v>
      </c>
      <c r="S28" s="7">
        <f t="shared" si="8"/>
        <v>10.939733333333335</v>
      </c>
      <c r="T28" s="18">
        <f t="shared" si="9"/>
        <v>10.274750000000001</v>
      </c>
      <c r="U28">
        <v>12</v>
      </c>
      <c r="V28" t="s">
        <v>66</v>
      </c>
    </row>
    <row r="29" spans="2:22" x14ac:dyDescent="0.25">
      <c r="B29" t="s">
        <v>251</v>
      </c>
      <c r="C29" t="s">
        <v>4</v>
      </c>
      <c r="D29">
        <v>10.85</v>
      </c>
      <c r="E29" s="9">
        <f t="shared" si="0"/>
        <v>3.6890000000000001</v>
      </c>
      <c r="F29" s="3">
        <f t="shared" si="1"/>
        <v>5.9753846153846153</v>
      </c>
      <c r="G29" s="5">
        <f t="shared" si="2"/>
        <v>5.57</v>
      </c>
      <c r="H29" s="7">
        <f t="shared" si="3"/>
        <v>5.2186666666666666</v>
      </c>
      <c r="I29" s="7">
        <f t="shared" si="4"/>
        <v>4.9112499999999999</v>
      </c>
      <c r="J29">
        <v>12</v>
      </c>
      <c r="K29" t="s">
        <v>35</v>
      </c>
      <c r="M29" t="s">
        <v>252</v>
      </c>
      <c r="N29" t="s">
        <v>53</v>
      </c>
      <c r="O29">
        <v>17.690000000000001</v>
      </c>
      <c r="P29" s="9">
        <f t="shared" si="5"/>
        <v>6.0146000000000006</v>
      </c>
      <c r="Q29" s="3">
        <f t="shared" si="6"/>
        <v>9.5532307692307707</v>
      </c>
      <c r="R29" s="5">
        <f t="shared" si="7"/>
        <v>8.8922857142857161</v>
      </c>
      <c r="S29" s="7">
        <f t="shared" si="8"/>
        <v>8.3194666666666688</v>
      </c>
      <c r="T29" s="18">
        <f t="shared" si="9"/>
        <v>7.8182499999999999</v>
      </c>
      <c r="U29">
        <v>12</v>
      </c>
      <c r="V29" t="s">
        <v>78</v>
      </c>
    </row>
    <row r="30" spans="2:22" x14ac:dyDescent="0.25">
      <c r="B30" t="s">
        <v>253</v>
      </c>
      <c r="C30" t="s">
        <v>20</v>
      </c>
      <c r="D30">
        <v>18.079999999999998</v>
      </c>
      <c r="E30" s="9">
        <f t="shared" si="0"/>
        <v>6.1471999999999998</v>
      </c>
      <c r="F30" s="3">
        <f t="shared" si="1"/>
        <v>9.7572307692307696</v>
      </c>
      <c r="G30" s="5">
        <f t="shared" si="2"/>
        <v>9.0817142857142859</v>
      </c>
      <c r="H30" s="7">
        <f t="shared" si="3"/>
        <v>8.4962666666666671</v>
      </c>
      <c r="I30" s="7">
        <f t="shared" si="4"/>
        <v>7.9839999999999991</v>
      </c>
      <c r="J30">
        <v>12</v>
      </c>
      <c r="K30" t="s">
        <v>59</v>
      </c>
      <c r="M30" t="s">
        <v>254</v>
      </c>
      <c r="N30" t="s">
        <v>55</v>
      </c>
      <c r="O30">
        <v>20.79</v>
      </c>
      <c r="P30" s="9">
        <f t="shared" si="5"/>
        <v>7.0686</v>
      </c>
      <c r="Q30" s="3">
        <f t="shared" si="6"/>
        <v>11.174769230769231</v>
      </c>
      <c r="R30" s="5">
        <f t="shared" si="7"/>
        <v>10.398000000000001</v>
      </c>
      <c r="S30" s="7">
        <f t="shared" si="8"/>
        <v>9.7248000000000001</v>
      </c>
      <c r="T30" s="18">
        <f t="shared" si="9"/>
        <v>9.1357499999999998</v>
      </c>
      <c r="U30">
        <v>12</v>
      </c>
      <c r="V30" t="s">
        <v>70</v>
      </c>
    </row>
    <row r="31" spans="2:22" x14ac:dyDescent="0.25">
      <c r="B31" t="s">
        <v>255</v>
      </c>
      <c r="C31" t="s">
        <v>22</v>
      </c>
      <c r="D31">
        <v>16.73</v>
      </c>
      <c r="E31" s="9">
        <f t="shared" si="0"/>
        <v>5.6882000000000001</v>
      </c>
      <c r="F31" s="3">
        <f t="shared" si="1"/>
        <v>9.0510769230769235</v>
      </c>
      <c r="G31" s="5">
        <f t="shared" si="2"/>
        <v>8.4260000000000019</v>
      </c>
      <c r="H31" s="7">
        <f t="shared" si="3"/>
        <v>7.884266666666667</v>
      </c>
      <c r="I31" s="7">
        <f t="shared" si="4"/>
        <v>7.4102499999999996</v>
      </c>
      <c r="J31">
        <v>12</v>
      </c>
      <c r="K31" t="s">
        <v>30</v>
      </c>
    </row>
    <row r="32" spans="2:22" x14ac:dyDescent="0.25">
      <c r="B32" t="s">
        <v>256</v>
      </c>
      <c r="C32" t="s">
        <v>24</v>
      </c>
      <c r="D32">
        <v>15.3</v>
      </c>
      <c r="E32" s="9">
        <f t="shared" si="0"/>
        <v>5.2020000000000008</v>
      </c>
      <c r="F32" s="3">
        <f t="shared" si="1"/>
        <v>8.3030769230769241</v>
      </c>
      <c r="G32" s="5">
        <f t="shared" si="2"/>
        <v>7.7314285714285731</v>
      </c>
      <c r="H32" s="7">
        <f t="shared" si="3"/>
        <v>7.2360000000000007</v>
      </c>
      <c r="I32" s="7">
        <f t="shared" si="4"/>
        <v>6.8025000000000002</v>
      </c>
      <c r="J32">
        <v>12</v>
      </c>
      <c r="K32" t="s">
        <v>56</v>
      </c>
    </row>
    <row r="33" spans="2:22" x14ac:dyDescent="0.25">
      <c r="B33" t="s">
        <v>257</v>
      </c>
      <c r="C33" t="s">
        <v>26</v>
      </c>
      <c r="D33">
        <v>12.58</v>
      </c>
      <c r="E33" s="9">
        <f t="shared" si="0"/>
        <v>4.2772000000000006</v>
      </c>
      <c r="F33" s="3">
        <f t="shared" si="1"/>
        <v>6.8803076923076931</v>
      </c>
      <c r="G33" s="5">
        <f t="shared" si="2"/>
        <v>6.410285714285715</v>
      </c>
      <c r="H33" s="7">
        <f t="shared" si="3"/>
        <v>6.0029333333333339</v>
      </c>
      <c r="I33" s="7">
        <f t="shared" si="4"/>
        <v>5.6465000000000005</v>
      </c>
      <c r="J33">
        <v>12</v>
      </c>
      <c r="K33" t="s">
        <v>59</v>
      </c>
      <c r="M33" t="s">
        <v>210</v>
      </c>
      <c r="N33" t="s">
        <v>1500</v>
      </c>
      <c r="O33" t="s">
        <v>79</v>
      </c>
      <c r="P33" t="s">
        <v>0</v>
      </c>
      <c r="U33" t="s">
        <v>211</v>
      </c>
      <c r="V33" t="s">
        <v>211</v>
      </c>
    </row>
    <row r="34" spans="2:22" x14ac:dyDescent="0.25">
      <c r="B34" t="s">
        <v>258</v>
      </c>
      <c r="C34" t="s">
        <v>34</v>
      </c>
      <c r="D34">
        <v>12.57</v>
      </c>
      <c r="E34" s="9">
        <f t="shared" si="0"/>
        <v>4.2738000000000005</v>
      </c>
      <c r="F34" s="3">
        <f t="shared" si="1"/>
        <v>6.8750769230769233</v>
      </c>
      <c r="G34" s="5">
        <f t="shared" si="2"/>
        <v>6.4054285714285726</v>
      </c>
      <c r="H34" s="7">
        <f t="shared" si="3"/>
        <v>5.9984000000000002</v>
      </c>
      <c r="I34" s="7">
        <f t="shared" si="4"/>
        <v>5.6422499999999998</v>
      </c>
      <c r="J34">
        <v>12</v>
      </c>
      <c r="K34" t="s">
        <v>88</v>
      </c>
      <c r="N34" t="s">
        <v>86</v>
      </c>
      <c r="O34" t="s">
        <v>75</v>
      </c>
      <c r="P34">
        <v>0.34</v>
      </c>
      <c r="Q34" t="s">
        <v>1378</v>
      </c>
      <c r="R34" t="s">
        <v>1379</v>
      </c>
      <c r="S34" t="s">
        <v>1380</v>
      </c>
      <c r="T34" t="s">
        <v>1674</v>
      </c>
      <c r="U34" t="s">
        <v>85</v>
      </c>
      <c r="V34" t="s">
        <v>212</v>
      </c>
    </row>
    <row r="35" spans="2:22" x14ac:dyDescent="0.25">
      <c r="B35" t="s">
        <v>259</v>
      </c>
      <c r="C35" t="s">
        <v>28</v>
      </c>
      <c r="D35">
        <v>19.96</v>
      </c>
      <c r="E35" s="9">
        <f t="shared" si="0"/>
        <v>6.7864000000000004</v>
      </c>
      <c r="F35" s="3">
        <f t="shared" si="1"/>
        <v>10.740615384615385</v>
      </c>
      <c r="G35" s="5">
        <f t="shared" si="2"/>
        <v>9.9948571428571444</v>
      </c>
      <c r="H35" s="7">
        <f t="shared" si="3"/>
        <v>9.348533333333334</v>
      </c>
      <c r="I35" s="7">
        <f t="shared" si="4"/>
        <v>8.7830000000000013</v>
      </c>
      <c r="J35">
        <v>12</v>
      </c>
      <c r="K35" t="s">
        <v>59</v>
      </c>
      <c r="M35" t="s">
        <v>260</v>
      </c>
      <c r="N35" t="s">
        <v>174</v>
      </c>
      <c r="O35">
        <v>19.73</v>
      </c>
      <c r="P35" s="9">
        <f>O35*$P$34</f>
        <v>6.7082000000000006</v>
      </c>
      <c r="Q35" s="3">
        <f t="shared" ref="Q35:Q42" si="10">(P35/0.65)+0.3</f>
        <v>10.620307692307694</v>
      </c>
      <c r="R35" s="5">
        <f t="shared" ref="R35:R42" si="11">(P35/0.7)+0.3</f>
        <v>9.8831428571428592</v>
      </c>
      <c r="S35" s="7">
        <f t="shared" ref="S35:S42" si="12">(P35/0.75)+0.3</f>
        <v>9.2442666666666682</v>
      </c>
      <c r="T35" s="18">
        <f>(P35/0.8)+0.3</f>
        <v>8.6852500000000017</v>
      </c>
      <c r="U35">
        <v>6</v>
      </c>
      <c r="V35" t="s">
        <v>59</v>
      </c>
    </row>
    <row r="36" spans="2:22" x14ac:dyDescent="0.25">
      <c r="B36" t="s">
        <v>261</v>
      </c>
      <c r="C36" t="s">
        <v>7</v>
      </c>
      <c r="D36">
        <v>10.99</v>
      </c>
      <c r="E36" s="9">
        <f t="shared" si="0"/>
        <v>3.7366000000000001</v>
      </c>
      <c r="F36" s="3">
        <f t="shared" si="1"/>
        <v>6.0486153846153847</v>
      </c>
      <c r="G36" s="5">
        <f t="shared" si="2"/>
        <v>5.6380000000000008</v>
      </c>
      <c r="H36" s="7">
        <f t="shared" si="3"/>
        <v>5.2821333333333333</v>
      </c>
      <c r="I36" s="7">
        <f t="shared" si="4"/>
        <v>4.9707499999999998</v>
      </c>
      <c r="J36">
        <v>12</v>
      </c>
      <c r="K36" t="s">
        <v>35</v>
      </c>
      <c r="M36" t="s">
        <v>262</v>
      </c>
      <c r="N36" t="s">
        <v>178</v>
      </c>
      <c r="O36">
        <v>19.71</v>
      </c>
      <c r="P36" s="9">
        <f t="shared" ref="P36:P42" si="13">O36*$P$34</f>
        <v>6.7014000000000005</v>
      </c>
      <c r="Q36" s="3">
        <f>(P36/0.65)+0.3</f>
        <v>10.609846153846155</v>
      </c>
      <c r="R36" s="5">
        <f t="shared" si="11"/>
        <v>9.8734285714285726</v>
      </c>
      <c r="S36" s="7">
        <f t="shared" si="12"/>
        <v>9.2352000000000007</v>
      </c>
      <c r="T36" s="18">
        <f t="shared" ref="T36:T42" si="14">(P36/0.8)+0.3</f>
        <v>8.6767500000000002</v>
      </c>
      <c r="U36">
        <v>6</v>
      </c>
      <c r="V36" t="s">
        <v>54</v>
      </c>
    </row>
    <row r="37" spans="2:22" x14ac:dyDescent="0.25">
      <c r="B37" t="s">
        <v>263</v>
      </c>
      <c r="C37" t="s">
        <v>180</v>
      </c>
      <c r="D37">
        <v>16.73</v>
      </c>
      <c r="E37" s="9">
        <f t="shared" si="0"/>
        <v>5.6882000000000001</v>
      </c>
      <c r="F37" s="3">
        <f t="shared" si="1"/>
        <v>9.0510769230769235</v>
      </c>
      <c r="G37" s="5">
        <f t="shared" si="2"/>
        <v>8.4260000000000019</v>
      </c>
      <c r="H37" s="7">
        <f t="shared" si="3"/>
        <v>7.884266666666667</v>
      </c>
      <c r="I37" s="7">
        <f t="shared" si="4"/>
        <v>7.4102499999999996</v>
      </c>
      <c r="J37">
        <v>12</v>
      </c>
      <c r="K37" t="s">
        <v>35</v>
      </c>
      <c r="M37" t="s">
        <v>264</v>
      </c>
      <c r="N37" t="s">
        <v>186</v>
      </c>
      <c r="O37">
        <v>22.96</v>
      </c>
      <c r="P37" s="9">
        <f t="shared" si="13"/>
        <v>7.8064000000000009</v>
      </c>
      <c r="Q37" s="3">
        <f>(P37/0.65)+0.3</f>
        <v>12.309846153846156</v>
      </c>
      <c r="R37" s="5">
        <f t="shared" si="11"/>
        <v>11.452000000000004</v>
      </c>
      <c r="S37" s="7">
        <f t="shared" si="12"/>
        <v>10.708533333333335</v>
      </c>
      <c r="T37" s="18">
        <f t="shared" si="14"/>
        <v>10.058000000000002</v>
      </c>
      <c r="U37">
        <v>6</v>
      </c>
      <c r="V37" t="s">
        <v>88</v>
      </c>
    </row>
    <row r="38" spans="2:22" x14ac:dyDescent="0.25">
      <c r="B38" t="s">
        <v>265</v>
      </c>
      <c r="C38" t="s">
        <v>36</v>
      </c>
      <c r="D38">
        <v>12.48</v>
      </c>
      <c r="E38" s="9">
        <f t="shared" si="0"/>
        <v>4.2432000000000007</v>
      </c>
      <c r="F38" s="3">
        <f t="shared" si="1"/>
        <v>6.8280000000000012</v>
      </c>
      <c r="G38" s="5">
        <f t="shared" si="2"/>
        <v>6.361714285714287</v>
      </c>
      <c r="H38" s="7">
        <f t="shared" si="3"/>
        <v>5.9576000000000011</v>
      </c>
      <c r="I38" s="7">
        <f t="shared" si="4"/>
        <v>5.6040000000000001</v>
      </c>
      <c r="J38">
        <v>12</v>
      </c>
      <c r="K38" t="s">
        <v>59</v>
      </c>
      <c r="M38" t="s">
        <v>266</v>
      </c>
      <c r="N38" t="s">
        <v>189</v>
      </c>
      <c r="O38">
        <v>25.15</v>
      </c>
      <c r="P38" s="9">
        <f t="shared" si="13"/>
        <v>8.5510000000000002</v>
      </c>
      <c r="Q38" s="3">
        <f t="shared" si="10"/>
        <v>13.455384615384617</v>
      </c>
      <c r="R38" s="5">
        <f t="shared" si="11"/>
        <v>12.515714285714287</v>
      </c>
      <c r="S38" s="7">
        <f t="shared" si="12"/>
        <v>11.701333333333334</v>
      </c>
      <c r="T38" s="18">
        <f t="shared" si="14"/>
        <v>10.98875</v>
      </c>
      <c r="U38">
        <v>6</v>
      </c>
      <c r="V38" t="s">
        <v>89</v>
      </c>
    </row>
    <row r="39" spans="2:22" x14ac:dyDescent="0.25">
      <c r="B39" t="s">
        <v>267</v>
      </c>
      <c r="C39" t="s">
        <v>8</v>
      </c>
      <c r="D39">
        <v>12.21</v>
      </c>
      <c r="E39" s="9">
        <f t="shared" si="0"/>
        <v>4.1514000000000006</v>
      </c>
      <c r="F39" s="3">
        <f t="shared" si="1"/>
        <v>6.6867692307692312</v>
      </c>
      <c r="G39" s="5">
        <f t="shared" si="2"/>
        <v>6.2305714285714293</v>
      </c>
      <c r="H39" s="7">
        <f t="shared" si="3"/>
        <v>5.8352000000000004</v>
      </c>
      <c r="I39" s="7">
        <f t="shared" si="4"/>
        <v>5.4892500000000002</v>
      </c>
      <c r="J39">
        <v>12</v>
      </c>
      <c r="K39" t="s">
        <v>59</v>
      </c>
      <c r="M39" t="s">
        <v>268</v>
      </c>
      <c r="N39" t="s">
        <v>192</v>
      </c>
      <c r="O39">
        <v>23.51</v>
      </c>
      <c r="P39" s="9">
        <f t="shared" si="13"/>
        <v>7.9934000000000012</v>
      </c>
      <c r="Q39" s="3">
        <f t="shared" si="10"/>
        <v>12.597538461538464</v>
      </c>
      <c r="R39" s="5">
        <f t="shared" si="11"/>
        <v>11.71914285714286</v>
      </c>
      <c r="S39" s="7">
        <f t="shared" si="12"/>
        <v>10.95786666666667</v>
      </c>
      <c r="T39" s="18">
        <f t="shared" si="14"/>
        <v>10.291750000000002</v>
      </c>
      <c r="U39">
        <v>6</v>
      </c>
      <c r="V39" t="s">
        <v>56</v>
      </c>
    </row>
    <row r="40" spans="2:22" x14ac:dyDescent="0.25">
      <c r="B40" t="s">
        <v>269</v>
      </c>
      <c r="C40" t="s">
        <v>33</v>
      </c>
      <c r="D40">
        <v>16.46</v>
      </c>
      <c r="E40" s="9">
        <f t="shared" si="0"/>
        <v>5.5964000000000009</v>
      </c>
      <c r="F40" s="3">
        <f t="shared" si="1"/>
        <v>8.9098461538461553</v>
      </c>
      <c r="G40" s="5">
        <f t="shared" si="2"/>
        <v>8.2948571428571451</v>
      </c>
      <c r="H40" s="7">
        <f t="shared" si="3"/>
        <v>7.761866666666668</v>
      </c>
      <c r="I40" s="7">
        <f t="shared" si="4"/>
        <v>7.2955000000000005</v>
      </c>
      <c r="J40">
        <v>12</v>
      </c>
      <c r="K40" t="s">
        <v>54</v>
      </c>
      <c r="M40" t="s">
        <v>270</v>
      </c>
      <c r="N40" t="s">
        <v>195</v>
      </c>
      <c r="O40">
        <v>26.57</v>
      </c>
      <c r="P40" s="9">
        <f t="shared" si="13"/>
        <v>9.0338000000000012</v>
      </c>
      <c r="Q40" s="3">
        <f t="shared" si="10"/>
        <v>14.198153846153849</v>
      </c>
      <c r="R40" s="5">
        <f t="shared" si="11"/>
        <v>13.205428571428575</v>
      </c>
      <c r="S40" s="7">
        <f t="shared" si="12"/>
        <v>12.34506666666667</v>
      </c>
      <c r="T40" s="18">
        <f t="shared" si="14"/>
        <v>11.592250000000002</v>
      </c>
      <c r="U40">
        <v>6</v>
      </c>
      <c r="V40" t="s">
        <v>67</v>
      </c>
    </row>
    <row r="41" spans="2:22" x14ac:dyDescent="0.25">
      <c r="B41" t="s">
        <v>271</v>
      </c>
      <c r="C41" t="s">
        <v>38</v>
      </c>
      <c r="D41">
        <v>18.62</v>
      </c>
      <c r="E41" s="9">
        <f t="shared" si="0"/>
        <v>6.3308000000000009</v>
      </c>
      <c r="F41" s="3">
        <f t="shared" si="1"/>
        <v>10.039692307692309</v>
      </c>
      <c r="G41" s="5">
        <f t="shared" si="2"/>
        <v>9.344000000000003</v>
      </c>
      <c r="H41" s="7">
        <f t="shared" si="3"/>
        <v>8.7410666666666685</v>
      </c>
      <c r="I41" s="7">
        <f t="shared" si="4"/>
        <v>8.2135000000000016</v>
      </c>
      <c r="J41">
        <v>12</v>
      </c>
      <c r="K41" t="s">
        <v>35</v>
      </c>
      <c r="M41" t="s">
        <v>272</v>
      </c>
      <c r="N41" t="s">
        <v>199</v>
      </c>
      <c r="O41">
        <v>26.16</v>
      </c>
      <c r="P41" s="9">
        <f t="shared" si="13"/>
        <v>8.894400000000001</v>
      </c>
      <c r="Q41" s="3">
        <f t="shared" si="10"/>
        <v>13.98369230769231</v>
      </c>
      <c r="R41" s="5">
        <f t="shared" si="11"/>
        <v>13.006285714285717</v>
      </c>
      <c r="S41" s="7">
        <f t="shared" si="12"/>
        <v>12.159200000000002</v>
      </c>
      <c r="T41" s="18">
        <f t="shared" si="14"/>
        <v>11.418000000000001</v>
      </c>
      <c r="U41">
        <v>6</v>
      </c>
      <c r="V41" t="s">
        <v>89</v>
      </c>
    </row>
    <row r="42" spans="2:22" x14ac:dyDescent="0.25">
      <c r="B42" t="s">
        <v>273</v>
      </c>
      <c r="C42" t="s">
        <v>39</v>
      </c>
      <c r="D42">
        <v>14.26</v>
      </c>
      <c r="E42" s="9">
        <f t="shared" si="0"/>
        <v>4.8484000000000007</v>
      </c>
      <c r="F42" s="3">
        <f t="shared" si="1"/>
        <v>7.7590769230769236</v>
      </c>
      <c r="G42" s="5">
        <f t="shared" si="2"/>
        <v>7.2262857142857158</v>
      </c>
      <c r="H42" s="7">
        <f t="shared" si="3"/>
        <v>6.7645333333333344</v>
      </c>
      <c r="I42" s="7">
        <f t="shared" si="4"/>
        <v>6.3605</v>
      </c>
      <c r="J42">
        <v>12</v>
      </c>
      <c r="K42" t="s">
        <v>56</v>
      </c>
      <c r="M42" t="s">
        <v>274</v>
      </c>
      <c r="N42" t="s">
        <v>202</v>
      </c>
      <c r="O42">
        <v>29.76</v>
      </c>
      <c r="P42" s="9">
        <f t="shared" si="13"/>
        <v>10.118400000000001</v>
      </c>
      <c r="Q42" s="3">
        <f t="shared" si="10"/>
        <v>15.866769230769233</v>
      </c>
      <c r="R42" s="5">
        <f t="shared" si="11"/>
        <v>14.754857142857146</v>
      </c>
      <c r="S42" s="7">
        <f t="shared" si="12"/>
        <v>13.791200000000002</v>
      </c>
      <c r="T42" s="18">
        <f t="shared" si="14"/>
        <v>12.948000000000002</v>
      </c>
      <c r="U42">
        <v>6</v>
      </c>
      <c r="V42" t="s">
        <v>80</v>
      </c>
    </row>
    <row r="43" spans="2:22" x14ac:dyDescent="0.25">
      <c r="B43" t="s">
        <v>275</v>
      </c>
      <c r="C43" t="s">
        <v>37</v>
      </c>
      <c r="D43">
        <v>22.06</v>
      </c>
      <c r="E43" s="9">
        <f t="shared" si="0"/>
        <v>7.5004</v>
      </c>
      <c r="F43" s="3">
        <f t="shared" si="1"/>
        <v>11.839076923076924</v>
      </c>
      <c r="G43" s="5">
        <f t="shared" si="2"/>
        <v>11.014857142857144</v>
      </c>
      <c r="H43" s="7">
        <f t="shared" si="3"/>
        <v>10.300533333333334</v>
      </c>
      <c r="I43" s="7">
        <f t="shared" si="4"/>
        <v>9.6754999999999995</v>
      </c>
      <c r="J43">
        <v>12</v>
      </c>
      <c r="K43" t="s">
        <v>92</v>
      </c>
      <c r="M43" t="s">
        <v>276</v>
      </c>
    </row>
    <row r="44" spans="2:22" x14ac:dyDescent="0.25">
      <c r="B44" t="s">
        <v>277</v>
      </c>
      <c r="C44" t="s">
        <v>40</v>
      </c>
      <c r="D44">
        <v>15.32</v>
      </c>
      <c r="E44" s="9">
        <f t="shared" si="0"/>
        <v>5.2088000000000001</v>
      </c>
      <c r="F44" s="3">
        <f t="shared" si="1"/>
        <v>8.313538461538462</v>
      </c>
      <c r="G44" s="5">
        <f t="shared" si="2"/>
        <v>7.741142857142858</v>
      </c>
      <c r="H44" s="7">
        <f t="shared" si="3"/>
        <v>7.2450666666666663</v>
      </c>
      <c r="I44" s="7">
        <f t="shared" si="4"/>
        <v>6.8109999999999999</v>
      </c>
      <c r="J44">
        <v>12</v>
      </c>
      <c r="K44" t="s">
        <v>92</v>
      </c>
      <c r="M44" t="s">
        <v>278</v>
      </c>
      <c r="N44" t="s">
        <v>206</v>
      </c>
      <c r="O44">
        <v>36.22</v>
      </c>
      <c r="U44">
        <v>6</v>
      </c>
      <c r="V44" t="s">
        <v>88</v>
      </c>
    </row>
    <row r="45" spans="2:22" x14ac:dyDescent="0.25">
      <c r="N45" t="s">
        <v>279</v>
      </c>
      <c r="O45">
        <v>0</v>
      </c>
      <c r="P45">
        <v>14.49</v>
      </c>
    </row>
    <row r="46" spans="2:22" x14ac:dyDescent="0.25">
      <c r="M46" t="s">
        <v>280</v>
      </c>
      <c r="N46" t="s">
        <v>208</v>
      </c>
      <c r="O46">
        <v>47.45</v>
      </c>
      <c r="P46">
        <v>18.98</v>
      </c>
      <c r="U46">
        <v>6</v>
      </c>
      <c r="V46" t="s">
        <v>281</v>
      </c>
    </row>
    <row r="47" spans="2:22" x14ac:dyDescent="0.25">
      <c r="M47" t="s">
        <v>282</v>
      </c>
    </row>
    <row r="48" spans="2:22" x14ac:dyDescent="0.25">
      <c r="M48" t="s">
        <v>283</v>
      </c>
    </row>
    <row r="49" spans="13:22" x14ac:dyDescent="0.25">
      <c r="M49" t="s">
        <v>1501</v>
      </c>
    </row>
    <row r="50" spans="13:22" x14ac:dyDescent="0.25">
      <c r="M50" t="s">
        <v>284</v>
      </c>
    </row>
    <row r="53" spans="13:22" x14ac:dyDescent="0.25">
      <c r="M53" t="s">
        <v>285</v>
      </c>
      <c r="N53" t="s">
        <v>1502</v>
      </c>
      <c r="O53" t="s">
        <v>79</v>
      </c>
      <c r="P53" t="s">
        <v>0</v>
      </c>
      <c r="U53" t="s">
        <v>211</v>
      </c>
      <c r="V53" t="s">
        <v>211</v>
      </c>
    </row>
    <row r="54" spans="13:22" x14ac:dyDescent="0.25">
      <c r="N54" t="s">
        <v>86</v>
      </c>
      <c r="O54" t="s">
        <v>75</v>
      </c>
      <c r="P54">
        <v>1</v>
      </c>
      <c r="U54" t="s">
        <v>85</v>
      </c>
      <c r="V54" t="s">
        <v>212</v>
      </c>
    </row>
    <row r="55" spans="13:22" x14ac:dyDescent="0.25">
      <c r="M55" t="s">
        <v>286</v>
      </c>
      <c r="N55" t="s">
        <v>287</v>
      </c>
      <c r="O55">
        <v>27.22</v>
      </c>
      <c r="P55">
        <v>27.22</v>
      </c>
      <c r="U55">
        <v>4</v>
      </c>
      <c r="V55" t="s">
        <v>80</v>
      </c>
    </row>
    <row r="56" spans="13:22" x14ac:dyDescent="0.25">
      <c r="M56" t="s">
        <v>288</v>
      </c>
      <c r="N56" t="s">
        <v>289</v>
      </c>
      <c r="O56">
        <v>27.22</v>
      </c>
      <c r="P56">
        <v>27.22</v>
      </c>
      <c r="U56">
        <v>4</v>
      </c>
      <c r="V56" t="s">
        <v>30</v>
      </c>
    </row>
    <row r="57" spans="13:22" x14ac:dyDescent="0.25">
      <c r="M57" t="s">
        <v>290</v>
      </c>
      <c r="N57" t="s">
        <v>291</v>
      </c>
      <c r="O57">
        <v>31.7</v>
      </c>
      <c r="P57">
        <v>31.7</v>
      </c>
      <c r="U57">
        <v>4</v>
      </c>
      <c r="V57" t="s">
        <v>35</v>
      </c>
    </row>
    <row r="58" spans="13:22" x14ac:dyDescent="0.25">
      <c r="M58" t="s">
        <v>292</v>
      </c>
      <c r="N58" t="s">
        <v>293</v>
      </c>
      <c r="O58">
        <v>34.729999999999997</v>
      </c>
      <c r="P58">
        <v>34.729999999999997</v>
      </c>
      <c r="U58">
        <v>4</v>
      </c>
      <c r="V58" t="s">
        <v>35</v>
      </c>
    </row>
    <row r="59" spans="13:22" x14ac:dyDescent="0.25">
      <c r="M59" t="s">
        <v>294</v>
      </c>
      <c r="N59" t="s">
        <v>295</v>
      </c>
      <c r="O59">
        <v>32.450000000000003</v>
      </c>
      <c r="P59">
        <v>32.450000000000003</v>
      </c>
      <c r="U59">
        <v>4</v>
      </c>
      <c r="V59" t="s">
        <v>30</v>
      </c>
    </row>
    <row r="60" spans="13:22" x14ac:dyDescent="0.25">
      <c r="M60" t="s">
        <v>296</v>
      </c>
      <c r="N60" t="s">
        <v>297</v>
      </c>
      <c r="O60">
        <v>36.659999999999997</v>
      </c>
      <c r="P60">
        <v>36.659999999999997</v>
      </c>
      <c r="U60">
        <v>4</v>
      </c>
      <c r="V60" t="s">
        <v>54</v>
      </c>
    </row>
    <row r="61" spans="13:22" x14ac:dyDescent="0.25">
      <c r="M61" t="s">
        <v>298</v>
      </c>
      <c r="N61" t="s">
        <v>299</v>
      </c>
      <c r="O61">
        <v>36.119999999999997</v>
      </c>
      <c r="P61">
        <v>36.119999999999997</v>
      </c>
      <c r="U61">
        <v>4</v>
      </c>
      <c r="V61" t="s">
        <v>54</v>
      </c>
    </row>
    <row r="62" spans="13:22" x14ac:dyDescent="0.25">
      <c r="M62" t="s">
        <v>300</v>
      </c>
      <c r="N62" t="s">
        <v>301</v>
      </c>
      <c r="O62">
        <v>41.09</v>
      </c>
      <c r="P62">
        <v>41.09</v>
      </c>
      <c r="U62">
        <v>4</v>
      </c>
      <c r="V6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780E-B058-4BB1-9A7F-4BB32616EF46}">
  <sheetPr>
    <tabColor theme="6" tint="0.59999389629810485"/>
  </sheetPr>
  <dimension ref="B2:AC71"/>
  <sheetViews>
    <sheetView topLeftCell="A28" workbookViewId="0">
      <selection activeCell="P39" sqref="P39"/>
    </sheetView>
  </sheetViews>
  <sheetFormatPr defaultRowHeight="15" x14ac:dyDescent="0.25"/>
  <cols>
    <col min="3" max="3" width="9.140625" bestFit="1" customWidth="1"/>
    <col min="4" max="6" width="10.28515625" bestFit="1" customWidth="1"/>
  </cols>
  <sheetData>
    <row r="2" spans="2:29" ht="14.25" x14ac:dyDescent="0.25">
      <c r="C2" s="21"/>
      <c r="D2" s="22"/>
      <c r="E2" s="23"/>
      <c r="F2" s="24"/>
      <c r="H2" s="11" t="s">
        <v>86</v>
      </c>
      <c r="I2" s="11" t="s">
        <v>1476</v>
      </c>
      <c r="J2" s="11" t="s">
        <v>1663</v>
      </c>
      <c r="K2" s="11" t="s">
        <v>1477</v>
      </c>
      <c r="L2" s="11" t="s">
        <v>1478</v>
      </c>
      <c r="M2" s="12" t="s">
        <v>1668</v>
      </c>
      <c r="N2" s="12" t="s">
        <v>1669</v>
      </c>
      <c r="O2" s="12" t="s">
        <v>1675</v>
      </c>
      <c r="R2" s="19" t="s">
        <v>1668</v>
      </c>
      <c r="S2" s="19" t="s">
        <v>1669</v>
      </c>
      <c r="T2" s="19" t="s">
        <v>1675</v>
      </c>
    </row>
    <row r="3" spans="2:29" ht="14.25" x14ac:dyDescent="0.25">
      <c r="C3" s="11" t="s">
        <v>1673</v>
      </c>
      <c r="D3" s="11" t="s">
        <v>1378</v>
      </c>
      <c r="E3" s="11" t="s">
        <v>1379</v>
      </c>
      <c r="F3" s="11" t="s">
        <v>1380</v>
      </c>
      <c r="H3" s="13"/>
      <c r="I3" s="11">
        <v>16</v>
      </c>
      <c r="J3" s="11">
        <v>33</v>
      </c>
      <c r="K3" s="11">
        <v>1</v>
      </c>
      <c r="L3" s="11">
        <f>I3*J3</f>
        <v>528</v>
      </c>
      <c r="M3" s="17">
        <f>_xlfn.XLOOKUP($I$3*$J$3, $C$11:$C$21, $H$11:$H$21, $H$11, -1)</f>
        <v>18.473076923076924</v>
      </c>
      <c r="N3" s="16">
        <f>_xlfn.XLOOKUP(I3*J3, $C$11:$C$21, $S$11:$S$21, $S$11, -1)</f>
        <v>21.588461538461537</v>
      </c>
      <c r="O3" s="16">
        <f>_xlfn.XLOOKUP(I3*J3, $C$24:$C$34, $H$24:$H$34, $H$24, -1)</f>
        <v>40.772307692307692</v>
      </c>
      <c r="P3" s="14">
        <v>0.35</v>
      </c>
      <c r="R3" s="16" t="str">
        <f>IF(OR(AND($I$3&gt;28, $J$3&gt;28), $I$3&gt;35, $J$3&gt;35),_xlfn.XLOOKUP(($I$3*$J$3)/2, $C$11:$C$21, $H$11:$H$21, $H$11, -1) * 2,"N/A")</f>
        <v>N/A</v>
      </c>
      <c r="S3" s="16" t="str">
        <f>IF(OR(AND($I$3&gt;28, $J$3&gt;28), $I$3&gt;35, $J$3&gt;35),_xlfn.XLOOKUP(($I$3*$J$3)/2, $C$11:$C$21, $S$11:$S$21, $S$11, -1) * 2,"N/A")</f>
        <v>N/A</v>
      </c>
      <c r="T3" s="16" t="str">
        <f>IF(OR(AND($I$3&gt;28, $J$3&gt;28), $I$3&gt;35, $J$3&gt;35),_xlfn.XLOOKUP(($I$3*$J$3)/2, $C$11:$C$21, $H$24:$H$34, $H$24, -1) * 2,"N/A")</f>
        <v>N/A</v>
      </c>
      <c r="U3" s="14">
        <v>0.35</v>
      </c>
    </row>
    <row r="4" spans="2:29" ht="14.25" x14ac:dyDescent="0.25">
      <c r="M4" s="17">
        <f>_xlfn.XLOOKUP($I$3*$J$3, $C$11:$C$21, $I$11:$I$21, $I$11, -1)</f>
        <v>17.175000000000001</v>
      </c>
      <c r="N4" s="17">
        <f>_xlfn.XLOOKUP($I$3*$J$3, $C$11:$C$21, $T$11:$T$21, $T$11, -1)</f>
        <v>20.067857142857147</v>
      </c>
      <c r="O4" s="17">
        <f>_xlfn.XLOOKUP($I$3*$J$3, $C$11:$C$21, $I$24:$I$34, $I$24, -1)</f>
        <v>37.881428571428572</v>
      </c>
      <c r="P4" s="14">
        <v>0.3</v>
      </c>
      <c r="R4" s="16" t="str">
        <f>IF(OR(AND($I$3&gt;28, $J$3&gt;28), $I$3&gt;35, $J$3&gt;35),_xlfn.XLOOKUP(($I$3*$J$3)/2, $C$11:$C$21, $I$11:$I$21, $I$11, -1) * 2,"N/A")</f>
        <v>N/A</v>
      </c>
      <c r="S4" s="16" t="str">
        <f>IF(OR(AND($I$3&gt;28, $J$3&gt;28), $I$3&gt;35, $J$3&gt;35),_xlfn.XLOOKUP(($I$3*$J$3)/2, $C$11:$C$21, $T$11:$T$21, $T$11, -1) * 2,"N/A")</f>
        <v>N/A</v>
      </c>
      <c r="T4" s="16" t="str">
        <f>IF(OR(AND($I$3&gt;28, $J$3&gt;28), $I$3&gt;35, $J$3&gt;35),_xlfn.XLOOKUP(($I$3*$J$3)/2, $C$11:$C$21, $I$24:$I$34, $I$24, -1) * 2,"N/A")</f>
        <v>N/A</v>
      </c>
      <c r="U4" s="14">
        <v>0.3</v>
      </c>
    </row>
    <row r="5" spans="2:29" ht="14.25" x14ac:dyDescent="0.25">
      <c r="M5" s="17">
        <f>_xlfn.XLOOKUP($I$3*$J$3, $C$11:$C$21, $J$11:$J$21, $J$11, -1)</f>
        <v>16.05</v>
      </c>
      <c r="N5" s="17">
        <f>_xlfn.XLOOKUP($I$3*$J$3, $C$11:$C$21, $U$11:$U$21, $U$11, -1)</f>
        <v>18.75</v>
      </c>
      <c r="O5" s="17">
        <f>_xlfn.XLOOKUP($I$3*$J$3, $C$11:$C$21, $J$24:$J$34, $J$24, -1)</f>
        <v>35.375999999999998</v>
      </c>
      <c r="P5" s="14">
        <v>0.25</v>
      </c>
      <c r="R5" s="16" t="str">
        <f>IF(OR(AND($I$3&gt;28, $J$3&gt;28), $I$3&gt;35, $J$3&gt;35),_xlfn.XLOOKUP(($I$3*$J$3)/2, $C$11:$C$21, $J$11:$J$21, $J$11, -1) * 2,"N/A")</f>
        <v>N/A</v>
      </c>
      <c r="S5" s="16" t="str">
        <f>IF(OR(AND($I$3&gt;28, $J$3&gt;28), $I$3&gt;35, $J$3&gt;35),_xlfn.XLOOKUP(($I$3*$J$3)/2, $C$11:$C$21, $U$11:$U$21, $U$11, -1) * 2,"N/A")</f>
        <v>N/A</v>
      </c>
      <c r="T5" s="16" t="str">
        <f>IF(OR(AND($I$3&gt;28, $J$3&gt;28), $I$3&gt;35, $J$3&gt;35),_xlfn.XLOOKUP(($I$3*$J$3)/2, $C$11:$C$21, $J$24:$J$34, $J$24, -1) * 2,"N/A")</f>
        <v>N/A</v>
      </c>
      <c r="U5" s="14">
        <v>0.25</v>
      </c>
    </row>
    <row r="6" spans="2:29" ht="14.25" x14ac:dyDescent="0.25">
      <c r="B6" t="s">
        <v>1381</v>
      </c>
      <c r="R6" s="77" t="s">
        <v>1676</v>
      </c>
      <c r="S6" s="77"/>
      <c r="T6" s="77"/>
    </row>
    <row r="7" spans="2:29" ht="14.25" x14ac:dyDescent="0.25">
      <c r="B7" t="s">
        <v>1382</v>
      </c>
    </row>
    <row r="8" spans="2:29" ht="14.25" x14ac:dyDescent="0.25">
      <c r="B8" t="s">
        <v>1503</v>
      </c>
      <c r="G8" t="s">
        <v>0</v>
      </c>
    </row>
    <row r="9" spans="2:29" ht="14.25" x14ac:dyDescent="0.25">
      <c r="B9" t="s">
        <v>1383</v>
      </c>
      <c r="E9" t="s">
        <v>1384</v>
      </c>
      <c r="F9" t="s">
        <v>1439</v>
      </c>
      <c r="G9">
        <v>0.45</v>
      </c>
      <c r="AA9" s="10"/>
      <c r="AB9" s="10"/>
      <c r="AC9" s="10"/>
    </row>
    <row r="10" spans="2:29" ht="14.25" x14ac:dyDescent="0.25">
      <c r="B10" t="s">
        <v>1386</v>
      </c>
      <c r="E10" t="s">
        <v>57</v>
      </c>
      <c r="F10" t="s">
        <v>1387</v>
      </c>
      <c r="G10" t="s">
        <v>1673</v>
      </c>
      <c r="H10" t="s">
        <v>1378</v>
      </c>
      <c r="I10" t="s">
        <v>1379</v>
      </c>
      <c r="J10" t="s">
        <v>1380</v>
      </c>
      <c r="M10" t="s">
        <v>1671</v>
      </c>
      <c r="R10" t="s">
        <v>1673</v>
      </c>
      <c r="S10" t="s">
        <v>1378</v>
      </c>
      <c r="T10" t="s">
        <v>1379</v>
      </c>
      <c r="U10" t="s">
        <v>1380</v>
      </c>
      <c r="V10" t="s">
        <v>1674</v>
      </c>
      <c r="AA10" s="10"/>
      <c r="AB10" s="10"/>
      <c r="AC10" s="10"/>
    </row>
    <row r="11" spans="2:29" ht="14.25" x14ac:dyDescent="0.25">
      <c r="B11" t="s">
        <v>1483</v>
      </c>
      <c r="C11">
        <v>0</v>
      </c>
      <c r="D11">
        <v>150</v>
      </c>
      <c r="E11" t="s">
        <v>1440</v>
      </c>
      <c r="F11">
        <v>13.36</v>
      </c>
      <c r="G11" s="8">
        <f t="shared" ref="G11:G21" si="0">F11*$G$9</f>
        <v>6.0119999999999996</v>
      </c>
      <c r="H11" s="3">
        <f>(G11/0.65)+0.3</f>
        <v>9.5492307692307694</v>
      </c>
      <c r="I11" s="5">
        <f>(G11/0.7)+0.3</f>
        <v>8.8885714285714297</v>
      </c>
      <c r="J11" s="7">
        <f>(G11/0.75)+0.3</f>
        <v>8.3160000000000007</v>
      </c>
      <c r="K11" s="7">
        <f>(G11/0.8)+0.3</f>
        <v>7.8149999999999986</v>
      </c>
      <c r="M11" t="s">
        <v>1483</v>
      </c>
      <c r="N11">
        <v>0</v>
      </c>
      <c r="O11">
        <v>150</v>
      </c>
      <c r="P11" t="s">
        <v>1451</v>
      </c>
      <c r="Q11">
        <v>16.03</v>
      </c>
      <c r="R11" s="8">
        <f t="shared" ref="R11:R21" si="1">Q11*$G$9</f>
        <v>7.2135000000000007</v>
      </c>
      <c r="S11" s="3">
        <f t="shared" ref="S11:S21" si="2">(R11/0.65)+0.3</f>
        <v>11.397692307692308</v>
      </c>
      <c r="T11" s="5">
        <f t="shared" ref="T11:T21" si="3">(R11/0.7)+0.3</f>
        <v>10.605000000000002</v>
      </c>
      <c r="U11" s="7">
        <f t="shared" ref="U11:U21" si="4">(R11/0.75)+0.3</f>
        <v>9.918000000000001</v>
      </c>
      <c r="V11" s="7">
        <f>(R11/0.8)+0.3</f>
        <v>9.3168750000000014</v>
      </c>
    </row>
    <row r="12" spans="2:29" ht="14.25" x14ac:dyDescent="0.25">
      <c r="B12" t="s">
        <v>1484</v>
      </c>
      <c r="C12">
        <v>150</v>
      </c>
      <c r="D12">
        <v>199</v>
      </c>
      <c r="E12" t="s">
        <v>1441</v>
      </c>
      <c r="F12">
        <v>15.76</v>
      </c>
      <c r="G12" s="8">
        <f t="shared" si="0"/>
        <v>7.0919999999999996</v>
      </c>
      <c r="H12" s="3">
        <f t="shared" ref="H12:H21" si="5">(G12/0.65)+0.3</f>
        <v>11.21076923076923</v>
      </c>
      <c r="I12" s="5">
        <f t="shared" ref="I12:I21" si="6">(G12/0.7)+0.3</f>
        <v>10.431428571428572</v>
      </c>
      <c r="J12" s="7">
        <f t="shared" ref="J12:J21" si="7">(G12/0.75)+0.3</f>
        <v>9.7560000000000002</v>
      </c>
      <c r="K12" s="7">
        <f t="shared" ref="K12:K34" si="8">(G12/0.8)+0.3</f>
        <v>9.1649999999999991</v>
      </c>
      <c r="M12" t="s">
        <v>1484</v>
      </c>
      <c r="N12" t="str" cm="1">
        <f t="array" ref="N12:O12">_xlfn.TEXTSPLIT(M12,"-")</f>
        <v>150</v>
      </c>
      <c r="O12" t="str">
        <v>199</v>
      </c>
      <c r="P12" t="s">
        <v>1452</v>
      </c>
      <c r="Q12">
        <v>18.440000000000001</v>
      </c>
      <c r="R12" s="8">
        <f t="shared" si="1"/>
        <v>8.298</v>
      </c>
      <c r="S12" s="3">
        <f t="shared" si="2"/>
        <v>13.066153846153847</v>
      </c>
      <c r="T12" s="5">
        <f t="shared" si="3"/>
        <v>12.154285714285717</v>
      </c>
      <c r="U12" s="7">
        <f t="shared" si="4"/>
        <v>11.364000000000001</v>
      </c>
      <c r="V12" s="7">
        <f t="shared" ref="V12:V21" si="9">(R12/0.8)+0.3</f>
        <v>10.672499999999999</v>
      </c>
    </row>
    <row r="13" spans="2:29" ht="14.25" x14ac:dyDescent="0.25">
      <c r="B13" t="s">
        <v>1485</v>
      </c>
      <c r="C13">
        <v>200</v>
      </c>
      <c r="D13">
        <v>249</v>
      </c>
      <c r="E13" t="s">
        <v>1442</v>
      </c>
      <c r="F13">
        <v>17.77</v>
      </c>
      <c r="G13" s="8">
        <f t="shared" si="0"/>
        <v>7.9965000000000002</v>
      </c>
      <c r="H13" s="3">
        <f t="shared" si="5"/>
        <v>12.602307692307694</v>
      </c>
      <c r="I13" s="5">
        <f t="shared" si="6"/>
        <v>11.723571428571431</v>
      </c>
      <c r="J13" s="7">
        <f t="shared" si="7"/>
        <v>10.962000000000002</v>
      </c>
      <c r="K13" s="7">
        <f t="shared" si="8"/>
        <v>10.295625000000001</v>
      </c>
      <c r="M13" t="s">
        <v>1485</v>
      </c>
      <c r="N13" t="str" cm="1">
        <f t="array" ref="N13:O13">_xlfn.TEXTSPLIT(M13,"-")</f>
        <v>200</v>
      </c>
      <c r="O13" t="str">
        <v>249</v>
      </c>
      <c r="P13" t="s">
        <v>1453</v>
      </c>
      <c r="Q13">
        <v>20.8</v>
      </c>
      <c r="R13" s="8">
        <f t="shared" si="1"/>
        <v>9.3600000000000012</v>
      </c>
      <c r="S13" s="3">
        <f t="shared" si="2"/>
        <v>14.700000000000003</v>
      </c>
      <c r="T13" s="5">
        <f t="shared" si="3"/>
        <v>13.671428571428574</v>
      </c>
      <c r="U13" s="7">
        <f t="shared" si="4"/>
        <v>12.780000000000003</v>
      </c>
      <c r="V13" s="7">
        <f t="shared" si="9"/>
        <v>12.000000000000002</v>
      </c>
    </row>
    <row r="14" spans="2:29" ht="14.25" x14ac:dyDescent="0.25">
      <c r="B14" t="s">
        <v>1486</v>
      </c>
      <c r="C14">
        <v>250</v>
      </c>
      <c r="D14">
        <v>299</v>
      </c>
      <c r="E14" t="s">
        <v>1443</v>
      </c>
      <c r="F14">
        <v>19.600000000000001</v>
      </c>
      <c r="G14" s="8">
        <f t="shared" si="0"/>
        <v>8.82</v>
      </c>
      <c r="H14" s="3">
        <f t="shared" si="5"/>
        <v>13.86923076923077</v>
      </c>
      <c r="I14" s="5">
        <f t="shared" si="6"/>
        <v>12.900000000000002</v>
      </c>
      <c r="J14" s="7">
        <f t="shared" si="7"/>
        <v>12.06</v>
      </c>
      <c r="K14" s="7">
        <f t="shared" si="8"/>
        <v>11.325000000000001</v>
      </c>
      <c r="M14" t="s">
        <v>1486</v>
      </c>
      <c r="N14" t="str" cm="1">
        <f t="array" ref="N14:O14">_xlfn.TEXTSPLIT(M14,"-")</f>
        <v>250</v>
      </c>
      <c r="O14" t="str">
        <v>299</v>
      </c>
      <c r="P14" t="s">
        <v>1454</v>
      </c>
      <c r="Q14">
        <v>22.9</v>
      </c>
      <c r="R14" s="8">
        <f t="shared" si="1"/>
        <v>10.305</v>
      </c>
      <c r="S14" s="3">
        <f t="shared" si="2"/>
        <v>16.153846153846153</v>
      </c>
      <c r="T14" s="5">
        <f t="shared" si="3"/>
        <v>15.021428571428572</v>
      </c>
      <c r="U14" s="7">
        <f t="shared" si="4"/>
        <v>14.040000000000001</v>
      </c>
      <c r="V14" s="7">
        <f t="shared" si="9"/>
        <v>13.18125</v>
      </c>
    </row>
    <row r="15" spans="2:29" ht="14.25" x14ac:dyDescent="0.25">
      <c r="B15" t="s">
        <v>1487</v>
      </c>
      <c r="C15">
        <v>300</v>
      </c>
      <c r="D15">
        <v>399</v>
      </c>
      <c r="E15" t="s">
        <v>1444</v>
      </c>
      <c r="F15">
        <v>22.04</v>
      </c>
      <c r="G15" s="8">
        <f t="shared" si="0"/>
        <v>9.9179999999999993</v>
      </c>
      <c r="H15" s="3">
        <f t="shared" si="5"/>
        <v>15.558461538461538</v>
      </c>
      <c r="I15" s="5">
        <f t="shared" si="6"/>
        <v>14.46857142857143</v>
      </c>
      <c r="J15" s="7">
        <f t="shared" si="7"/>
        <v>13.523999999999999</v>
      </c>
      <c r="K15" s="7">
        <f t="shared" si="8"/>
        <v>12.6975</v>
      </c>
      <c r="M15" t="s">
        <v>1487</v>
      </c>
      <c r="N15" t="str" cm="1">
        <f t="array" ref="N15:O15">_xlfn.TEXTSPLIT(M15,"-")</f>
        <v>300</v>
      </c>
      <c r="O15" t="str">
        <v>399</v>
      </c>
      <c r="P15" t="s">
        <v>1455</v>
      </c>
      <c r="Q15">
        <v>25.8</v>
      </c>
      <c r="R15" s="8">
        <f t="shared" si="1"/>
        <v>11.610000000000001</v>
      </c>
      <c r="S15" s="3">
        <f t="shared" si="2"/>
        <v>18.161538461538463</v>
      </c>
      <c r="T15" s="5">
        <f t="shared" si="3"/>
        <v>16.88571428571429</v>
      </c>
      <c r="U15" s="7">
        <f t="shared" si="4"/>
        <v>15.780000000000003</v>
      </c>
      <c r="V15" s="7">
        <f t="shared" si="9"/>
        <v>14.812500000000002</v>
      </c>
    </row>
    <row r="16" spans="2:29" ht="14.25" x14ac:dyDescent="0.25">
      <c r="B16" t="s">
        <v>1488</v>
      </c>
      <c r="C16">
        <v>400</v>
      </c>
      <c r="D16">
        <v>499</v>
      </c>
      <c r="E16" t="s">
        <v>1445</v>
      </c>
      <c r="F16">
        <v>24.48</v>
      </c>
      <c r="G16" s="8">
        <f t="shared" si="0"/>
        <v>11.016</v>
      </c>
      <c r="H16" s="3">
        <f t="shared" si="5"/>
        <v>17.247692307692308</v>
      </c>
      <c r="I16" s="5">
        <f t="shared" si="6"/>
        <v>16.037142857142857</v>
      </c>
      <c r="J16" s="7">
        <f t="shared" si="7"/>
        <v>14.988000000000001</v>
      </c>
      <c r="K16" s="7">
        <f t="shared" si="8"/>
        <v>14.07</v>
      </c>
      <c r="M16" t="s">
        <v>1488</v>
      </c>
      <c r="N16" t="str" cm="1">
        <f t="array" ref="N16:O16">_xlfn.TEXTSPLIT(M16,"-")</f>
        <v>400</v>
      </c>
      <c r="O16" t="str">
        <v>499</v>
      </c>
      <c r="P16" t="s">
        <v>1456</v>
      </c>
      <c r="Q16">
        <v>28.67</v>
      </c>
      <c r="R16" s="8">
        <f t="shared" si="1"/>
        <v>12.9015</v>
      </c>
      <c r="S16" s="3">
        <f t="shared" si="2"/>
        <v>20.14846153846154</v>
      </c>
      <c r="T16" s="5">
        <f t="shared" si="3"/>
        <v>18.730714285714289</v>
      </c>
      <c r="U16" s="7">
        <f t="shared" si="4"/>
        <v>17.502000000000002</v>
      </c>
      <c r="V16" s="7">
        <f t="shared" si="9"/>
        <v>16.426874999999999</v>
      </c>
    </row>
    <row r="17" spans="2:22" ht="14.25" x14ac:dyDescent="0.25">
      <c r="B17" t="s">
        <v>1489</v>
      </c>
      <c r="C17">
        <v>500</v>
      </c>
      <c r="D17">
        <v>599</v>
      </c>
      <c r="E17" t="s">
        <v>1446</v>
      </c>
      <c r="F17">
        <v>26.25</v>
      </c>
      <c r="G17" s="8">
        <f t="shared" si="0"/>
        <v>11.8125</v>
      </c>
      <c r="H17" s="3">
        <f t="shared" si="5"/>
        <v>18.473076923076924</v>
      </c>
      <c r="I17" s="5">
        <f t="shared" si="6"/>
        <v>17.175000000000001</v>
      </c>
      <c r="J17" s="7">
        <f t="shared" si="7"/>
        <v>16.05</v>
      </c>
      <c r="K17" s="7">
        <f t="shared" si="8"/>
        <v>15.065625000000001</v>
      </c>
      <c r="M17" t="s">
        <v>1489</v>
      </c>
      <c r="N17" t="str" cm="1">
        <f t="array" ref="N17:O17">_xlfn.TEXTSPLIT(M17,"-")</f>
        <v>500</v>
      </c>
      <c r="O17" t="str">
        <v>599</v>
      </c>
      <c r="P17" t="s">
        <v>1457</v>
      </c>
      <c r="Q17">
        <v>30.75</v>
      </c>
      <c r="R17" s="8">
        <f t="shared" si="1"/>
        <v>13.8375</v>
      </c>
      <c r="S17" s="3">
        <f t="shared" si="2"/>
        <v>21.588461538461537</v>
      </c>
      <c r="T17" s="5">
        <f t="shared" si="3"/>
        <v>20.067857142857147</v>
      </c>
      <c r="U17" s="7">
        <f t="shared" si="4"/>
        <v>18.75</v>
      </c>
      <c r="V17" s="7">
        <f t="shared" si="9"/>
        <v>17.596875000000001</v>
      </c>
    </row>
    <row r="18" spans="2:22" ht="14.25" x14ac:dyDescent="0.25">
      <c r="B18" t="s">
        <v>1490</v>
      </c>
      <c r="C18">
        <v>600</v>
      </c>
      <c r="D18">
        <v>699</v>
      </c>
      <c r="E18" t="s">
        <v>1447</v>
      </c>
      <c r="F18">
        <v>28.25</v>
      </c>
      <c r="G18" s="8">
        <f t="shared" si="0"/>
        <v>12.7125</v>
      </c>
      <c r="H18" s="3">
        <f t="shared" si="5"/>
        <v>19.857692307692307</v>
      </c>
      <c r="I18" s="5">
        <f t="shared" si="6"/>
        <v>18.460714285714289</v>
      </c>
      <c r="J18" s="7">
        <f t="shared" si="7"/>
        <v>17.25</v>
      </c>
      <c r="K18" s="7">
        <f t="shared" si="8"/>
        <v>16.190625000000001</v>
      </c>
      <c r="M18" t="s">
        <v>1490</v>
      </c>
      <c r="N18" t="str" cm="1">
        <f t="array" ref="N18:O18">_xlfn.TEXTSPLIT(M18,"-")</f>
        <v>600</v>
      </c>
      <c r="O18" t="str">
        <v>699</v>
      </c>
      <c r="P18" t="s">
        <v>1458</v>
      </c>
      <c r="Q18">
        <v>33.04</v>
      </c>
      <c r="R18" s="8">
        <f t="shared" si="1"/>
        <v>14.868</v>
      </c>
      <c r="S18" s="3">
        <f t="shared" si="2"/>
        <v>23.173846153846153</v>
      </c>
      <c r="T18" s="5">
        <f t="shared" si="3"/>
        <v>21.540000000000003</v>
      </c>
      <c r="U18" s="7">
        <f t="shared" si="4"/>
        <v>20.124000000000002</v>
      </c>
      <c r="V18" s="7">
        <f t="shared" si="9"/>
        <v>18.885000000000002</v>
      </c>
    </row>
    <row r="19" spans="2:22" ht="14.25" x14ac:dyDescent="0.25">
      <c r="B19" t="s">
        <v>1491</v>
      </c>
      <c r="C19">
        <v>700</v>
      </c>
      <c r="D19">
        <v>799</v>
      </c>
      <c r="E19" t="s">
        <v>1448</v>
      </c>
      <c r="F19">
        <v>29.92</v>
      </c>
      <c r="G19" s="8">
        <f t="shared" si="0"/>
        <v>13.464</v>
      </c>
      <c r="H19" s="3">
        <f t="shared" si="5"/>
        <v>21.013846153846153</v>
      </c>
      <c r="I19" s="5">
        <f t="shared" si="6"/>
        <v>19.534285714285716</v>
      </c>
      <c r="J19" s="7">
        <f t="shared" si="7"/>
        <v>18.252000000000002</v>
      </c>
      <c r="K19" s="7">
        <f t="shared" si="8"/>
        <v>17.13</v>
      </c>
      <c r="M19" t="s">
        <v>1491</v>
      </c>
      <c r="N19" t="str" cm="1">
        <f t="array" ref="N19:O19">_xlfn.TEXTSPLIT(M19,"-")</f>
        <v>700</v>
      </c>
      <c r="O19" t="str">
        <v>799</v>
      </c>
      <c r="P19" t="s">
        <v>1459</v>
      </c>
      <c r="Q19">
        <v>34.96</v>
      </c>
      <c r="R19" s="8">
        <f t="shared" si="1"/>
        <v>15.732000000000001</v>
      </c>
      <c r="S19" s="3">
        <f t="shared" si="2"/>
        <v>24.503076923076925</v>
      </c>
      <c r="T19" s="5">
        <f t="shared" si="3"/>
        <v>22.774285714285718</v>
      </c>
      <c r="U19" s="7">
        <f t="shared" si="4"/>
        <v>21.276000000000003</v>
      </c>
      <c r="V19" s="7">
        <f t="shared" si="9"/>
        <v>19.965</v>
      </c>
    </row>
    <row r="20" spans="2:22" ht="14.25" x14ac:dyDescent="0.25">
      <c r="B20" t="s">
        <v>1492</v>
      </c>
      <c r="C20">
        <v>800</v>
      </c>
      <c r="D20">
        <v>899</v>
      </c>
      <c r="E20" t="s">
        <v>1449</v>
      </c>
      <c r="F20">
        <v>32.880000000000003</v>
      </c>
      <c r="G20" s="8">
        <f t="shared" si="0"/>
        <v>14.796000000000001</v>
      </c>
      <c r="H20" s="3">
        <f t="shared" si="5"/>
        <v>23.063076923076924</v>
      </c>
      <c r="I20" s="5">
        <f t="shared" si="6"/>
        <v>21.437142857142859</v>
      </c>
      <c r="J20" s="7">
        <f t="shared" si="7"/>
        <v>20.028000000000002</v>
      </c>
      <c r="K20" s="7">
        <f t="shared" si="8"/>
        <v>18.795000000000002</v>
      </c>
      <c r="M20" t="s">
        <v>1492</v>
      </c>
      <c r="N20" t="str" cm="1">
        <f t="array" ref="N20:O20">_xlfn.TEXTSPLIT(M20,"-")</f>
        <v>800</v>
      </c>
      <c r="O20" t="str">
        <v>899</v>
      </c>
      <c r="P20" t="s">
        <v>1460</v>
      </c>
      <c r="Q20">
        <v>38.479999999999997</v>
      </c>
      <c r="R20" s="8">
        <f t="shared" si="1"/>
        <v>17.315999999999999</v>
      </c>
      <c r="S20" s="3">
        <f t="shared" si="2"/>
        <v>26.939999999999998</v>
      </c>
      <c r="T20" s="5">
        <f t="shared" si="3"/>
        <v>25.037142857142857</v>
      </c>
      <c r="U20" s="7">
        <f t="shared" si="4"/>
        <v>23.387999999999998</v>
      </c>
      <c r="V20" s="7">
        <f t="shared" si="9"/>
        <v>21.944999999999997</v>
      </c>
    </row>
    <row r="21" spans="2:22" ht="14.25" x14ac:dyDescent="0.25">
      <c r="B21" t="s">
        <v>1493</v>
      </c>
      <c r="C21">
        <v>900</v>
      </c>
      <c r="D21">
        <v>999</v>
      </c>
      <c r="E21" t="s">
        <v>1450</v>
      </c>
      <c r="F21">
        <v>36.159999999999997</v>
      </c>
      <c r="G21" s="8">
        <f t="shared" si="0"/>
        <v>16.271999999999998</v>
      </c>
      <c r="H21" s="3">
        <f t="shared" si="5"/>
        <v>25.333846153846153</v>
      </c>
      <c r="I21" s="5">
        <f t="shared" si="6"/>
        <v>23.545714285714286</v>
      </c>
      <c r="J21" s="7">
        <f t="shared" si="7"/>
        <v>21.995999999999999</v>
      </c>
      <c r="K21" s="7">
        <f t="shared" si="8"/>
        <v>20.639999999999997</v>
      </c>
      <c r="M21" t="s">
        <v>1493</v>
      </c>
      <c r="N21" t="str" cm="1">
        <f t="array" ref="N21:O21">_xlfn.TEXTSPLIT(M21,"-")</f>
        <v>900</v>
      </c>
      <c r="O21" t="str">
        <v>999</v>
      </c>
      <c r="P21" t="s">
        <v>1461</v>
      </c>
      <c r="Q21">
        <v>42.29</v>
      </c>
      <c r="R21" s="8">
        <f t="shared" si="1"/>
        <v>19.0305</v>
      </c>
      <c r="S21" s="3">
        <f t="shared" si="2"/>
        <v>29.577692307692306</v>
      </c>
      <c r="T21" s="5">
        <f t="shared" si="3"/>
        <v>27.486428571428572</v>
      </c>
      <c r="U21" s="7">
        <f t="shared" si="4"/>
        <v>25.673999999999999</v>
      </c>
      <c r="V21" s="7">
        <f t="shared" si="9"/>
        <v>24.088124999999998</v>
      </c>
    </row>
    <row r="22" spans="2:22" ht="14.25" x14ac:dyDescent="0.25">
      <c r="H22" s="10"/>
      <c r="I22" s="10"/>
      <c r="J22" s="10"/>
    </row>
    <row r="23" spans="2:22" ht="14.25" x14ac:dyDescent="0.25">
      <c r="B23" t="s">
        <v>1672</v>
      </c>
      <c r="G23" t="s">
        <v>1673</v>
      </c>
      <c r="H23" t="s">
        <v>1378</v>
      </c>
      <c r="I23" t="s">
        <v>1379</v>
      </c>
      <c r="J23" t="s">
        <v>1380</v>
      </c>
    </row>
    <row r="24" spans="2:22" ht="14.25" x14ac:dyDescent="0.25">
      <c r="B24" t="s">
        <v>1386</v>
      </c>
      <c r="C24">
        <v>0</v>
      </c>
      <c r="D24">
        <v>150</v>
      </c>
      <c r="E24" t="s">
        <v>1462</v>
      </c>
      <c r="F24">
        <v>31.31</v>
      </c>
      <c r="G24" s="8">
        <f t="shared" ref="G24:G34" si="10">F24*$G$9</f>
        <v>14.089499999999999</v>
      </c>
      <c r="H24" s="3">
        <f t="shared" ref="H24:H34" si="11">(G24/0.65)+0.3</f>
        <v>21.976153846153846</v>
      </c>
      <c r="I24" s="5">
        <f t="shared" ref="I24:I34" si="12">(G24/0.7)+0.3</f>
        <v>20.427857142857142</v>
      </c>
      <c r="J24" s="7">
        <f t="shared" ref="J24:J34" si="13">(G24/0.75)+0.3</f>
        <v>19.085999999999999</v>
      </c>
      <c r="K24" s="7">
        <f t="shared" si="8"/>
        <v>17.911874999999998</v>
      </c>
    </row>
    <row r="25" spans="2:22" ht="14.25" x14ac:dyDescent="0.25">
      <c r="B25" t="s">
        <v>1484</v>
      </c>
      <c r="C25">
        <v>150</v>
      </c>
      <c r="D25">
        <v>199</v>
      </c>
      <c r="E25" t="s">
        <v>1463</v>
      </c>
      <c r="F25">
        <v>35.380000000000003</v>
      </c>
      <c r="G25" s="8">
        <f t="shared" si="10"/>
        <v>15.921000000000001</v>
      </c>
      <c r="H25" s="3">
        <f t="shared" si="11"/>
        <v>24.793846153846154</v>
      </c>
      <c r="I25" s="5">
        <f t="shared" si="12"/>
        <v>23.044285714285717</v>
      </c>
      <c r="J25" s="7">
        <f t="shared" si="13"/>
        <v>21.528000000000002</v>
      </c>
      <c r="K25" s="7">
        <f t="shared" si="8"/>
        <v>20.201250000000002</v>
      </c>
    </row>
    <row r="26" spans="2:22" ht="14.25" x14ac:dyDescent="0.25">
      <c r="B26" t="s">
        <v>1485</v>
      </c>
      <c r="C26">
        <v>200</v>
      </c>
      <c r="D26">
        <v>249</v>
      </c>
      <c r="E26" t="s">
        <v>1464</v>
      </c>
      <c r="F26">
        <v>39.43</v>
      </c>
      <c r="G26" s="8">
        <f t="shared" si="10"/>
        <v>17.743500000000001</v>
      </c>
      <c r="H26" s="3">
        <f t="shared" si="11"/>
        <v>27.597692307692309</v>
      </c>
      <c r="I26" s="5">
        <f t="shared" si="12"/>
        <v>25.647857142857145</v>
      </c>
      <c r="J26" s="7">
        <f t="shared" si="13"/>
        <v>23.958000000000002</v>
      </c>
      <c r="K26" s="7">
        <f t="shared" si="8"/>
        <v>22.479375000000001</v>
      </c>
    </row>
    <row r="27" spans="2:22" ht="14.25" x14ac:dyDescent="0.25">
      <c r="B27" t="s">
        <v>1486</v>
      </c>
      <c r="C27">
        <v>250</v>
      </c>
      <c r="D27">
        <v>299</v>
      </c>
      <c r="E27" t="s">
        <v>1465</v>
      </c>
      <c r="F27">
        <v>43.49</v>
      </c>
      <c r="G27" s="8">
        <f t="shared" si="10"/>
        <v>19.570500000000003</v>
      </c>
      <c r="H27" s="3">
        <f t="shared" si="11"/>
        <v>30.408461538461541</v>
      </c>
      <c r="I27" s="5">
        <f t="shared" si="12"/>
        <v>28.257857142857148</v>
      </c>
      <c r="J27" s="7">
        <f t="shared" si="13"/>
        <v>26.394000000000005</v>
      </c>
      <c r="K27" s="7">
        <f t="shared" si="8"/>
        <v>24.763125000000002</v>
      </c>
    </row>
    <row r="28" spans="2:22" ht="14.25" x14ac:dyDescent="0.25">
      <c r="B28" t="s">
        <v>1487</v>
      </c>
      <c r="C28">
        <v>300</v>
      </c>
      <c r="D28">
        <v>399</v>
      </c>
      <c r="E28" t="s">
        <v>1466</v>
      </c>
      <c r="F28">
        <v>49.05</v>
      </c>
      <c r="G28" s="8">
        <f t="shared" si="10"/>
        <v>22.072499999999998</v>
      </c>
      <c r="H28" s="3">
        <f t="shared" si="11"/>
        <v>34.257692307692302</v>
      </c>
      <c r="I28" s="5">
        <f t="shared" si="12"/>
        <v>31.832142857142856</v>
      </c>
      <c r="J28" s="7">
        <f t="shared" si="13"/>
        <v>29.729999999999997</v>
      </c>
      <c r="K28" s="7">
        <f t="shared" si="8"/>
        <v>27.890624999999996</v>
      </c>
    </row>
    <row r="29" spans="2:22" ht="14.25" x14ac:dyDescent="0.25">
      <c r="B29" t="s">
        <v>1488</v>
      </c>
      <c r="C29">
        <v>400</v>
      </c>
      <c r="D29">
        <v>499</v>
      </c>
      <c r="E29" t="s">
        <v>1467</v>
      </c>
      <c r="F29">
        <v>54.49</v>
      </c>
      <c r="G29" s="8">
        <f t="shared" si="10"/>
        <v>24.520500000000002</v>
      </c>
      <c r="H29" s="3">
        <f t="shared" si="11"/>
        <v>38.023846153846151</v>
      </c>
      <c r="I29" s="5">
        <f t="shared" si="12"/>
        <v>35.329285714285717</v>
      </c>
      <c r="J29" s="7">
        <f t="shared" si="13"/>
        <v>32.994</v>
      </c>
      <c r="K29" s="7">
        <f t="shared" si="8"/>
        <v>30.950625000000002</v>
      </c>
    </row>
    <row r="30" spans="2:22" ht="14.25" x14ac:dyDescent="0.25">
      <c r="B30" t="s">
        <v>1489</v>
      </c>
      <c r="C30">
        <v>500</v>
      </c>
      <c r="D30">
        <v>599</v>
      </c>
      <c r="E30" t="s">
        <v>1468</v>
      </c>
      <c r="F30">
        <v>58.46</v>
      </c>
      <c r="G30" s="8">
        <f t="shared" si="10"/>
        <v>26.307000000000002</v>
      </c>
      <c r="H30" s="3">
        <f t="shared" si="11"/>
        <v>40.772307692307692</v>
      </c>
      <c r="I30" s="5">
        <f t="shared" si="12"/>
        <v>37.881428571428572</v>
      </c>
      <c r="J30" s="7">
        <f t="shared" si="13"/>
        <v>35.375999999999998</v>
      </c>
      <c r="K30" s="7">
        <f t="shared" si="8"/>
        <v>33.183749999999996</v>
      </c>
    </row>
    <row r="31" spans="2:22" ht="14.25" x14ac:dyDescent="0.25">
      <c r="B31" t="s">
        <v>1490</v>
      </c>
      <c r="C31">
        <v>600</v>
      </c>
      <c r="D31">
        <v>699</v>
      </c>
      <c r="E31" t="s">
        <v>1469</v>
      </c>
      <c r="F31">
        <v>62.52</v>
      </c>
      <c r="G31" s="8">
        <f t="shared" si="10"/>
        <v>28.134</v>
      </c>
      <c r="H31" s="3">
        <f t="shared" si="11"/>
        <v>43.583076923076916</v>
      </c>
      <c r="I31" s="5">
        <f t="shared" si="12"/>
        <v>40.491428571428571</v>
      </c>
      <c r="J31" s="7">
        <f t="shared" si="13"/>
        <v>37.811999999999998</v>
      </c>
      <c r="K31" s="7">
        <f t="shared" si="8"/>
        <v>35.467499999999994</v>
      </c>
    </row>
    <row r="32" spans="2:22" ht="14.25" x14ac:dyDescent="0.25">
      <c r="B32" t="s">
        <v>1491</v>
      </c>
      <c r="C32">
        <v>700</v>
      </c>
      <c r="D32">
        <v>799</v>
      </c>
      <c r="E32" t="s">
        <v>1470</v>
      </c>
      <c r="F32">
        <v>66.92</v>
      </c>
      <c r="G32" s="8">
        <f t="shared" si="10"/>
        <v>30.114000000000001</v>
      </c>
      <c r="H32" s="3">
        <f t="shared" si="11"/>
        <v>46.629230769230766</v>
      </c>
      <c r="I32" s="5">
        <f t="shared" si="12"/>
        <v>43.32</v>
      </c>
      <c r="J32" s="7">
        <f t="shared" si="13"/>
        <v>40.451999999999998</v>
      </c>
      <c r="K32" s="7">
        <f t="shared" si="8"/>
        <v>37.942499999999995</v>
      </c>
    </row>
    <row r="33" spans="2:13" ht="14.25" x14ac:dyDescent="0.25">
      <c r="B33" t="s">
        <v>1492</v>
      </c>
      <c r="C33">
        <v>800</v>
      </c>
      <c r="D33">
        <v>899</v>
      </c>
      <c r="E33" t="s">
        <v>1471</v>
      </c>
      <c r="F33">
        <v>73.63</v>
      </c>
      <c r="G33" s="8">
        <f t="shared" si="10"/>
        <v>33.133499999999998</v>
      </c>
      <c r="H33" s="3">
        <f t="shared" si="11"/>
        <v>51.27461538461538</v>
      </c>
      <c r="I33" s="5">
        <f t="shared" si="12"/>
        <v>47.633571428571429</v>
      </c>
      <c r="J33" s="7">
        <f t="shared" si="13"/>
        <v>44.477999999999994</v>
      </c>
      <c r="K33" s="7">
        <f t="shared" si="8"/>
        <v>41.716874999999995</v>
      </c>
    </row>
    <row r="34" spans="2:13" ht="14.25" x14ac:dyDescent="0.25">
      <c r="B34" t="s">
        <v>1493</v>
      </c>
      <c r="C34">
        <v>900</v>
      </c>
      <c r="D34">
        <v>999</v>
      </c>
      <c r="E34" t="s">
        <v>1472</v>
      </c>
      <c r="F34">
        <v>81.040000000000006</v>
      </c>
      <c r="G34" s="8">
        <f t="shared" si="10"/>
        <v>36.468000000000004</v>
      </c>
      <c r="H34" s="3">
        <f t="shared" si="11"/>
        <v>56.404615384615383</v>
      </c>
      <c r="I34" s="5">
        <f t="shared" si="12"/>
        <v>52.39714285714286</v>
      </c>
      <c r="J34" s="7">
        <f t="shared" si="13"/>
        <v>48.923999999999999</v>
      </c>
      <c r="K34" s="7">
        <f t="shared" si="8"/>
        <v>45.884999999999998</v>
      </c>
    </row>
    <row r="42" spans="2:13" ht="14.25" x14ac:dyDescent="0.25">
      <c r="L42" t="s">
        <v>4797</v>
      </c>
    </row>
    <row r="43" spans="2:13" ht="16.350000000000001" x14ac:dyDescent="0.25">
      <c r="L43" s="64">
        <v>0</v>
      </c>
      <c r="M43" s="66">
        <v>0</v>
      </c>
    </row>
    <row r="44" spans="2:13" ht="16.350000000000001" x14ac:dyDescent="0.25">
      <c r="L44" s="71" t="s">
        <v>2461</v>
      </c>
      <c r="M44" s="72">
        <v>32</v>
      </c>
    </row>
    <row r="45" spans="2:13" ht="16.350000000000001" x14ac:dyDescent="0.25">
      <c r="L45" s="71" t="s">
        <v>2854</v>
      </c>
      <c r="M45" s="72">
        <v>13</v>
      </c>
    </row>
    <row r="46" spans="2:13" ht="16.350000000000001" x14ac:dyDescent="0.25">
      <c r="L46" s="71" t="s">
        <v>4796</v>
      </c>
      <c r="M46" s="72">
        <v>8</v>
      </c>
    </row>
    <row r="47" spans="2:13" ht="16.350000000000001" x14ac:dyDescent="0.25">
      <c r="L47" s="71" t="s">
        <v>3015</v>
      </c>
      <c r="M47" s="72">
        <v>5</v>
      </c>
    </row>
    <row r="48" spans="2:13" ht="16.350000000000001" x14ac:dyDescent="0.25">
      <c r="L48" s="71" t="s">
        <v>217</v>
      </c>
      <c r="M48" s="72">
        <v>188</v>
      </c>
    </row>
    <row r="49" spans="2:28" ht="16.350000000000001" x14ac:dyDescent="0.25">
      <c r="B49" t="s">
        <v>1473</v>
      </c>
      <c r="L49" s="71" t="s">
        <v>230</v>
      </c>
      <c r="M49" s="72">
        <v>8</v>
      </c>
      <c r="Q49" t="s">
        <v>4792</v>
      </c>
    </row>
    <row r="50" spans="2:28" ht="16.350000000000001" x14ac:dyDescent="0.25">
      <c r="B50" t="s">
        <v>1432</v>
      </c>
      <c r="L50" s="71" t="s">
        <v>232</v>
      </c>
      <c r="M50" s="72">
        <v>16</v>
      </c>
      <c r="Q50" s="63"/>
      <c r="R50" s="64"/>
      <c r="S50" s="65"/>
      <c r="T50" s="65"/>
      <c r="U50" s="65"/>
      <c r="V50" s="64"/>
      <c r="W50" s="66"/>
      <c r="X50" s="67"/>
      <c r="Y50" s="65"/>
      <c r="Z50" s="67"/>
      <c r="AA50" s="67"/>
      <c r="AB50" s="67"/>
    </row>
    <row r="51" spans="2:28" ht="16.350000000000001" x14ac:dyDescent="0.25">
      <c r="B51" t="s">
        <v>1433</v>
      </c>
      <c r="L51" s="71" t="s">
        <v>234</v>
      </c>
      <c r="M51" s="72">
        <v>16</v>
      </c>
      <c r="Q51" s="63"/>
      <c r="R51" s="64"/>
      <c r="S51" s="65"/>
      <c r="T51" s="65"/>
      <c r="U51" s="65"/>
      <c r="V51" s="64"/>
      <c r="W51" s="66"/>
      <c r="X51" s="67"/>
      <c r="Y51" s="65"/>
      <c r="Z51" s="68" t="str" cm="1">
        <f t="array" ref="Z51:Z71">_xlfn.UNIQUE('[1]MAIN BUILDING'!H6:H221)</f>
        <v>ZLP15202</v>
      </c>
      <c r="AA51" s="68" t="e">
        <f>SUMIF('[1]MAIN BUILDING'!$H$6:$H$221,Z51,'[1]MAIN BUILDING'!$L$6:$L$221)</f>
        <v>#VALUE!</v>
      </c>
      <c r="AB51" s="67"/>
    </row>
    <row r="52" spans="2:28" ht="16.350000000000001" x14ac:dyDescent="0.25">
      <c r="B52" t="s">
        <v>1504</v>
      </c>
      <c r="L52" s="71" t="s">
        <v>255</v>
      </c>
      <c r="M52" s="72">
        <v>8</v>
      </c>
      <c r="Q52" s="63"/>
      <c r="R52" s="64"/>
      <c r="S52" s="65"/>
      <c r="T52" s="65"/>
      <c r="U52" s="65"/>
      <c r="V52" s="64"/>
      <c r="W52" s="66"/>
      <c r="X52" s="67"/>
      <c r="Y52" s="65"/>
      <c r="Z52" s="68" t="str">
        <v>F8V4-2424-GWB</v>
      </c>
      <c r="AA52" s="68" t="e">
        <f>SUMIF('[1]MAIN BUILDING'!$H$6:$H$221,Z52,'[1]MAIN BUILDING'!$L$6:$L$221)</f>
        <v>#VALUE!</v>
      </c>
      <c r="AB52" s="67"/>
    </row>
    <row r="53" spans="2:28" ht="16.350000000000001" x14ac:dyDescent="0.25">
      <c r="B53" t="s">
        <v>1474</v>
      </c>
      <c r="L53" s="71" t="s">
        <v>240</v>
      </c>
      <c r="M53" s="72">
        <v>24</v>
      </c>
      <c r="Q53" s="63"/>
      <c r="R53" s="64" t="s">
        <v>4793</v>
      </c>
      <c r="S53" s="65"/>
      <c r="T53" s="65"/>
      <c r="U53" s="65"/>
      <c r="V53" s="64" t="s">
        <v>4794</v>
      </c>
      <c r="W53" s="66"/>
      <c r="X53" s="67"/>
      <c r="Y53" s="65"/>
      <c r="Z53" s="67">
        <v>0</v>
      </c>
      <c r="AA53" s="67" t="e">
        <f>SUMIF('[1]MAIN BUILDING'!$H$6:$H$221,Z53,'[1]MAIN BUILDING'!$L$6:$L$221)</f>
        <v>#VALUE!</v>
      </c>
      <c r="AB53" s="67"/>
    </row>
    <row r="54" spans="2:28" ht="17.649999999999999" x14ac:dyDescent="0.25">
      <c r="B54" t="s">
        <v>1505</v>
      </c>
      <c r="L54" s="71" t="s">
        <v>261</v>
      </c>
      <c r="M54" s="72">
        <v>12</v>
      </c>
      <c r="Q54" s="63"/>
      <c r="R54" s="69">
        <v>36985.64</v>
      </c>
      <c r="S54" s="65"/>
      <c r="T54" s="65"/>
      <c r="U54" s="65"/>
      <c r="V54" s="69">
        <v>31112.28</v>
      </c>
      <c r="W54" s="70">
        <f t="shared" ref="W54:W65" si="14">R54-V54</f>
        <v>5873.3600000000006</v>
      </c>
      <c r="X54" s="67"/>
      <c r="Y54" s="65"/>
      <c r="Z54" s="68" t="str">
        <v>ZLP20252</v>
      </c>
      <c r="AA54" s="68" t="e">
        <f>SUMIF('[1]MAIN BUILDING'!$H$6:$H$221,Z54,'[1]MAIN BUILDING'!$L$6:$L$221)</f>
        <v>#VALUE!</v>
      </c>
      <c r="AB54" s="67"/>
    </row>
    <row r="55" spans="2:28" ht="17.649999999999999" x14ac:dyDescent="0.25">
      <c r="B55" t="s">
        <v>1506</v>
      </c>
      <c r="L55" s="71" t="s">
        <v>244</v>
      </c>
      <c r="M55" s="72">
        <v>96</v>
      </c>
      <c r="Q55" s="63"/>
      <c r="R55" s="69">
        <v>47974.95</v>
      </c>
      <c r="S55" s="65"/>
      <c r="T55" s="65"/>
      <c r="U55" s="65"/>
      <c r="V55" s="69">
        <v>46982.99</v>
      </c>
      <c r="W55" s="70">
        <f t="shared" si="14"/>
        <v>991.95999999999913</v>
      </c>
      <c r="X55" s="67"/>
      <c r="Y55" s="65"/>
      <c r="Z55" s="68" t="str">
        <v>ZLP14302</v>
      </c>
      <c r="AA55" s="68" t="e">
        <f>SUMIF('[1]MAIN BUILDING'!$H$6:$H$221,Z55,'[1]MAIN BUILDING'!$L$6:$L$221)</f>
        <v>#VALUE!</v>
      </c>
      <c r="AB55" s="67"/>
    </row>
    <row r="56" spans="2:28" ht="17.649999999999999" x14ac:dyDescent="0.25">
      <c r="B56" t="s">
        <v>1475</v>
      </c>
      <c r="L56" s="71" t="s">
        <v>246</v>
      </c>
      <c r="M56" s="72">
        <v>36</v>
      </c>
      <c r="Q56" s="63"/>
      <c r="R56" s="69">
        <v>78676.14</v>
      </c>
      <c r="S56" s="65"/>
      <c r="T56" s="65"/>
      <c r="U56" s="65"/>
      <c r="V56" s="69">
        <v>77740.83</v>
      </c>
      <c r="W56" s="70">
        <f t="shared" si="14"/>
        <v>935.30999999999767</v>
      </c>
      <c r="X56" s="67"/>
      <c r="Y56" s="65"/>
      <c r="Z56" s="68" t="str">
        <v>ZLP16242</v>
      </c>
      <c r="AA56" s="68" t="e">
        <f>SUMIF('[1]MAIN BUILDING'!$H$6:$H$221,Z56,'[1]MAIN BUILDING'!$L$6:$L$221)</f>
        <v>#VALUE!</v>
      </c>
      <c r="AB56" s="67"/>
    </row>
    <row r="57" spans="2:28" ht="17.649999999999999" x14ac:dyDescent="0.25">
      <c r="B57" t="s">
        <v>1507</v>
      </c>
      <c r="L57" s="71" t="s">
        <v>270</v>
      </c>
      <c r="M57" s="72">
        <v>32</v>
      </c>
      <c r="Q57" s="63"/>
      <c r="R57" s="69">
        <v>48766.21</v>
      </c>
      <c r="S57" s="65"/>
      <c r="T57" s="65"/>
      <c r="U57" s="65"/>
      <c r="V57" s="69">
        <v>47621.56</v>
      </c>
      <c r="W57" s="70">
        <f t="shared" si="14"/>
        <v>1144.6500000000015</v>
      </c>
      <c r="X57" s="67"/>
      <c r="Y57" s="65"/>
      <c r="Z57" s="68" t="str">
        <v>F8V4-1224-GWB</v>
      </c>
      <c r="AA57" s="68" t="e">
        <f>SUMIF('[1]MAIN BUILDING'!$H$6:$H$221,Z57,'[1]MAIN BUILDING'!$L$6:$L$221)</f>
        <v>#VALUE!</v>
      </c>
      <c r="AB57" s="67"/>
    </row>
    <row r="58" spans="2:28" ht="17.649999999999999" x14ac:dyDescent="0.25">
      <c r="L58" s="71" t="s">
        <v>248</v>
      </c>
      <c r="M58" s="72">
        <v>56</v>
      </c>
      <c r="Q58" s="63"/>
      <c r="R58" s="69">
        <v>18064.849999999999</v>
      </c>
      <c r="S58" s="65"/>
      <c r="T58" s="65"/>
      <c r="U58" s="65"/>
      <c r="V58" s="69">
        <v>18122.099999999999</v>
      </c>
      <c r="W58" s="70">
        <f t="shared" si="14"/>
        <v>-57.25</v>
      </c>
      <c r="X58" s="67"/>
      <c r="Y58" s="65"/>
      <c r="Z58" s="68" t="str">
        <v>ZLP16252</v>
      </c>
      <c r="AA58" s="68" t="e">
        <f>SUMIF('[1]MAIN BUILDING'!$H$6:$H$221,Z58,'[1]MAIN BUILDING'!$L$6:$L$221)</f>
        <v>#VALUE!</v>
      </c>
      <c r="AB58" s="67"/>
    </row>
    <row r="59" spans="2:28" ht="17.649999999999999" x14ac:dyDescent="0.25">
      <c r="B59" t="s">
        <v>1508</v>
      </c>
      <c r="L59" s="71" t="s">
        <v>272</v>
      </c>
      <c r="M59" s="72">
        <v>16</v>
      </c>
      <c r="Q59" s="63"/>
      <c r="R59" s="69">
        <v>32813.89</v>
      </c>
      <c r="S59" s="65"/>
      <c r="T59" s="65"/>
      <c r="U59" s="65"/>
      <c r="V59" s="69">
        <v>32184.42</v>
      </c>
      <c r="W59" s="70">
        <f t="shared" si="14"/>
        <v>629.47000000000116</v>
      </c>
      <c r="X59" s="67"/>
      <c r="Y59" s="65"/>
      <c r="Z59" s="68" t="str">
        <v>ZLP16202</v>
      </c>
      <c r="AA59" s="68" t="e">
        <f>SUMIF('[1]MAIN BUILDING'!$H$6:$H$221,Z59,'[1]MAIN BUILDING'!$L$6:$L$221)</f>
        <v>#VALUE!</v>
      </c>
      <c r="AB59" s="67"/>
    </row>
    <row r="60" spans="2:28" ht="17.649999999999999" x14ac:dyDescent="0.25">
      <c r="L60" s="71" t="s">
        <v>273</v>
      </c>
      <c r="M60" s="72">
        <v>8</v>
      </c>
      <c r="Q60" s="63" t="s">
        <v>4795</v>
      </c>
      <c r="R60" s="69">
        <v>46975.27</v>
      </c>
      <c r="S60" s="65"/>
      <c r="T60" s="65"/>
      <c r="U60" s="65"/>
      <c r="V60" s="69">
        <v>42071.65</v>
      </c>
      <c r="W60" s="70">
        <f t="shared" si="14"/>
        <v>4903.6199999999953</v>
      </c>
      <c r="X60" s="67"/>
      <c r="Y60" s="65"/>
      <c r="Z60" s="68" t="str">
        <v>ZLP20202</v>
      </c>
      <c r="AA60" s="68" t="e">
        <f>SUMIF('[1]MAIN BUILDING'!$H$6:$H$221,Z60,'[1]MAIN BUILDING'!$L$6:$L$221)</f>
        <v>#VALUE!</v>
      </c>
      <c r="AB60" s="67"/>
    </row>
    <row r="61" spans="2:28" ht="17.649999999999999" x14ac:dyDescent="0.25">
      <c r="L61" s="71" t="s">
        <v>252</v>
      </c>
      <c r="M61" s="72">
        <v>48</v>
      </c>
      <c r="Q61" s="63"/>
      <c r="R61" s="69">
        <v>36885.85</v>
      </c>
      <c r="S61" s="65"/>
      <c r="T61" s="65"/>
      <c r="U61" s="65"/>
      <c r="V61" s="69">
        <v>34193.1</v>
      </c>
      <c r="W61" s="70">
        <f t="shared" si="14"/>
        <v>2692.75</v>
      </c>
      <c r="X61" s="67"/>
      <c r="Y61" s="65"/>
      <c r="Z61" s="67" t="str">
        <v>PUPSLRB242449O</v>
      </c>
      <c r="AA61" s="67" t="e">
        <f>SUMIF('[1]MAIN BUILDING'!$H$6:$H$221,Z61,'[1]MAIN BUILDING'!$L$6:$L$221)</f>
        <v>#VALUE!</v>
      </c>
      <c r="AB61" s="67"/>
    </row>
    <row r="62" spans="2:28" ht="17.649999999999999" x14ac:dyDescent="0.25">
      <c r="L62" s="71" t="s">
        <v>3080</v>
      </c>
      <c r="M62" s="72">
        <v>12</v>
      </c>
      <c r="Q62" s="63"/>
      <c r="R62" s="69">
        <v>13798.51</v>
      </c>
      <c r="S62" s="65"/>
      <c r="T62" s="65"/>
      <c r="U62" s="65"/>
      <c r="V62" s="69">
        <v>13374.81</v>
      </c>
      <c r="W62" s="70">
        <f t="shared" si="14"/>
        <v>423.70000000000073</v>
      </c>
      <c r="X62" s="67"/>
      <c r="Y62" s="65"/>
      <c r="Z62" s="68" t="str">
        <v>PUPSLRB122449O</v>
      </c>
      <c r="AA62" s="68" t="e">
        <f>SUMIF('[1]MAIN BUILDING'!$H$6:$H$221,Z62,'[1]MAIN BUILDING'!$L$6:$L$221)</f>
        <v>#VALUE!</v>
      </c>
      <c r="AB62" s="67"/>
    </row>
    <row r="63" spans="2:28" ht="17.649999999999999" x14ac:dyDescent="0.25">
      <c r="L63" s="71" t="s">
        <v>4084</v>
      </c>
      <c r="M63" s="72">
        <v>16</v>
      </c>
      <c r="Q63" s="63"/>
      <c r="R63" s="69">
        <v>11939.98</v>
      </c>
      <c r="S63" s="65"/>
      <c r="T63" s="65"/>
      <c r="U63" s="65"/>
      <c r="V63" s="69">
        <v>11239.91</v>
      </c>
      <c r="W63" s="70">
        <f t="shared" si="14"/>
        <v>700.06999999999971</v>
      </c>
      <c r="X63" s="67"/>
      <c r="Y63" s="65"/>
      <c r="Z63" s="68" t="str">
        <v>ZLP24242</v>
      </c>
      <c r="AA63" s="68" t="e">
        <f>SUMIF('[1]MAIN BUILDING'!$H$6:$H$221,Z63,'[1]MAIN BUILDING'!$L$6:$L$221)</f>
        <v>#VALUE!</v>
      </c>
      <c r="AB63" s="67"/>
    </row>
    <row r="64" spans="2:28" ht="18" x14ac:dyDescent="0.25">
      <c r="L64" s="71" t="s">
        <v>4093</v>
      </c>
      <c r="M64" s="72">
        <v>12</v>
      </c>
      <c r="Q64" s="63"/>
      <c r="R64" s="69">
        <v>17697.5</v>
      </c>
      <c r="S64" s="65"/>
      <c r="T64" s="65"/>
      <c r="U64" s="65"/>
      <c r="V64" s="69">
        <v>17516.95</v>
      </c>
      <c r="W64" s="70">
        <f t="shared" si="14"/>
        <v>180.54999999999927</v>
      </c>
      <c r="X64" s="67"/>
      <c r="Y64" s="65"/>
      <c r="Z64" s="68" t="str">
        <v>ZLP1201</v>
      </c>
      <c r="AA64" s="68" t="e">
        <f>SUMIF('[1]MAIN BUILDING'!$H$6:$H$221,Z64,'[1]MAIN BUILDING'!$L$6:$L$221)</f>
        <v>#VALUE!</v>
      </c>
      <c r="AB64" s="67"/>
    </row>
    <row r="65" spans="12:28" ht="18" x14ac:dyDescent="0.25">
      <c r="L65" s="71" t="s">
        <v>4208</v>
      </c>
      <c r="M65" s="72">
        <v>8</v>
      </c>
      <c r="Q65" s="63"/>
      <c r="R65" s="69">
        <v>14415.47</v>
      </c>
      <c r="S65" s="65"/>
      <c r="T65" s="65"/>
      <c r="U65" s="65"/>
      <c r="V65" s="69">
        <v>14042.11</v>
      </c>
      <c r="W65" s="70">
        <f t="shared" si="14"/>
        <v>373.35999999999876</v>
      </c>
      <c r="X65" s="67"/>
      <c r="Y65" s="65"/>
      <c r="Z65" s="67" t="str">
        <v>ZLP16162</v>
      </c>
      <c r="AA65" s="67" t="e">
        <f>SUMIF('[1]MAIN BUILDING'!$H$6:$H$221,Z65,'[1]MAIN BUILDING'!$L$6:$L$221)</f>
        <v>#VALUE!</v>
      </c>
      <c r="AB65" s="67"/>
    </row>
    <row r="66" spans="12:28" ht="15.75" x14ac:dyDescent="0.25">
      <c r="Q66" s="63"/>
      <c r="R66" s="64"/>
      <c r="S66" s="65"/>
      <c r="T66" s="65"/>
      <c r="U66" s="65"/>
      <c r="V66" s="64"/>
      <c r="W66" s="66"/>
      <c r="X66" s="67"/>
      <c r="Y66" s="65"/>
      <c r="Z66" s="68" t="str">
        <v>ZLP20204</v>
      </c>
      <c r="AA66" s="68" t="e">
        <f>SUMIF('[1]MAIN BUILDING'!$H$6:$H$221,Z66,'[1]MAIN BUILDING'!$L$6:$L$221)</f>
        <v>#VALUE!</v>
      </c>
      <c r="AB66" s="67"/>
    </row>
    <row r="67" spans="12:28" ht="15.75" x14ac:dyDescent="0.25">
      <c r="Q67" s="63"/>
      <c r="R67" s="64"/>
      <c r="S67" s="65"/>
      <c r="T67" s="65"/>
      <c r="U67" s="65"/>
      <c r="V67" s="64"/>
      <c r="W67" s="66"/>
      <c r="X67" s="67"/>
      <c r="Y67" s="65"/>
      <c r="Z67" s="68" t="str">
        <v>F8V4GL-2424-GWB</v>
      </c>
      <c r="AA67" s="68" t="e">
        <f>SUMIF('[1]MAIN BUILDING'!$H$6:$H$221,Z67,'[1]MAIN BUILDING'!$L$6:$L$221)</f>
        <v>#VALUE!</v>
      </c>
      <c r="AB67" s="67"/>
    </row>
    <row r="68" spans="12:28" ht="15.75" x14ac:dyDescent="0.25">
      <c r="Q68" s="63"/>
      <c r="R68" s="64"/>
      <c r="S68" s="65"/>
      <c r="T68" s="65"/>
      <c r="U68" s="65"/>
      <c r="V68" s="64"/>
      <c r="W68" s="66"/>
      <c r="X68" s="67"/>
      <c r="Y68" s="65"/>
      <c r="Z68" s="68" t="str">
        <v>ZLP18312SP</v>
      </c>
      <c r="AA68" s="68" t="e">
        <f>SUMIF('[1]MAIN BUILDING'!$H$6:$H$221,Z68,'[1]MAIN BUILDING'!$L$6:$L$221)</f>
        <v>#VALUE!</v>
      </c>
      <c r="AB68" s="67"/>
    </row>
    <row r="69" spans="12:28" ht="15.75" x14ac:dyDescent="0.25">
      <c r="Q69" s="63"/>
      <c r="R69" s="64"/>
      <c r="S69" s="65"/>
      <c r="T69" s="65"/>
      <c r="U69" s="65"/>
      <c r="V69" s="64"/>
      <c r="W69" s="66"/>
      <c r="X69" s="67"/>
      <c r="Y69" s="65"/>
      <c r="Z69" s="68" t="str">
        <v>ZLP20201</v>
      </c>
      <c r="AA69" s="68" t="e">
        <f>SUMIF('[1]MAIN BUILDING'!$H$6:$H$221,Z69,'[1]MAIN BUILDING'!$L$6:$L$221)</f>
        <v>#VALUE!</v>
      </c>
      <c r="AB69" s="67"/>
    </row>
    <row r="70" spans="12:28" ht="15.75" x14ac:dyDescent="0.25">
      <c r="Q70" s="63"/>
      <c r="R70" s="64"/>
      <c r="S70" s="65"/>
      <c r="T70" s="65"/>
      <c r="U70" s="65"/>
      <c r="V70" s="64"/>
      <c r="W70" s="66"/>
      <c r="X70" s="67"/>
      <c r="Y70" s="65"/>
      <c r="Z70" s="68" t="str">
        <v>ZLP-SPECIAL</v>
      </c>
      <c r="AA70" s="68" t="e">
        <f>SUMIF('[1]MAIN BUILDING'!$H$6:$H$221,Z70,'[1]MAIN BUILDING'!$L$6:$L$221)</f>
        <v>#VALUE!</v>
      </c>
      <c r="AB70" s="67"/>
    </row>
    <row r="71" spans="12:28" ht="15.75" x14ac:dyDescent="0.25">
      <c r="Q71" s="63"/>
      <c r="R71" s="64"/>
      <c r="S71" s="64"/>
      <c r="T71" s="65"/>
      <c r="U71" s="65"/>
      <c r="V71" s="64"/>
      <c r="W71" s="66"/>
      <c r="X71" s="67"/>
      <c r="Y71" s="65"/>
      <c r="Z71" s="68" t="str">
        <v>ZLP12162</v>
      </c>
      <c r="AA71" s="68" t="e">
        <f>SUMIF('[1]MAIN BUILDING'!$H$6:$H$221,Z71,'[1]MAIN BUILDING'!$L$6:$L$221)</f>
        <v>#VALUE!</v>
      </c>
      <c r="AB71" s="67"/>
    </row>
  </sheetData>
  <mergeCells count="1">
    <mergeCell ref="R6:T6"/>
  </mergeCells>
  <conditionalFormatting sqref="L43:M65">
    <cfRule type="expression" dxfId="43" priority="1">
      <formula>AND($P43 &lt;&gt; "",$P43&lt;TODAY())</formula>
    </cfRule>
    <cfRule type="expression" dxfId="42" priority="2">
      <formula>$M43="Removed"</formula>
    </cfRule>
    <cfRule type="expression" dxfId="41" priority="3">
      <formula>$M43="3 Years"</formula>
    </cfRule>
    <cfRule type="expression" dxfId="40" priority="4">
      <formula>$M43="2 Years"</formula>
    </cfRule>
    <cfRule type="expression" dxfId="39" priority="5">
      <formula>$M43="18 Months"</formula>
    </cfRule>
    <cfRule type="expression" dxfId="38" priority="6">
      <formula>$M43="365 Days"</formula>
    </cfRule>
    <cfRule type="expression" dxfId="37" priority="7">
      <formula>$M43="180 Days"</formula>
    </cfRule>
    <cfRule type="expression" dxfId="36" priority="8">
      <formula>$M43="120 Days"</formula>
    </cfRule>
    <cfRule type="expression" dxfId="35" priority="9">
      <formula>$M43="90 Days"</formula>
    </cfRule>
    <cfRule type="expression" dxfId="34" priority="10">
      <formula>$M43="60 Days"</formula>
    </cfRule>
    <cfRule type="expression" dxfId="33" priority="11">
      <formula>$M43="30 Days"</formula>
    </cfRule>
  </conditionalFormatting>
  <conditionalFormatting sqref="R50:AB50 R51:W52 Z51:Z62 AA51:AA71 R53:V53 S54:U65 W54:W65 X63:Z65 R66:Z71">
    <cfRule type="expression" dxfId="32" priority="12">
      <formula>AND($Q50 &lt;&gt; "",$Q50&lt;TODAY())</formula>
    </cfRule>
    <cfRule type="expression" dxfId="31" priority="13">
      <formula>$M50="Removed"</formula>
    </cfRule>
    <cfRule type="expression" dxfId="30" priority="14">
      <formula>$M50="3 Years"</formula>
    </cfRule>
    <cfRule type="expression" dxfId="29" priority="15">
      <formula>$M50="2 Years"</formula>
    </cfRule>
    <cfRule type="expression" dxfId="28" priority="16">
      <formula>$M50="18 Months"</formula>
    </cfRule>
    <cfRule type="expression" dxfId="27" priority="17">
      <formula>$M50="365 Days"</formula>
    </cfRule>
    <cfRule type="expression" dxfId="26" priority="18">
      <formula>$M50="180 Days"</formula>
    </cfRule>
    <cfRule type="expression" dxfId="25" priority="19">
      <formula>$M50="120 Days"</formula>
    </cfRule>
    <cfRule type="expression" dxfId="24" priority="20">
      <formula>$M50="90 Days"</formula>
    </cfRule>
    <cfRule type="expression" dxfId="23" priority="21">
      <formula>$M50="60 Days"</formula>
    </cfRule>
    <cfRule type="expression" dxfId="22" priority="22">
      <formula>$M50="30 Days"</formula>
    </cfRule>
  </conditionalFormatting>
  <conditionalFormatting sqref="W54">
    <cfRule type="expression" dxfId="21" priority="23">
      <formula>AND($Q53 &lt;&gt; "",$Q53&lt;TODAY())</formula>
    </cfRule>
    <cfRule type="expression" dxfId="20" priority="24">
      <formula>$M53="Removed"</formula>
    </cfRule>
    <cfRule type="expression" dxfId="19" priority="25">
      <formula>$M53="3 Years"</formula>
    </cfRule>
    <cfRule type="expression" dxfId="18" priority="26">
      <formula>$M53="2 Years"</formula>
    </cfRule>
    <cfRule type="expression" dxfId="17" priority="27">
      <formula>$M53="18 Months"</formula>
    </cfRule>
    <cfRule type="expression" dxfId="16" priority="28">
      <formula>$M53="365 Days"</formula>
    </cfRule>
    <cfRule type="expression" dxfId="15" priority="29">
      <formula>$M53="180 Days"</formula>
    </cfRule>
    <cfRule type="expression" dxfId="14" priority="30">
      <formula>$M53="120 Days"</formula>
    </cfRule>
    <cfRule type="expression" dxfId="13" priority="31">
      <formula>$M53="90 Days"</formula>
    </cfRule>
    <cfRule type="expression" dxfId="12" priority="32">
      <formula>$M53="60 Days"</formula>
    </cfRule>
    <cfRule type="expression" dxfId="11" priority="33">
      <formula>$M53="30 Days"</formula>
    </cfRule>
  </conditionalFormatting>
  <conditionalFormatting sqref="W55:W65">
    <cfRule type="expression" dxfId="10" priority="34">
      <formula>AND(#REF! &lt;&gt; "",#REF!&lt;TODAY())</formula>
    </cfRule>
    <cfRule type="expression" dxfId="9" priority="35">
      <formula>#REF!="Removed"</formula>
    </cfRule>
    <cfRule type="expression" dxfId="8" priority="36">
      <formula>#REF!="3 Years"</formula>
    </cfRule>
    <cfRule type="expression" dxfId="7" priority="37">
      <formula>#REF!="2 Years"</formula>
    </cfRule>
    <cfRule type="expression" dxfId="6" priority="38">
      <formula>#REF!="18 Months"</formula>
    </cfRule>
    <cfRule type="expression" dxfId="5" priority="39">
      <formula>#REF!="365 Days"</formula>
    </cfRule>
    <cfRule type="expression" dxfId="4" priority="40">
      <formula>#REF!="180 Days"</formula>
    </cfRule>
    <cfRule type="expression" dxfId="3" priority="41">
      <formula>#REF!="120 Days"</formula>
    </cfRule>
    <cfRule type="expression" dxfId="2" priority="42">
      <formula>#REF!="90 Days"</formula>
    </cfRule>
    <cfRule type="expression" dxfId="1" priority="43">
      <formula>#REF!="60 Days"</formula>
    </cfRule>
    <cfRule type="expression" dxfId="0" priority="44">
      <formula>#REF!="30 Days"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F883-63A3-46DE-A83B-A7F181C86378}">
  <sheetPr>
    <tabColor theme="5" tint="-0.499984740745262"/>
  </sheetPr>
  <dimension ref="B1:T61"/>
  <sheetViews>
    <sheetView topLeftCell="A34" workbookViewId="0">
      <selection activeCell="C52" sqref="C52:E52"/>
    </sheetView>
  </sheetViews>
  <sheetFormatPr defaultRowHeight="15" x14ac:dyDescent="0.25"/>
  <cols>
    <col min="3" max="3" width="20.85546875" bestFit="1" customWidth="1"/>
    <col min="4" max="6" width="10.28515625" bestFit="1" customWidth="1"/>
  </cols>
  <sheetData>
    <row r="1" spans="2:20" x14ac:dyDescent="0.25">
      <c r="T1" t="s">
        <v>302</v>
      </c>
    </row>
    <row r="2" spans="2:20" x14ac:dyDescent="0.25">
      <c r="C2" s="8"/>
      <c r="D2" s="2"/>
      <c r="E2" s="4"/>
      <c r="F2" s="6"/>
      <c r="S2">
        <v>46143</v>
      </c>
    </row>
    <row r="3" spans="2:20" x14ac:dyDescent="0.25">
      <c r="C3" t="s">
        <v>1673</v>
      </c>
      <c r="D3" t="s">
        <v>1378</v>
      </c>
      <c r="E3" t="s">
        <v>1379</v>
      </c>
      <c r="F3" t="s">
        <v>1380</v>
      </c>
      <c r="T3" t="s">
        <v>112</v>
      </c>
    </row>
    <row r="4" spans="2:20" x14ac:dyDescent="0.25">
      <c r="T4" t="s">
        <v>303</v>
      </c>
    </row>
    <row r="7" spans="2:20" x14ac:dyDescent="0.25">
      <c r="B7" t="s">
        <v>1509</v>
      </c>
    </row>
    <row r="9" spans="2:20" x14ac:dyDescent="0.25">
      <c r="C9">
        <v>1</v>
      </c>
      <c r="M9">
        <v>2</v>
      </c>
    </row>
    <row r="10" spans="2:20" x14ac:dyDescent="0.25">
      <c r="B10" t="s">
        <v>63</v>
      </c>
      <c r="C10" t="s">
        <v>76</v>
      </c>
      <c r="D10" t="s">
        <v>79</v>
      </c>
      <c r="E10" t="s">
        <v>0</v>
      </c>
      <c r="I10" t="s">
        <v>114</v>
      </c>
      <c r="J10" t="s">
        <v>114</v>
      </c>
      <c r="L10" t="s">
        <v>63</v>
      </c>
      <c r="M10" t="s">
        <v>76</v>
      </c>
      <c r="N10" t="s">
        <v>79</v>
      </c>
      <c r="O10" t="s">
        <v>0</v>
      </c>
      <c r="S10" t="s">
        <v>114</v>
      </c>
      <c r="T10" t="s">
        <v>114</v>
      </c>
    </row>
    <row r="11" spans="2:20" x14ac:dyDescent="0.25">
      <c r="B11" t="s">
        <v>64</v>
      </c>
      <c r="C11" t="s">
        <v>86</v>
      </c>
      <c r="D11" t="s">
        <v>75</v>
      </c>
      <c r="E11">
        <v>0.34</v>
      </c>
      <c r="F11" t="s">
        <v>1378</v>
      </c>
      <c r="G11" t="s">
        <v>1379</v>
      </c>
      <c r="H11" t="s">
        <v>1380</v>
      </c>
      <c r="I11" t="s">
        <v>115</v>
      </c>
      <c r="J11" t="s">
        <v>65</v>
      </c>
      <c r="L11" t="s">
        <v>64</v>
      </c>
      <c r="M11" t="s">
        <v>86</v>
      </c>
      <c r="N11" t="s">
        <v>75</v>
      </c>
      <c r="O11">
        <v>0.34</v>
      </c>
      <c r="P11" t="s">
        <v>1378</v>
      </c>
      <c r="Q11" t="s">
        <v>1379</v>
      </c>
      <c r="R11" t="s">
        <v>1380</v>
      </c>
      <c r="S11" t="s">
        <v>115</v>
      </c>
      <c r="T11" t="s">
        <v>65</v>
      </c>
    </row>
    <row r="12" spans="2:20" x14ac:dyDescent="0.25">
      <c r="B12" t="s">
        <v>304</v>
      </c>
      <c r="C12" t="s">
        <v>10</v>
      </c>
      <c r="D12">
        <v>13.83</v>
      </c>
      <c r="E12" s="9">
        <f>D12*$E$11</f>
        <v>4.7022000000000004</v>
      </c>
      <c r="F12" s="3">
        <f>(E12/0.65)+0.3</f>
        <v>7.5341538461538464</v>
      </c>
      <c r="G12" s="5">
        <f>(E12/0.7)+0.3</f>
        <v>7.0174285714285718</v>
      </c>
      <c r="H12" s="7">
        <f>(E12/0.75)+0.3</f>
        <v>6.5696000000000003</v>
      </c>
      <c r="I12">
        <v>12</v>
      </c>
      <c r="J12" t="s">
        <v>305</v>
      </c>
      <c r="L12" t="s">
        <v>306</v>
      </c>
      <c r="M12" t="s">
        <v>118</v>
      </c>
      <c r="N12">
        <v>14.98</v>
      </c>
      <c r="O12" s="9">
        <f>N12*$O$11</f>
        <v>5.0932000000000004</v>
      </c>
      <c r="P12" s="3">
        <f>(O12/0.65)+0.3</f>
        <v>8.1356923076923078</v>
      </c>
      <c r="Q12" s="5">
        <f>(O12/0.7)+0.3</f>
        <v>7.5760000000000005</v>
      </c>
      <c r="R12" s="7">
        <f>(O12/0.75)+0.3</f>
        <v>7.090933333333334</v>
      </c>
      <c r="S12">
        <v>12</v>
      </c>
      <c r="T12" t="s">
        <v>307</v>
      </c>
    </row>
    <row r="13" spans="2:20" x14ac:dyDescent="0.25">
      <c r="B13" t="s">
        <v>308</v>
      </c>
      <c r="C13" t="s">
        <v>12</v>
      </c>
      <c r="D13">
        <v>14.55</v>
      </c>
      <c r="E13" s="9">
        <f t="shared" ref="E13:E46" si="0">D13*$E$11</f>
        <v>4.947000000000001</v>
      </c>
      <c r="F13" s="3">
        <f t="shared" ref="F13:F46" si="1">(E13/0.65)+0.3</f>
        <v>7.9107692307692314</v>
      </c>
      <c r="G13" s="5">
        <f t="shared" ref="G13:G46" si="2">(E13/0.7)+0.3</f>
        <v>7.3671428571428592</v>
      </c>
      <c r="H13" s="7">
        <f t="shared" ref="H13:H46" si="3">(E13/0.75)+0.3</f>
        <v>6.8960000000000008</v>
      </c>
      <c r="I13">
        <v>12</v>
      </c>
      <c r="J13" t="s">
        <v>5</v>
      </c>
      <c r="L13" t="s">
        <v>309</v>
      </c>
      <c r="M13" t="s">
        <v>121</v>
      </c>
      <c r="N13">
        <v>15.48</v>
      </c>
      <c r="O13" s="9">
        <f t="shared" ref="O13:O32" si="4">N13*$O$11</f>
        <v>5.2632000000000003</v>
      </c>
      <c r="P13" s="3">
        <f t="shared" ref="P13:P32" si="5">(O13/0.65)+0.3</f>
        <v>8.3972307692307702</v>
      </c>
      <c r="Q13" s="5">
        <f t="shared" ref="Q13:Q32" si="6">(O13/0.7)+0.3</f>
        <v>7.8188571428571434</v>
      </c>
      <c r="R13" s="7">
        <f t="shared" ref="R13:R32" si="7">(O13/0.75)+0.3</f>
        <v>7.3176000000000005</v>
      </c>
      <c r="S13">
        <v>12</v>
      </c>
      <c r="T13" t="s">
        <v>310</v>
      </c>
    </row>
    <row r="14" spans="2:20" x14ac:dyDescent="0.25">
      <c r="B14" t="s">
        <v>311</v>
      </c>
      <c r="C14" t="s">
        <v>13</v>
      </c>
      <c r="D14">
        <v>21.25</v>
      </c>
      <c r="E14" s="9">
        <f t="shared" si="0"/>
        <v>7.2250000000000005</v>
      </c>
      <c r="F14" s="3">
        <f t="shared" si="1"/>
        <v>11.415384615384616</v>
      </c>
      <c r="G14" s="5">
        <f t="shared" si="2"/>
        <v>10.621428571428574</v>
      </c>
      <c r="H14" s="7">
        <f t="shared" si="3"/>
        <v>9.9333333333333353</v>
      </c>
      <c r="I14">
        <v>12</v>
      </c>
      <c r="J14" t="s">
        <v>310</v>
      </c>
      <c r="L14" t="s">
        <v>312</v>
      </c>
      <c r="M14" t="s">
        <v>124</v>
      </c>
      <c r="N14">
        <v>15.88</v>
      </c>
      <c r="O14" s="9">
        <f t="shared" si="4"/>
        <v>5.3992000000000004</v>
      </c>
      <c r="P14" s="3">
        <f t="shared" si="5"/>
        <v>8.6064615384615397</v>
      </c>
      <c r="Q14" s="5">
        <f t="shared" si="6"/>
        <v>8.0131428571428582</v>
      </c>
      <c r="R14" s="7">
        <f t="shared" si="7"/>
        <v>7.4989333333333335</v>
      </c>
      <c r="S14">
        <v>12</v>
      </c>
      <c r="T14" t="s">
        <v>313</v>
      </c>
    </row>
    <row r="15" spans="2:20" x14ac:dyDescent="0.25">
      <c r="B15" t="s">
        <v>314</v>
      </c>
      <c r="C15" t="s">
        <v>15</v>
      </c>
      <c r="D15">
        <v>21.75</v>
      </c>
      <c r="E15" s="9">
        <f t="shared" si="0"/>
        <v>7.3950000000000005</v>
      </c>
      <c r="F15" s="3">
        <f t="shared" si="1"/>
        <v>11.676923076923078</v>
      </c>
      <c r="G15" s="5">
        <f t="shared" si="2"/>
        <v>10.864285714285716</v>
      </c>
      <c r="H15" s="7">
        <f t="shared" si="3"/>
        <v>10.160000000000002</v>
      </c>
      <c r="I15">
        <v>12</v>
      </c>
      <c r="J15" t="s">
        <v>307</v>
      </c>
      <c r="L15" t="s">
        <v>315</v>
      </c>
      <c r="M15" t="s">
        <v>41</v>
      </c>
      <c r="N15">
        <v>15.11</v>
      </c>
      <c r="O15" s="9">
        <f t="shared" si="4"/>
        <v>5.1374000000000004</v>
      </c>
      <c r="P15" s="3">
        <f t="shared" si="5"/>
        <v>8.2036923076923092</v>
      </c>
      <c r="Q15" s="5">
        <f t="shared" si="6"/>
        <v>7.6391428571428577</v>
      </c>
      <c r="R15" s="7">
        <f t="shared" si="7"/>
        <v>7.149866666666667</v>
      </c>
      <c r="S15">
        <v>12</v>
      </c>
      <c r="T15" t="s">
        <v>56</v>
      </c>
    </row>
    <row r="16" spans="2:20" x14ac:dyDescent="0.25">
      <c r="B16" t="s">
        <v>316</v>
      </c>
      <c r="C16" t="s">
        <v>16</v>
      </c>
      <c r="D16">
        <v>15.71</v>
      </c>
      <c r="E16" s="9">
        <f t="shared" si="0"/>
        <v>5.341400000000001</v>
      </c>
      <c r="F16" s="3">
        <f t="shared" si="1"/>
        <v>8.5175384615384644</v>
      </c>
      <c r="G16" s="5">
        <f t="shared" si="2"/>
        <v>7.9305714285714304</v>
      </c>
      <c r="H16" s="7">
        <f t="shared" si="3"/>
        <v>7.4218666666666682</v>
      </c>
      <c r="I16">
        <v>12</v>
      </c>
      <c r="J16" t="s">
        <v>3</v>
      </c>
      <c r="L16" t="s">
        <v>317</v>
      </c>
      <c r="M16" t="s">
        <v>42</v>
      </c>
      <c r="N16">
        <v>15.48</v>
      </c>
      <c r="O16" s="9">
        <f t="shared" si="4"/>
        <v>5.2632000000000003</v>
      </c>
      <c r="P16" s="3">
        <f t="shared" si="5"/>
        <v>8.3972307692307702</v>
      </c>
      <c r="Q16" s="5">
        <f t="shared" si="6"/>
        <v>7.8188571428571434</v>
      </c>
      <c r="R16" s="7">
        <f t="shared" si="7"/>
        <v>7.3176000000000005</v>
      </c>
      <c r="S16">
        <v>12</v>
      </c>
      <c r="T16" t="s">
        <v>56</v>
      </c>
    </row>
    <row r="17" spans="2:20" x14ac:dyDescent="0.25">
      <c r="B17" t="s">
        <v>318</v>
      </c>
      <c r="C17" t="s">
        <v>17</v>
      </c>
      <c r="D17">
        <v>14.98</v>
      </c>
      <c r="E17" s="9">
        <f t="shared" si="0"/>
        <v>5.0932000000000004</v>
      </c>
      <c r="F17" s="3">
        <f t="shared" si="1"/>
        <v>8.1356923076923078</v>
      </c>
      <c r="G17" s="5">
        <f t="shared" si="2"/>
        <v>7.5760000000000005</v>
      </c>
      <c r="H17" s="7">
        <f t="shared" si="3"/>
        <v>7.090933333333334</v>
      </c>
      <c r="I17">
        <v>12</v>
      </c>
      <c r="J17" t="s">
        <v>9</v>
      </c>
      <c r="L17" t="s">
        <v>319</v>
      </c>
      <c r="M17" t="s">
        <v>43</v>
      </c>
      <c r="N17">
        <v>16.809999999999999</v>
      </c>
      <c r="O17" s="9">
        <f t="shared" si="4"/>
        <v>5.7153999999999998</v>
      </c>
      <c r="P17" s="3">
        <f t="shared" si="5"/>
        <v>9.0929230769230767</v>
      </c>
      <c r="Q17" s="5">
        <f t="shared" si="6"/>
        <v>8.4648571428571433</v>
      </c>
      <c r="R17" s="7">
        <f t="shared" si="7"/>
        <v>7.9205333333333332</v>
      </c>
      <c r="S17">
        <v>12</v>
      </c>
      <c r="T17" t="s">
        <v>88</v>
      </c>
    </row>
    <row r="18" spans="2:20" x14ac:dyDescent="0.25">
      <c r="B18" t="s">
        <v>320</v>
      </c>
      <c r="C18" t="s">
        <v>19</v>
      </c>
      <c r="D18">
        <v>13.65</v>
      </c>
      <c r="E18" s="9">
        <f t="shared" si="0"/>
        <v>4.641</v>
      </c>
      <c r="F18" s="3">
        <f t="shared" si="1"/>
        <v>7.4399999999999995</v>
      </c>
      <c r="G18" s="5">
        <f t="shared" si="2"/>
        <v>6.9300000000000006</v>
      </c>
      <c r="H18" s="7">
        <f t="shared" si="3"/>
        <v>6.4879999999999995</v>
      </c>
      <c r="I18">
        <v>12</v>
      </c>
      <c r="J18" t="s">
        <v>321</v>
      </c>
      <c r="L18" t="s">
        <v>322</v>
      </c>
      <c r="M18" t="s">
        <v>44</v>
      </c>
      <c r="N18">
        <v>15.98</v>
      </c>
      <c r="O18" s="9">
        <f t="shared" si="4"/>
        <v>5.4332000000000003</v>
      </c>
      <c r="P18" s="3">
        <f t="shared" si="5"/>
        <v>8.6587692307692308</v>
      </c>
      <c r="Q18" s="5">
        <f t="shared" si="6"/>
        <v>8.0617142857142863</v>
      </c>
      <c r="R18" s="7">
        <f t="shared" si="7"/>
        <v>7.5442666666666671</v>
      </c>
      <c r="S18">
        <v>12</v>
      </c>
      <c r="T18" t="s">
        <v>56</v>
      </c>
    </row>
    <row r="19" spans="2:20" x14ac:dyDescent="0.25">
      <c r="B19" t="s">
        <v>323</v>
      </c>
      <c r="C19" t="s">
        <v>21</v>
      </c>
      <c r="D19">
        <v>14.62</v>
      </c>
      <c r="E19" s="9">
        <f t="shared" si="0"/>
        <v>4.9707999999999997</v>
      </c>
      <c r="F19" s="3">
        <f t="shared" si="1"/>
        <v>7.9473846153846148</v>
      </c>
      <c r="G19" s="5">
        <f t="shared" si="2"/>
        <v>7.4011428571428572</v>
      </c>
      <c r="H19" s="7">
        <f t="shared" si="3"/>
        <v>6.9277333333333324</v>
      </c>
      <c r="I19">
        <v>12</v>
      </c>
      <c r="J19" t="s">
        <v>321</v>
      </c>
      <c r="L19" t="s">
        <v>324</v>
      </c>
      <c r="M19" t="s">
        <v>45</v>
      </c>
      <c r="N19">
        <v>20.46</v>
      </c>
      <c r="O19" s="9">
        <f t="shared" si="4"/>
        <v>6.9564000000000004</v>
      </c>
      <c r="P19" s="3">
        <f t="shared" si="5"/>
        <v>11.002153846153847</v>
      </c>
      <c r="Q19" s="5">
        <f t="shared" si="6"/>
        <v>10.237714285714288</v>
      </c>
      <c r="R19" s="7">
        <f t="shared" si="7"/>
        <v>9.5752000000000006</v>
      </c>
      <c r="S19">
        <v>12</v>
      </c>
      <c r="T19" t="s">
        <v>56</v>
      </c>
    </row>
    <row r="20" spans="2:20" x14ac:dyDescent="0.25">
      <c r="B20" t="s">
        <v>325</v>
      </c>
      <c r="C20" t="s">
        <v>23</v>
      </c>
      <c r="D20">
        <v>21.75</v>
      </c>
      <c r="E20" s="9">
        <f t="shared" si="0"/>
        <v>7.3950000000000005</v>
      </c>
      <c r="F20" s="3">
        <f t="shared" si="1"/>
        <v>11.676923076923078</v>
      </c>
      <c r="G20" s="5">
        <f t="shared" si="2"/>
        <v>10.864285714285716</v>
      </c>
      <c r="H20" s="7">
        <f t="shared" si="3"/>
        <v>10.160000000000002</v>
      </c>
      <c r="I20">
        <v>12</v>
      </c>
      <c r="J20" t="s">
        <v>307</v>
      </c>
      <c r="L20" t="s">
        <v>326</v>
      </c>
      <c r="M20" t="s">
        <v>46</v>
      </c>
      <c r="N20">
        <v>15.32</v>
      </c>
      <c r="O20" s="9">
        <f t="shared" si="4"/>
        <v>5.2088000000000001</v>
      </c>
      <c r="P20" s="3">
        <f t="shared" si="5"/>
        <v>8.313538461538462</v>
      </c>
      <c r="Q20" s="5">
        <f t="shared" si="6"/>
        <v>7.741142857142858</v>
      </c>
      <c r="R20" s="7">
        <f t="shared" si="7"/>
        <v>7.2450666666666663</v>
      </c>
      <c r="S20">
        <v>12</v>
      </c>
      <c r="T20" t="s">
        <v>88</v>
      </c>
    </row>
    <row r="21" spans="2:20" x14ac:dyDescent="0.25">
      <c r="B21" t="s">
        <v>327</v>
      </c>
      <c r="C21" t="s">
        <v>11</v>
      </c>
      <c r="D21">
        <v>15.6</v>
      </c>
      <c r="E21" s="9">
        <f t="shared" si="0"/>
        <v>5.3040000000000003</v>
      </c>
      <c r="F21" s="3">
        <f t="shared" si="1"/>
        <v>8.4600000000000009</v>
      </c>
      <c r="G21" s="5">
        <f t="shared" si="2"/>
        <v>7.8771428571428581</v>
      </c>
      <c r="H21" s="7">
        <f t="shared" si="3"/>
        <v>7.3719999999999999</v>
      </c>
      <c r="I21">
        <v>12</v>
      </c>
      <c r="J21" t="s">
        <v>328</v>
      </c>
      <c r="L21" t="s">
        <v>329</v>
      </c>
      <c r="M21" t="s">
        <v>47</v>
      </c>
      <c r="N21">
        <v>19.7</v>
      </c>
      <c r="O21" s="9">
        <f t="shared" si="4"/>
        <v>6.6980000000000004</v>
      </c>
      <c r="P21" s="3">
        <f t="shared" si="5"/>
        <v>10.604615384615386</v>
      </c>
      <c r="Q21" s="5">
        <f t="shared" si="6"/>
        <v>9.8685714285714301</v>
      </c>
      <c r="R21" s="7">
        <f t="shared" si="7"/>
        <v>9.2306666666666679</v>
      </c>
      <c r="S21">
        <v>12</v>
      </c>
      <c r="T21" t="s">
        <v>89</v>
      </c>
    </row>
    <row r="22" spans="2:20" x14ac:dyDescent="0.25">
      <c r="B22" t="s">
        <v>330</v>
      </c>
      <c r="C22" t="s">
        <v>25</v>
      </c>
      <c r="D22">
        <v>13.96</v>
      </c>
      <c r="E22" s="9">
        <f t="shared" si="0"/>
        <v>4.7464000000000004</v>
      </c>
      <c r="F22" s="3">
        <f t="shared" si="1"/>
        <v>7.602153846153846</v>
      </c>
      <c r="G22" s="5">
        <f t="shared" si="2"/>
        <v>7.080571428571429</v>
      </c>
      <c r="H22" s="7">
        <f t="shared" si="3"/>
        <v>6.6285333333333334</v>
      </c>
      <c r="I22">
        <v>12</v>
      </c>
      <c r="J22" t="s">
        <v>9</v>
      </c>
      <c r="L22" t="s">
        <v>331</v>
      </c>
      <c r="M22" t="s">
        <v>48</v>
      </c>
      <c r="N22">
        <v>17.73</v>
      </c>
      <c r="O22" s="9">
        <f t="shared" si="4"/>
        <v>6.0282000000000009</v>
      </c>
      <c r="P22" s="3">
        <f t="shared" si="5"/>
        <v>9.5741538461538482</v>
      </c>
      <c r="Q22" s="5">
        <f t="shared" si="6"/>
        <v>8.9117142857142877</v>
      </c>
      <c r="R22" s="7">
        <f t="shared" si="7"/>
        <v>8.3376000000000019</v>
      </c>
      <c r="S22">
        <v>12</v>
      </c>
      <c r="T22" t="s">
        <v>67</v>
      </c>
    </row>
    <row r="23" spans="2:20" x14ac:dyDescent="0.25">
      <c r="B23" t="s">
        <v>332</v>
      </c>
      <c r="C23" t="s">
        <v>14</v>
      </c>
      <c r="D23">
        <v>22.51</v>
      </c>
      <c r="E23" s="9">
        <f t="shared" si="0"/>
        <v>7.6534000000000013</v>
      </c>
      <c r="F23" s="3">
        <f t="shared" si="1"/>
        <v>12.074461538461541</v>
      </c>
      <c r="G23" s="5">
        <f t="shared" si="2"/>
        <v>11.233428571428576</v>
      </c>
      <c r="H23" s="7">
        <f t="shared" si="3"/>
        <v>10.504533333333336</v>
      </c>
      <c r="I23">
        <v>12</v>
      </c>
      <c r="J23" t="s">
        <v>321</v>
      </c>
      <c r="L23" t="s">
        <v>333</v>
      </c>
      <c r="M23" t="s">
        <v>143</v>
      </c>
      <c r="N23">
        <v>24.82</v>
      </c>
      <c r="O23" s="9">
        <f t="shared" si="4"/>
        <v>8.4388000000000005</v>
      </c>
      <c r="P23" s="3">
        <f t="shared" si="5"/>
        <v>13.282769230769231</v>
      </c>
      <c r="Q23" s="5">
        <f t="shared" si="6"/>
        <v>12.355428571428574</v>
      </c>
      <c r="R23" s="7">
        <f t="shared" si="7"/>
        <v>11.551733333333335</v>
      </c>
      <c r="S23">
        <v>12</v>
      </c>
      <c r="T23" t="s">
        <v>88</v>
      </c>
    </row>
    <row r="24" spans="2:20" x14ac:dyDescent="0.25">
      <c r="B24" t="s">
        <v>334</v>
      </c>
      <c r="C24" t="s">
        <v>27</v>
      </c>
      <c r="D24">
        <v>14.98</v>
      </c>
      <c r="E24" s="9">
        <f t="shared" si="0"/>
        <v>5.0932000000000004</v>
      </c>
      <c r="F24" s="3">
        <f t="shared" si="1"/>
        <v>8.1356923076923078</v>
      </c>
      <c r="G24" s="5">
        <f t="shared" si="2"/>
        <v>7.5760000000000005</v>
      </c>
      <c r="H24" s="7">
        <f t="shared" si="3"/>
        <v>7.090933333333334</v>
      </c>
      <c r="I24">
        <v>12</v>
      </c>
      <c r="J24" t="s">
        <v>307</v>
      </c>
      <c r="L24" t="s">
        <v>335</v>
      </c>
      <c r="M24" t="s">
        <v>146</v>
      </c>
      <c r="N24">
        <v>21.02</v>
      </c>
      <c r="O24" s="9">
        <f t="shared" si="4"/>
        <v>7.1468000000000007</v>
      </c>
      <c r="P24" s="3">
        <f t="shared" si="5"/>
        <v>11.295076923076925</v>
      </c>
      <c r="Q24" s="5">
        <f t="shared" si="6"/>
        <v>10.509714285714288</v>
      </c>
      <c r="R24" s="7">
        <f t="shared" si="7"/>
        <v>9.8290666666666677</v>
      </c>
      <c r="S24">
        <v>12</v>
      </c>
      <c r="T24" t="s">
        <v>88</v>
      </c>
    </row>
    <row r="25" spans="2:20" x14ac:dyDescent="0.25">
      <c r="B25" t="s">
        <v>336</v>
      </c>
      <c r="C25" t="s">
        <v>29</v>
      </c>
      <c r="D25">
        <v>23.48</v>
      </c>
      <c r="E25" s="9">
        <f t="shared" si="0"/>
        <v>7.983200000000001</v>
      </c>
      <c r="F25" s="3">
        <f t="shared" si="1"/>
        <v>12.581846153846156</v>
      </c>
      <c r="G25" s="5">
        <f t="shared" si="2"/>
        <v>11.704571428571432</v>
      </c>
      <c r="H25" s="7">
        <f t="shared" si="3"/>
        <v>10.944266666666669</v>
      </c>
      <c r="I25">
        <v>12</v>
      </c>
      <c r="J25" t="s">
        <v>313</v>
      </c>
      <c r="L25" t="s">
        <v>337</v>
      </c>
      <c r="M25" t="s">
        <v>49</v>
      </c>
      <c r="N25">
        <v>20.420000000000002</v>
      </c>
      <c r="O25" s="9">
        <f t="shared" si="4"/>
        <v>6.942800000000001</v>
      </c>
      <c r="P25" s="3">
        <f t="shared" si="5"/>
        <v>10.981230769230772</v>
      </c>
      <c r="Q25" s="5">
        <f t="shared" si="6"/>
        <v>10.218285714285717</v>
      </c>
      <c r="R25" s="7">
        <f t="shared" si="7"/>
        <v>9.5570666666666693</v>
      </c>
      <c r="S25">
        <v>12</v>
      </c>
      <c r="T25" t="s">
        <v>67</v>
      </c>
    </row>
    <row r="26" spans="2:20" x14ac:dyDescent="0.25">
      <c r="B26" t="s">
        <v>338</v>
      </c>
      <c r="C26" t="s">
        <v>31</v>
      </c>
      <c r="D26">
        <v>13.81</v>
      </c>
      <c r="E26" s="9">
        <f t="shared" si="0"/>
        <v>4.6954000000000002</v>
      </c>
      <c r="F26" s="3">
        <f t="shared" si="1"/>
        <v>7.5236923076923077</v>
      </c>
      <c r="G26" s="5">
        <f t="shared" si="2"/>
        <v>7.007714285714286</v>
      </c>
      <c r="H26" s="7">
        <f t="shared" si="3"/>
        <v>6.5605333333333338</v>
      </c>
      <c r="I26">
        <v>12</v>
      </c>
      <c r="J26" t="s">
        <v>321</v>
      </c>
      <c r="L26" t="s">
        <v>339</v>
      </c>
      <c r="M26" t="s">
        <v>151</v>
      </c>
      <c r="N26">
        <v>21.62</v>
      </c>
      <c r="O26" s="9">
        <f t="shared" si="4"/>
        <v>7.3508000000000004</v>
      </c>
      <c r="P26" s="3">
        <f t="shared" si="5"/>
        <v>11.608923076923078</v>
      </c>
      <c r="Q26" s="5">
        <f t="shared" si="6"/>
        <v>10.801142857142858</v>
      </c>
      <c r="R26" s="7">
        <f t="shared" si="7"/>
        <v>10.101066666666668</v>
      </c>
      <c r="S26">
        <v>12</v>
      </c>
      <c r="T26" t="s">
        <v>92</v>
      </c>
    </row>
    <row r="27" spans="2:20" x14ac:dyDescent="0.25">
      <c r="B27" t="s">
        <v>340</v>
      </c>
      <c r="C27" t="s">
        <v>341</v>
      </c>
      <c r="D27">
        <v>23.48</v>
      </c>
      <c r="E27" s="9">
        <f t="shared" si="0"/>
        <v>7.983200000000001</v>
      </c>
      <c r="F27" s="3">
        <f t="shared" si="1"/>
        <v>12.581846153846156</v>
      </c>
      <c r="G27" s="5">
        <f t="shared" si="2"/>
        <v>11.704571428571432</v>
      </c>
      <c r="H27" s="7">
        <f t="shared" si="3"/>
        <v>10.944266666666669</v>
      </c>
      <c r="I27">
        <v>12</v>
      </c>
      <c r="J27" t="s">
        <v>54</v>
      </c>
      <c r="L27" t="s">
        <v>342</v>
      </c>
      <c r="M27" t="s">
        <v>50</v>
      </c>
      <c r="N27">
        <v>18.059999999999999</v>
      </c>
      <c r="O27" s="9">
        <f t="shared" si="4"/>
        <v>6.1403999999999996</v>
      </c>
      <c r="P27" s="3">
        <f t="shared" si="5"/>
        <v>9.74676923076923</v>
      </c>
      <c r="Q27" s="5">
        <f t="shared" si="6"/>
        <v>9.072000000000001</v>
      </c>
      <c r="R27" s="7">
        <f t="shared" si="7"/>
        <v>8.4871999999999996</v>
      </c>
      <c r="S27">
        <v>12</v>
      </c>
      <c r="T27" t="s">
        <v>67</v>
      </c>
    </row>
    <row r="28" spans="2:20" x14ac:dyDescent="0.25">
      <c r="B28" t="s">
        <v>343</v>
      </c>
      <c r="C28" t="s">
        <v>32</v>
      </c>
      <c r="D28">
        <v>20.39</v>
      </c>
      <c r="E28" s="9">
        <f t="shared" si="0"/>
        <v>6.9326000000000008</v>
      </c>
      <c r="F28" s="3">
        <f t="shared" si="1"/>
        <v>10.965538461538463</v>
      </c>
      <c r="G28" s="5">
        <f t="shared" si="2"/>
        <v>10.203714285714288</v>
      </c>
      <c r="H28" s="7">
        <f t="shared" si="3"/>
        <v>9.543466666666669</v>
      </c>
      <c r="I28">
        <v>12</v>
      </c>
      <c r="J28" t="s">
        <v>310</v>
      </c>
      <c r="L28" t="s">
        <v>344</v>
      </c>
      <c r="M28" t="s">
        <v>51</v>
      </c>
      <c r="N28">
        <v>21.25</v>
      </c>
      <c r="O28" s="9">
        <f t="shared" si="4"/>
        <v>7.2250000000000005</v>
      </c>
      <c r="P28" s="3">
        <f t="shared" si="5"/>
        <v>11.415384615384616</v>
      </c>
      <c r="Q28" s="5">
        <f t="shared" si="6"/>
        <v>10.621428571428574</v>
      </c>
      <c r="R28" s="7">
        <f t="shared" si="7"/>
        <v>9.9333333333333353</v>
      </c>
      <c r="S28">
        <v>12</v>
      </c>
      <c r="T28" t="s">
        <v>80</v>
      </c>
    </row>
    <row r="29" spans="2:20" x14ac:dyDescent="0.25">
      <c r="B29" t="s">
        <v>345</v>
      </c>
      <c r="C29" t="s">
        <v>2</v>
      </c>
      <c r="D29">
        <v>13.33</v>
      </c>
      <c r="E29" s="9">
        <f t="shared" si="0"/>
        <v>4.5322000000000005</v>
      </c>
      <c r="F29" s="3">
        <f t="shared" si="1"/>
        <v>7.2726153846153849</v>
      </c>
      <c r="G29" s="5">
        <f t="shared" si="2"/>
        <v>6.7745714285714298</v>
      </c>
      <c r="H29" s="7">
        <f t="shared" si="3"/>
        <v>6.3429333333333338</v>
      </c>
      <c r="I29">
        <v>12</v>
      </c>
      <c r="J29" t="s">
        <v>321</v>
      </c>
      <c r="L29" t="s">
        <v>346</v>
      </c>
      <c r="M29" t="s">
        <v>52</v>
      </c>
      <c r="N29">
        <v>20.84</v>
      </c>
      <c r="O29" s="9">
        <f t="shared" si="4"/>
        <v>7.0856000000000003</v>
      </c>
      <c r="P29" s="3">
        <f t="shared" si="5"/>
        <v>11.200923076923077</v>
      </c>
      <c r="Q29" s="5">
        <f t="shared" si="6"/>
        <v>10.422285714285715</v>
      </c>
      <c r="R29" s="7">
        <f t="shared" si="7"/>
        <v>9.7474666666666678</v>
      </c>
      <c r="S29">
        <v>12</v>
      </c>
      <c r="T29" t="s">
        <v>347</v>
      </c>
    </row>
    <row r="30" spans="2:20" x14ac:dyDescent="0.25">
      <c r="B30" t="s">
        <v>348</v>
      </c>
      <c r="C30" t="s">
        <v>18</v>
      </c>
      <c r="D30">
        <v>19.100000000000001</v>
      </c>
      <c r="E30" s="9">
        <f t="shared" si="0"/>
        <v>6.4940000000000007</v>
      </c>
      <c r="F30" s="3">
        <f t="shared" si="1"/>
        <v>10.290769230769232</v>
      </c>
      <c r="G30" s="5">
        <f t="shared" si="2"/>
        <v>9.5771428571428601</v>
      </c>
      <c r="H30" s="7">
        <f t="shared" si="3"/>
        <v>8.9586666666666677</v>
      </c>
      <c r="I30">
        <v>12</v>
      </c>
      <c r="J30" t="s">
        <v>307</v>
      </c>
      <c r="L30" t="s">
        <v>349</v>
      </c>
      <c r="M30" t="s">
        <v>162</v>
      </c>
      <c r="N30">
        <v>30.47</v>
      </c>
      <c r="O30" s="9">
        <f t="shared" si="4"/>
        <v>10.3598</v>
      </c>
      <c r="P30" s="3">
        <f t="shared" si="5"/>
        <v>16.238153846153846</v>
      </c>
      <c r="Q30" s="5">
        <f t="shared" si="6"/>
        <v>15.099714285714287</v>
      </c>
      <c r="R30" s="7">
        <f t="shared" si="7"/>
        <v>14.113066666666667</v>
      </c>
      <c r="S30">
        <v>12</v>
      </c>
      <c r="T30" t="s">
        <v>350</v>
      </c>
    </row>
    <row r="31" spans="2:20" x14ac:dyDescent="0.25">
      <c r="B31" t="s">
        <v>351</v>
      </c>
      <c r="C31" t="s">
        <v>4</v>
      </c>
      <c r="D31">
        <v>14.74</v>
      </c>
      <c r="E31" s="9">
        <f t="shared" si="0"/>
        <v>5.0116000000000005</v>
      </c>
      <c r="F31" s="3">
        <f t="shared" si="1"/>
        <v>8.0101538461538464</v>
      </c>
      <c r="G31" s="5">
        <f t="shared" si="2"/>
        <v>7.4594285714285729</v>
      </c>
      <c r="H31" s="7">
        <f t="shared" si="3"/>
        <v>6.9821333333333335</v>
      </c>
      <c r="I31">
        <v>12</v>
      </c>
      <c r="J31" t="s">
        <v>307</v>
      </c>
      <c r="L31" t="s">
        <v>352</v>
      </c>
      <c r="M31" t="s">
        <v>53</v>
      </c>
      <c r="N31">
        <v>23.61</v>
      </c>
      <c r="O31" s="9">
        <f t="shared" si="4"/>
        <v>8.0274000000000001</v>
      </c>
      <c r="P31" s="3">
        <f t="shared" si="5"/>
        <v>12.649846153846154</v>
      </c>
      <c r="Q31" s="5">
        <f t="shared" si="6"/>
        <v>11.767714285714288</v>
      </c>
      <c r="R31" s="7">
        <f t="shared" si="7"/>
        <v>11.003200000000001</v>
      </c>
      <c r="S31">
        <v>12</v>
      </c>
      <c r="T31" t="s">
        <v>350</v>
      </c>
    </row>
    <row r="32" spans="2:20" x14ac:dyDescent="0.25">
      <c r="B32" t="s">
        <v>353</v>
      </c>
      <c r="C32" t="s">
        <v>20</v>
      </c>
      <c r="D32">
        <v>23.48</v>
      </c>
      <c r="E32" s="9">
        <f t="shared" si="0"/>
        <v>7.983200000000001</v>
      </c>
      <c r="F32" s="3">
        <f t="shared" si="1"/>
        <v>12.581846153846156</v>
      </c>
      <c r="G32" s="5">
        <f t="shared" si="2"/>
        <v>11.704571428571432</v>
      </c>
      <c r="H32" s="7">
        <f t="shared" si="3"/>
        <v>10.944266666666669</v>
      </c>
      <c r="I32">
        <v>12</v>
      </c>
      <c r="J32" t="s">
        <v>354</v>
      </c>
      <c r="L32" t="s">
        <v>355</v>
      </c>
      <c r="M32" t="s">
        <v>55</v>
      </c>
      <c r="N32">
        <v>27.39</v>
      </c>
      <c r="O32" s="9">
        <f t="shared" si="4"/>
        <v>9.3126000000000015</v>
      </c>
      <c r="P32" s="3">
        <f t="shared" si="5"/>
        <v>14.627076923076926</v>
      </c>
      <c r="Q32" s="5">
        <f t="shared" si="6"/>
        <v>13.60371428571429</v>
      </c>
      <c r="R32" s="7">
        <f t="shared" si="7"/>
        <v>12.716800000000003</v>
      </c>
      <c r="S32">
        <v>12</v>
      </c>
      <c r="T32" t="s">
        <v>81</v>
      </c>
    </row>
    <row r="33" spans="2:20" x14ac:dyDescent="0.25">
      <c r="B33" t="s">
        <v>356</v>
      </c>
      <c r="C33" t="s">
        <v>22</v>
      </c>
      <c r="D33">
        <v>21.75</v>
      </c>
      <c r="E33" s="9">
        <f t="shared" si="0"/>
        <v>7.3950000000000005</v>
      </c>
      <c r="F33" s="3">
        <f t="shared" si="1"/>
        <v>11.676923076923078</v>
      </c>
      <c r="G33" s="5">
        <f t="shared" si="2"/>
        <v>10.864285714285716</v>
      </c>
      <c r="H33" s="7">
        <f t="shared" si="3"/>
        <v>10.160000000000002</v>
      </c>
      <c r="I33">
        <v>12</v>
      </c>
      <c r="J33" t="s">
        <v>321</v>
      </c>
    </row>
    <row r="34" spans="2:20" x14ac:dyDescent="0.25">
      <c r="B34" t="s">
        <v>357</v>
      </c>
      <c r="C34" t="s">
        <v>24</v>
      </c>
      <c r="D34">
        <v>20.39</v>
      </c>
      <c r="E34" s="9">
        <f t="shared" si="0"/>
        <v>6.9326000000000008</v>
      </c>
      <c r="F34" s="3">
        <f t="shared" si="1"/>
        <v>10.965538461538463</v>
      </c>
      <c r="G34" s="5">
        <f t="shared" si="2"/>
        <v>10.203714285714288</v>
      </c>
      <c r="H34" s="7">
        <f t="shared" si="3"/>
        <v>9.543466666666669</v>
      </c>
      <c r="I34">
        <v>12</v>
      </c>
      <c r="J34" t="s">
        <v>307</v>
      </c>
      <c r="L34" t="s">
        <v>358</v>
      </c>
    </row>
    <row r="35" spans="2:20" x14ac:dyDescent="0.25">
      <c r="B35" t="s">
        <v>359</v>
      </c>
      <c r="C35" t="s">
        <v>26</v>
      </c>
      <c r="D35">
        <v>17.13</v>
      </c>
      <c r="E35" s="9">
        <f t="shared" si="0"/>
        <v>5.8242000000000003</v>
      </c>
      <c r="F35" s="3">
        <f t="shared" si="1"/>
        <v>9.260307692307693</v>
      </c>
      <c r="G35" s="5">
        <f t="shared" si="2"/>
        <v>8.6202857142857159</v>
      </c>
      <c r="H35" s="7">
        <f t="shared" si="3"/>
        <v>8.0655999999999999</v>
      </c>
      <c r="I35">
        <v>12</v>
      </c>
      <c r="J35" t="s">
        <v>313</v>
      </c>
      <c r="L35" t="s">
        <v>63</v>
      </c>
      <c r="M35" t="s">
        <v>360</v>
      </c>
      <c r="N35" t="s">
        <v>79</v>
      </c>
      <c r="O35" t="s">
        <v>0</v>
      </c>
      <c r="S35" t="s">
        <v>114</v>
      </c>
      <c r="T35" t="s">
        <v>114</v>
      </c>
    </row>
    <row r="36" spans="2:20" x14ac:dyDescent="0.25">
      <c r="B36" t="s">
        <v>361</v>
      </c>
      <c r="C36" t="s">
        <v>34</v>
      </c>
      <c r="D36">
        <v>19.100000000000001</v>
      </c>
      <c r="E36" s="9">
        <f t="shared" si="0"/>
        <v>6.4940000000000007</v>
      </c>
      <c r="F36" s="3">
        <f t="shared" si="1"/>
        <v>10.290769230769232</v>
      </c>
      <c r="G36" s="5">
        <f t="shared" si="2"/>
        <v>9.5771428571428601</v>
      </c>
      <c r="H36" s="7">
        <f t="shared" si="3"/>
        <v>8.9586666666666677</v>
      </c>
      <c r="I36">
        <v>12</v>
      </c>
      <c r="J36" t="s">
        <v>59</v>
      </c>
      <c r="L36" t="s">
        <v>64</v>
      </c>
      <c r="M36" t="s">
        <v>86</v>
      </c>
      <c r="N36" t="s">
        <v>75</v>
      </c>
      <c r="O36">
        <v>0.51100000000000001</v>
      </c>
      <c r="S36" t="s">
        <v>115</v>
      </c>
      <c r="T36" t="s">
        <v>65</v>
      </c>
    </row>
    <row r="37" spans="2:20" x14ac:dyDescent="0.25">
      <c r="B37" t="s">
        <v>362</v>
      </c>
      <c r="C37" t="s">
        <v>28</v>
      </c>
      <c r="D37">
        <v>26</v>
      </c>
      <c r="E37" s="9">
        <f t="shared" si="0"/>
        <v>8.84</v>
      </c>
      <c r="F37" s="3">
        <f t="shared" si="1"/>
        <v>13.9</v>
      </c>
      <c r="G37" s="5">
        <f t="shared" si="2"/>
        <v>12.928571428571431</v>
      </c>
      <c r="H37" s="7">
        <f t="shared" si="3"/>
        <v>12.086666666666668</v>
      </c>
      <c r="I37">
        <v>12</v>
      </c>
      <c r="J37" t="s">
        <v>363</v>
      </c>
      <c r="L37" t="s">
        <v>364</v>
      </c>
      <c r="M37" t="s">
        <v>365</v>
      </c>
      <c r="N37">
        <v>41.71</v>
      </c>
      <c r="O37" s="9">
        <f>N37*$O$36</f>
        <v>21.31381</v>
      </c>
      <c r="P37" s="3">
        <f>(O37/0.65)+0.3</f>
        <v>33.09047692307692</v>
      </c>
      <c r="Q37" s="5">
        <f>(O37/0.7)+0.3</f>
        <v>30.748300000000004</v>
      </c>
      <c r="R37" s="7">
        <f>(O37/0.75)+0.3</f>
        <v>28.718413333333334</v>
      </c>
      <c r="S37">
        <v>6</v>
      </c>
      <c r="T37" t="s">
        <v>67</v>
      </c>
    </row>
    <row r="38" spans="2:20" x14ac:dyDescent="0.25">
      <c r="B38" t="s">
        <v>366</v>
      </c>
      <c r="C38" t="s">
        <v>7</v>
      </c>
      <c r="D38">
        <v>14.9</v>
      </c>
      <c r="E38" s="9">
        <f t="shared" si="0"/>
        <v>5.0660000000000007</v>
      </c>
      <c r="F38" s="3">
        <f t="shared" si="1"/>
        <v>8.0938461538461546</v>
      </c>
      <c r="G38" s="5">
        <f t="shared" si="2"/>
        <v>7.5371428571428583</v>
      </c>
      <c r="H38" s="7">
        <f t="shared" si="3"/>
        <v>7.0546666666666678</v>
      </c>
      <c r="I38">
        <v>12</v>
      </c>
      <c r="J38" t="s">
        <v>307</v>
      </c>
      <c r="L38" t="s">
        <v>367</v>
      </c>
      <c r="M38" t="s">
        <v>368</v>
      </c>
      <c r="N38">
        <v>72.41</v>
      </c>
      <c r="O38" s="9">
        <f t="shared" ref="O38:O40" si="8">N38*$O$36</f>
        <v>37.001509999999996</v>
      </c>
      <c r="P38" s="3">
        <f t="shared" ref="P38:P40" si="9">(O38/0.65)+0.3</f>
        <v>57.225399999999986</v>
      </c>
      <c r="Q38" s="5">
        <f t="shared" ref="Q38:Q40" si="10">(O38/0.7)+0.3</f>
        <v>53.159299999999995</v>
      </c>
      <c r="R38" s="7">
        <f t="shared" ref="R38:R40" si="11">(O38/0.75)+0.3</f>
        <v>49.635346666666656</v>
      </c>
      <c r="S38">
        <v>6</v>
      </c>
      <c r="T38" t="s">
        <v>80</v>
      </c>
    </row>
    <row r="39" spans="2:20" x14ac:dyDescent="0.25">
      <c r="B39" t="s">
        <v>369</v>
      </c>
      <c r="C39" t="s">
        <v>180</v>
      </c>
      <c r="D39">
        <v>20.77</v>
      </c>
      <c r="E39" s="9">
        <f t="shared" si="0"/>
        <v>7.0618000000000007</v>
      </c>
      <c r="F39" s="3">
        <f t="shared" si="1"/>
        <v>11.164307692307693</v>
      </c>
      <c r="G39" s="5">
        <f t="shared" si="2"/>
        <v>10.388285714285717</v>
      </c>
      <c r="H39" s="7">
        <f t="shared" si="3"/>
        <v>9.7157333333333344</v>
      </c>
      <c r="I39">
        <v>12</v>
      </c>
      <c r="J39" t="s">
        <v>313</v>
      </c>
      <c r="L39" t="s">
        <v>370</v>
      </c>
      <c r="M39" t="s">
        <v>371</v>
      </c>
      <c r="N39">
        <v>72.41</v>
      </c>
      <c r="O39" s="9">
        <f t="shared" si="8"/>
        <v>37.001509999999996</v>
      </c>
      <c r="P39" s="3">
        <f t="shared" si="9"/>
        <v>57.225399999999986</v>
      </c>
      <c r="Q39" s="5">
        <f t="shared" si="10"/>
        <v>53.159299999999995</v>
      </c>
      <c r="R39" s="7">
        <f t="shared" si="11"/>
        <v>49.635346666666656</v>
      </c>
      <c r="S39">
        <v>6</v>
      </c>
      <c r="T39" t="s">
        <v>69</v>
      </c>
    </row>
    <row r="40" spans="2:20" x14ac:dyDescent="0.25">
      <c r="B40" t="s">
        <v>372</v>
      </c>
      <c r="C40" t="s">
        <v>36</v>
      </c>
      <c r="D40">
        <v>16.93</v>
      </c>
      <c r="E40" s="9">
        <f t="shared" si="0"/>
        <v>5.7562000000000006</v>
      </c>
      <c r="F40" s="3">
        <f t="shared" si="1"/>
        <v>9.1556923076923091</v>
      </c>
      <c r="G40" s="5">
        <f t="shared" si="2"/>
        <v>8.5231428571428598</v>
      </c>
      <c r="H40" s="7">
        <f t="shared" si="3"/>
        <v>7.9749333333333343</v>
      </c>
      <c r="I40">
        <v>12</v>
      </c>
      <c r="J40" t="s">
        <v>354</v>
      </c>
      <c r="L40" t="s">
        <v>373</v>
      </c>
      <c r="M40" t="s">
        <v>374</v>
      </c>
      <c r="N40">
        <v>77.709999999999994</v>
      </c>
      <c r="O40" s="9">
        <f t="shared" si="8"/>
        <v>39.709809999999997</v>
      </c>
      <c r="P40" s="3">
        <f t="shared" si="9"/>
        <v>61.392015384615377</v>
      </c>
      <c r="Q40" s="5">
        <f t="shared" si="10"/>
        <v>57.028299999999994</v>
      </c>
      <c r="R40" s="7">
        <f t="shared" si="11"/>
        <v>53.246413333333329</v>
      </c>
      <c r="S40">
        <v>6</v>
      </c>
      <c r="T40" t="s">
        <v>66</v>
      </c>
    </row>
    <row r="41" spans="2:20" x14ac:dyDescent="0.25">
      <c r="B41" t="s">
        <v>375</v>
      </c>
      <c r="C41" t="s">
        <v>8</v>
      </c>
      <c r="D41">
        <v>16.7</v>
      </c>
      <c r="E41" s="9">
        <f t="shared" si="0"/>
        <v>5.6779999999999999</v>
      </c>
      <c r="F41" s="3">
        <f t="shared" si="1"/>
        <v>9.0353846153846149</v>
      </c>
      <c r="G41" s="5">
        <f t="shared" si="2"/>
        <v>8.4114285714285728</v>
      </c>
      <c r="H41" s="7">
        <f t="shared" si="3"/>
        <v>7.8706666666666667</v>
      </c>
      <c r="I41">
        <v>12</v>
      </c>
      <c r="J41" t="s">
        <v>54</v>
      </c>
    </row>
    <row r="42" spans="2:20" x14ac:dyDescent="0.25">
      <c r="B42" t="s">
        <v>376</v>
      </c>
      <c r="C42" t="s">
        <v>33</v>
      </c>
      <c r="D42">
        <v>22.38</v>
      </c>
      <c r="E42" s="9">
        <f t="shared" si="0"/>
        <v>7.6092000000000004</v>
      </c>
      <c r="F42" s="3">
        <f t="shared" si="1"/>
        <v>12.00646153846154</v>
      </c>
      <c r="G42" s="5">
        <f t="shared" si="2"/>
        <v>11.170285714285717</v>
      </c>
      <c r="H42" s="7">
        <f t="shared" si="3"/>
        <v>10.445600000000001</v>
      </c>
      <c r="I42">
        <v>12</v>
      </c>
      <c r="J42" t="s">
        <v>56</v>
      </c>
    </row>
    <row r="43" spans="2:20" x14ac:dyDescent="0.25">
      <c r="B43" t="s">
        <v>377</v>
      </c>
      <c r="C43" t="s">
        <v>38</v>
      </c>
      <c r="D43">
        <v>24.17</v>
      </c>
      <c r="E43" s="9">
        <f t="shared" si="0"/>
        <v>8.2178000000000004</v>
      </c>
      <c r="F43" s="3">
        <f t="shared" si="1"/>
        <v>12.942769230769231</v>
      </c>
      <c r="G43" s="5">
        <f t="shared" si="2"/>
        <v>12.039714285714288</v>
      </c>
      <c r="H43" s="7">
        <f t="shared" si="3"/>
        <v>11.257066666666669</v>
      </c>
      <c r="I43">
        <v>12</v>
      </c>
      <c r="J43" t="s">
        <v>313</v>
      </c>
    </row>
    <row r="44" spans="2:20" x14ac:dyDescent="0.25">
      <c r="B44" t="s">
        <v>378</v>
      </c>
      <c r="C44" t="s">
        <v>39</v>
      </c>
      <c r="D44">
        <v>19.41</v>
      </c>
      <c r="E44" s="9">
        <f t="shared" si="0"/>
        <v>6.5994000000000002</v>
      </c>
      <c r="F44" s="3">
        <f t="shared" si="1"/>
        <v>10.452923076923078</v>
      </c>
      <c r="G44" s="5">
        <f t="shared" si="2"/>
        <v>9.7277142857142866</v>
      </c>
      <c r="H44" s="7">
        <f t="shared" si="3"/>
        <v>9.0992000000000015</v>
      </c>
      <c r="I44">
        <v>12</v>
      </c>
      <c r="J44" t="s">
        <v>363</v>
      </c>
    </row>
    <row r="45" spans="2:20" x14ac:dyDescent="0.25">
      <c r="B45" t="s">
        <v>379</v>
      </c>
      <c r="C45" t="s">
        <v>37</v>
      </c>
      <c r="D45">
        <v>28.67</v>
      </c>
      <c r="E45" s="9">
        <f t="shared" si="0"/>
        <v>9.7478000000000016</v>
      </c>
      <c r="F45" s="3">
        <f t="shared" si="1"/>
        <v>15.296615384615388</v>
      </c>
      <c r="G45" s="5">
        <f t="shared" si="2"/>
        <v>14.225428571428575</v>
      </c>
      <c r="H45" s="7">
        <f t="shared" si="3"/>
        <v>13.297066666666669</v>
      </c>
      <c r="I45">
        <v>12</v>
      </c>
      <c r="J45" t="s">
        <v>380</v>
      </c>
    </row>
    <row r="46" spans="2:20" x14ac:dyDescent="0.25">
      <c r="B46" t="s">
        <v>381</v>
      </c>
      <c r="C46" t="s">
        <v>40</v>
      </c>
      <c r="D46">
        <v>23.24</v>
      </c>
      <c r="E46" s="9">
        <f t="shared" si="0"/>
        <v>7.9016000000000002</v>
      </c>
      <c r="F46" s="3">
        <f t="shared" si="1"/>
        <v>12.456307692307693</v>
      </c>
      <c r="G46" s="5">
        <f t="shared" si="2"/>
        <v>11.588000000000001</v>
      </c>
      <c r="H46" s="7">
        <f t="shared" si="3"/>
        <v>10.835466666666667</v>
      </c>
      <c r="I46">
        <v>12</v>
      </c>
      <c r="J46" t="s">
        <v>382</v>
      </c>
    </row>
    <row r="49" spans="2:20" x14ac:dyDescent="0.25">
      <c r="C49">
        <v>4</v>
      </c>
      <c r="M49">
        <v>6</v>
      </c>
    </row>
    <row r="50" spans="2:20" x14ac:dyDescent="0.25">
      <c r="B50" t="s">
        <v>63</v>
      </c>
      <c r="C50" t="s">
        <v>76</v>
      </c>
      <c r="D50" t="s">
        <v>79</v>
      </c>
      <c r="E50" t="s">
        <v>0</v>
      </c>
      <c r="I50" t="s">
        <v>114</v>
      </c>
      <c r="J50" t="s">
        <v>114</v>
      </c>
      <c r="L50" t="s">
        <v>63</v>
      </c>
      <c r="M50" t="s">
        <v>76</v>
      </c>
      <c r="N50" t="s">
        <v>79</v>
      </c>
      <c r="O50" t="s">
        <v>0</v>
      </c>
      <c r="S50" t="s">
        <v>114</v>
      </c>
      <c r="T50" t="s">
        <v>114</v>
      </c>
    </row>
    <row r="51" spans="2:20" x14ac:dyDescent="0.25">
      <c r="B51" t="s">
        <v>64</v>
      </c>
      <c r="C51" t="s">
        <v>86</v>
      </c>
      <c r="D51" t="s">
        <v>75</v>
      </c>
      <c r="E51">
        <v>0.34</v>
      </c>
      <c r="F51" t="s">
        <v>1378</v>
      </c>
      <c r="G51" t="s">
        <v>1379</v>
      </c>
      <c r="H51" t="s">
        <v>1380</v>
      </c>
      <c r="I51" t="s">
        <v>115</v>
      </c>
      <c r="J51" t="s">
        <v>65</v>
      </c>
      <c r="L51" t="s">
        <v>64</v>
      </c>
      <c r="M51" t="s">
        <v>86</v>
      </c>
      <c r="N51" t="s">
        <v>75</v>
      </c>
      <c r="O51">
        <v>0.34</v>
      </c>
      <c r="P51" t="s">
        <v>1378</v>
      </c>
      <c r="Q51" t="s">
        <v>1379</v>
      </c>
      <c r="R51" t="s">
        <v>1380</v>
      </c>
      <c r="S51" t="s">
        <v>115</v>
      </c>
      <c r="T51" t="s">
        <v>65</v>
      </c>
    </row>
    <row r="52" spans="2:20" x14ac:dyDescent="0.25">
      <c r="B52" t="s">
        <v>383</v>
      </c>
      <c r="C52" t="s">
        <v>174</v>
      </c>
      <c r="D52">
        <v>27.3</v>
      </c>
      <c r="E52" s="9">
        <f>D52*$E$51</f>
        <v>9.282</v>
      </c>
      <c r="F52" s="3">
        <f>(E52/0.65)+0.3</f>
        <v>14.58</v>
      </c>
      <c r="G52" s="5">
        <f>(E52/0.7)+0.3</f>
        <v>13.560000000000002</v>
      </c>
      <c r="H52" s="7">
        <f>(E52/0.75)+0.3</f>
        <v>12.676</v>
      </c>
      <c r="I52">
        <v>6</v>
      </c>
      <c r="J52" t="s">
        <v>313</v>
      </c>
      <c r="L52" t="s">
        <v>384</v>
      </c>
      <c r="M52" t="s">
        <v>287</v>
      </c>
      <c r="N52">
        <v>38.299999999999997</v>
      </c>
      <c r="O52" s="9">
        <f>N52*$O$51</f>
        <v>13.022</v>
      </c>
      <c r="P52" s="3">
        <f>(O52/0.65)+0.3</f>
        <v>20.333846153846153</v>
      </c>
      <c r="Q52" s="5">
        <f>(O52/0.7)+0.3</f>
        <v>18.902857142857144</v>
      </c>
      <c r="R52" s="7">
        <f>(O52/0.75)+0.3</f>
        <v>17.662666666666667</v>
      </c>
      <c r="S52">
        <v>4</v>
      </c>
      <c r="T52" t="s">
        <v>59</v>
      </c>
    </row>
    <row r="53" spans="2:20" x14ac:dyDescent="0.25">
      <c r="B53" t="s">
        <v>385</v>
      </c>
      <c r="C53" t="s">
        <v>178</v>
      </c>
      <c r="D53">
        <v>26.78</v>
      </c>
      <c r="E53" s="9">
        <f t="shared" ref="E53:E61" si="12">D53*$E$51</f>
        <v>9.1052000000000017</v>
      </c>
      <c r="F53" s="3">
        <f t="shared" ref="F53:F61" si="13">(E53/0.65)+0.3</f>
        <v>14.308000000000003</v>
      </c>
      <c r="G53" s="5">
        <f t="shared" ref="G53:G61" si="14">(E53/0.7)+0.3</f>
        <v>13.307428571428575</v>
      </c>
      <c r="H53" s="7">
        <f t="shared" ref="H53:H61" si="15">(E53/0.75)+0.3</f>
        <v>12.44026666666667</v>
      </c>
      <c r="I53">
        <v>6</v>
      </c>
      <c r="J53" t="s">
        <v>354</v>
      </c>
      <c r="L53" t="s">
        <v>386</v>
      </c>
      <c r="M53" t="s">
        <v>289</v>
      </c>
      <c r="N53">
        <v>37.96</v>
      </c>
      <c r="O53" s="9">
        <f t="shared" ref="O53:O59" si="16">N53*$O$51</f>
        <v>12.906400000000001</v>
      </c>
      <c r="P53" s="3">
        <f t="shared" ref="P53:P59" si="17">(O53/0.65)+0.3</f>
        <v>20.156000000000002</v>
      </c>
      <c r="Q53" s="5">
        <f t="shared" ref="Q53:Q59" si="18">(O53/0.7)+0.3</f>
        <v>18.73771428571429</v>
      </c>
      <c r="R53" s="7">
        <f t="shared" ref="R53:R59" si="19">(O53/0.75)+0.3</f>
        <v>17.508533333333336</v>
      </c>
      <c r="S53">
        <v>4</v>
      </c>
      <c r="T53" t="s">
        <v>56</v>
      </c>
    </row>
    <row r="54" spans="2:20" x14ac:dyDescent="0.25">
      <c r="B54" t="s">
        <v>387</v>
      </c>
      <c r="C54" t="s">
        <v>186</v>
      </c>
      <c r="D54">
        <v>31.17</v>
      </c>
      <c r="E54" s="9">
        <f t="shared" si="12"/>
        <v>10.597800000000001</v>
      </c>
      <c r="F54" s="3">
        <f t="shared" si="13"/>
        <v>16.604307692307696</v>
      </c>
      <c r="G54" s="5">
        <f t="shared" si="14"/>
        <v>15.43971428571429</v>
      </c>
      <c r="H54" s="7">
        <f t="shared" si="15"/>
        <v>14.430400000000002</v>
      </c>
      <c r="I54">
        <v>6</v>
      </c>
      <c r="J54" t="s">
        <v>88</v>
      </c>
      <c r="L54" t="s">
        <v>388</v>
      </c>
      <c r="M54" t="s">
        <v>291</v>
      </c>
      <c r="N54">
        <v>45.7</v>
      </c>
      <c r="O54" s="9">
        <f t="shared" si="16"/>
        <v>15.538000000000002</v>
      </c>
      <c r="P54" s="3">
        <f t="shared" si="17"/>
        <v>24.204615384615387</v>
      </c>
      <c r="Q54" s="5">
        <f t="shared" si="18"/>
        <v>22.497142857142862</v>
      </c>
      <c r="R54" s="7">
        <f t="shared" si="19"/>
        <v>21.017333333333337</v>
      </c>
      <c r="S54">
        <v>4</v>
      </c>
      <c r="T54" t="s">
        <v>88</v>
      </c>
    </row>
    <row r="55" spans="2:20" x14ac:dyDescent="0.25">
      <c r="B55" t="s">
        <v>389</v>
      </c>
      <c r="C55" t="s">
        <v>189</v>
      </c>
      <c r="D55">
        <v>34.200000000000003</v>
      </c>
      <c r="E55" s="9">
        <f t="shared" si="12"/>
        <v>11.628000000000002</v>
      </c>
      <c r="F55" s="3">
        <f t="shared" si="13"/>
        <v>18.189230769230772</v>
      </c>
      <c r="G55" s="5">
        <f t="shared" si="14"/>
        <v>16.911428571428576</v>
      </c>
      <c r="H55" s="7">
        <f t="shared" si="15"/>
        <v>15.804000000000004</v>
      </c>
      <c r="I55">
        <v>6</v>
      </c>
      <c r="J55" t="s">
        <v>89</v>
      </c>
      <c r="L55" t="s">
        <v>390</v>
      </c>
      <c r="M55" t="s">
        <v>293</v>
      </c>
      <c r="N55">
        <v>51.21</v>
      </c>
      <c r="O55" s="9">
        <f t="shared" si="16"/>
        <v>17.4114</v>
      </c>
      <c r="P55" s="3">
        <f t="shared" si="17"/>
        <v>27.086769230769232</v>
      </c>
      <c r="Q55" s="5">
        <f t="shared" si="18"/>
        <v>25.173428571428573</v>
      </c>
      <c r="R55" s="7">
        <f t="shared" si="19"/>
        <v>23.5152</v>
      </c>
      <c r="S55">
        <v>4</v>
      </c>
      <c r="T55" t="s">
        <v>89</v>
      </c>
    </row>
    <row r="56" spans="2:20" x14ac:dyDescent="0.25">
      <c r="B56" t="s">
        <v>391</v>
      </c>
      <c r="C56" t="s">
        <v>192</v>
      </c>
      <c r="D56">
        <v>31.95</v>
      </c>
      <c r="E56" s="9">
        <f t="shared" si="12"/>
        <v>10.863000000000001</v>
      </c>
      <c r="F56" s="3">
        <f t="shared" si="13"/>
        <v>17.012307692307694</v>
      </c>
      <c r="G56" s="5">
        <f t="shared" si="14"/>
        <v>15.818571428571433</v>
      </c>
      <c r="H56" s="7">
        <f t="shared" si="15"/>
        <v>14.784000000000002</v>
      </c>
      <c r="I56">
        <v>6</v>
      </c>
      <c r="J56" t="s">
        <v>56</v>
      </c>
      <c r="L56" t="s">
        <v>392</v>
      </c>
      <c r="M56" t="s">
        <v>295</v>
      </c>
      <c r="N56">
        <v>45.7</v>
      </c>
      <c r="O56" s="9">
        <f t="shared" si="16"/>
        <v>15.538000000000002</v>
      </c>
      <c r="P56" s="3">
        <f t="shared" si="17"/>
        <v>24.204615384615387</v>
      </c>
      <c r="Q56" s="5">
        <f t="shared" si="18"/>
        <v>22.497142857142862</v>
      </c>
      <c r="R56" s="7">
        <f t="shared" si="19"/>
        <v>21.017333333333337</v>
      </c>
      <c r="S56">
        <v>4</v>
      </c>
      <c r="T56" t="s">
        <v>88</v>
      </c>
    </row>
    <row r="57" spans="2:20" x14ac:dyDescent="0.25">
      <c r="B57" t="s">
        <v>393</v>
      </c>
      <c r="C57" t="s">
        <v>195</v>
      </c>
      <c r="D57">
        <v>37.25</v>
      </c>
      <c r="E57" s="9">
        <f t="shared" si="12"/>
        <v>12.665000000000001</v>
      </c>
      <c r="F57" s="3">
        <f t="shared" si="13"/>
        <v>19.784615384615385</v>
      </c>
      <c r="G57" s="5">
        <f t="shared" si="14"/>
        <v>18.392857142857146</v>
      </c>
      <c r="H57" s="7">
        <f t="shared" si="15"/>
        <v>17.186666666666667</v>
      </c>
      <c r="I57">
        <v>6</v>
      </c>
      <c r="J57" t="s">
        <v>89</v>
      </c>
      <c r="L57" t="s">
        <v>394</v>
      </c>
      <c r="M57" t="s">
        <v>297</v>
      </c>
      <c r="N57">
        <v>50.82</v>
      </c>
      <c r="O57" s="9">
        <f t="shared" si="16"/>
        <v>17.2788</v>
      </c>
      <c r="P57" s="3">
        <f t="shared" si="17"/>
        <v>26.882769230769231</v>
      </c>
      <c r="Q57" s="5">
        <f t="shared" si="18"/>
        <v>24.984000000000002</v>
      </c>
      <c r="R57" s="7">
        <f t="shared" si="19"/>
        <v>23.3384</v>
      </c>
      <c r="S57">
        <v>4</v>
      </c>
      <c r="T57" t="s">
        <v>67</v>
      </c>
    </row>
    <row r="58" spans="2:20" x14ac:dyDescent="0.25">
      <c r="B58" t="s">
        <v>395</v>
      </c>
      <c r="C58" t="s">
        <v>199</v>
      </c>
      <c r="D58">
        <v>36.65</v>
      </c>
      <c r="E58" s="9">
        <f t="shared" si="12"/>
        <v>12.461</v>
      </c>
      <c r="F58" s="3">
        <f t="shared" si="13"/>
        <v>19.470769230769232</v>
      </c>
      <c r="G58" s="5">
        <f t="shared" si="14"/>
        <v>18.101428571428574</v>
      </c>
      <c r="H58" s="7">
        <f t="shared" si="15"/>
        <v>16.914666666666669</v>
      </c>
      <c r="I58">
        <v>6</v>
      </c>
      <c r="J58" t="s">
        <v>67</v>
      </c>
      <c r="L58" t="s">
        <v>396</v>
      </c>
      <c r="M58" t="s">
        <v>299</v>
      </c>
      <c r="N58">
        <v>50.02</v>
      </c>
      <c r="O58" s="9">
        <f t="shared" si="16"/>
        <v>17.006800000000002</v>
      </c>
      <c r="P58" s="3">
        <f t="shared" si="17"/>
        <v>26.464307692307695</v>
      </c>
      <c r="Q58" s="5">
        <f t="shared" si="18"/>
        <v>24.595428571428577</v>
      </c>
      <c r="R58" s="7">
        <f t="shared" si="19"/>
        <v>22.975733333333338</v>
      </c>
      <c r="S58">
        <v>4</v>
      </c>
      <c r="T58" t="s">
        <v>92</v>
      </c>
    </row>
    <row r="59" spans="2:20" x14ac:dyDescent="0.25">
      <c r="B59" t="s">
        <v>397</v>
      </c>
      <c r="C59" t="s">
        <v>202</v>
      </c>
      <c r="D59">
        <v>41.69</v>
      </c>
      <c r="E59" s="9">
        <f t="shared" si="12"/>
        <v>14.1746</v>
      </c>
      <c r="F59" s="3">
        <f t="shared" si="13"/>
        <v>22.107076923076924</v>
      </c>
      <c r="G59" s="5">
        <f t="shared" si="14"/>
        <v>20.549428571428574</v>
      </c>
      <c r="H59" s="7">
        <f t="shared" si="15"/>
        <v>19.199466666666666</v>
      </c>
      <c r="I59">
        <v>6</v>
      </c>
      <c r="J59" t="s">
        <v>92</v>
      </c>
      <c r="L59" t="s">
        <v>398</v>
      </c>
      <c r="M59" t="s">
        <v>301</v>
      </c>
      <c r="N59">
        <v>56.81</v>
      </c>
      <c r="O59" s="9">
        <f t="shared" si="16"/>
        <v>19.315400000000004</v>
      </c>
      <c r="P59" s="3">
        <f t="shared" si="17"/>
        <v>30.016000000000005</v>
      </c>
      <c r="Q59" s="5">
        <f t="shared" si="18"/>
        <v>27.893428571428579</v>
      </c>
      <c r="R59" s="7">
        <f t="shared" si="19"/>
        <v>26.053866666666671</v>
      </c>
      <c r="S59">
        <v>4</v>
      </c>
      <c r="T59" t="s">
        <v>80</v>
      </c>
    </row>
    <row r="60" spans="2:20" x14ac:dyDescent="0.25">
      <c r="B60" t="s">
        <v>399</v>
      </c>
      <c r="E60" s="9">
        <f t="shared" si="12"/>
        <v>0</v>
      </c>
      <c r="F60" s="3">
        <f t="shared" si="13"/>
        <v>0.3</v>
      </c>
      <c r="G60" s="5">
        <f t="shared" si="14"/>
        <v>0.3</v>
      </c>
      <c r="H60" s="7">
        <f t="shared" si="15"/>
        <v>0.3</v>
      </c>
    </row>
    <row r="61" spans="2:20" x14ac:dyDescent="0.25">
      <c r="B61" t="s">
        <v>400</v>
      </c>
      <c r="C61" t="s">
        <v>401</v>
      </c>
      <c r="D61">
        <v>48.52</v>
      </c>
      <c r="E61" s="9">
        <f t="shared" si="12"/>
        <v>16.496800000000004</v>
      </c>
      <c r="F61" s="3">
        <f t="shared" si="13"/>
        <v>25.679692307692314</v>
      </c>
      <c r="G61" s="5">
        <f t="shared" si="14"/>
        <v>23.86685714285715</v>
      </c>
      <c r="H61" s="7">
        <f t="shared" si="15"/>
        <v>22.295733333333338</v>
      </c>
      <c r="I61">
        <v>6</v>
      </c>
      <c r="J61" t="s">
        <v>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A88E-EB12-4365-A8A8-1B27DF306CA3}">
  <sheetPr>
    <tabColor theme="9" tint="0.39997558519241921"/>
  </sheetPr>
  <dimension ref="C1:AA32"/>
  <sheetViews>
    <sheetView topLeftCell="C1" workbookViewId="0">
      <selection activeCell="J26" sqref="J26"/>
    </sheetView>
  </sheetViews>
  <sheetFormatPr defaultRowHeight="15" x14ac:dyDescent="0.25"/>
  <cols>
    <col min="3" max="3" width="20.28515625" bestFit="1" customWidth="1"/>
    <col min="4" max="5" width="10.28515625" bestFit="1" customWidth="1"/>
    <col min="6" max="6" width="11.42578125" customWidth="1"/>
  </cols>
  <sheetData>
    <row r="1" spans="3:27" x14ac:dyDescent="0.25">
      <c r="S1" s="14"/>
      <c r="T1" s="14"/>
      <c r="U1" s="14"/>
    </row>
    <row r="2" spans="3:27" x14ac:dyDescent="0.25">
      <c r="C2" s="8"/>
      <c r="D2" s="2"/>
      <c r="E2" s="4"/>
      <c r="F2" s="6"/>
      <c r="L2" s="11" t="s">
        <v>86</v>
      </c>
      <c r="M2" s="11" t="s">
        <v>1476</v>
      </c>
      <c r="N2" s="11" t="s">
        <v>1663</v>
      </c>
      <c r="O2" s="11" t="s">
        <v>1477</v>
      </c>
      <c r="P2" s="11" t="s">
        <v>1478</v>
      </c>
      <c r="Q2" s="12" t="s">
        <v>1668</v>
      </c>
      <c r="R2" s="12" t="s">
        <v>1669</v>
      </c>
      <c r="S2" s="12" t="s">
        <v>1675</v>
      </c>
      <c r="V2" s="19" t="s">
        <v>1668</v>
      </c>
      <c r="W2" s="19" t="s">
        <v>1669</v>
      </c>
      <c r="X2" s="19" t="s">
        <v>1675</v>
      </c>
    </row>
    <row r="3" spans="3:27" x14ac:dyDescent="0.25">
      <c r="C3" t="s">
        <v>1673</v>
      </c>
      <c r="D3" t="s">
        <v>1378</v>
      </c>
      <c r="E3" t="s">
        <v>1379</v>
      </c>
      <c r="F3" t="s">
        <v>1380</v>
      </c>
      <c r="L3" s="13"/>
      <c r="M3" s="11">
        <v>16</v>
      </c>
      <c r="N3" s="11">
        <v>24</v>
      </c>
      <c r="O3" s="11">
        <v>1</v>
      </c>
      <c r="P3" s="11">
        <f>M3*N3</f>
        <v>384</v>
      </c>
      <c r="Q3" s="17">
        <f>_xlfn.XLOOKUP($M$3*$N$3, $D$11:$D$20, $I$11:$I$20, $I$11, -1)</f>
        <v>22.760415384615385</v>
      </c>
      <c r="R3" s="16">
        <f>_xlfn.XLOOKUP($M$3*$N$3, $D$11:$D$20, $Q$11:$Q$20, $Q$11, -1)</f>
        <v>26.573261538461537</v>
      </c>
      <c r="S3" s="16">
        <f>_xlfn.XLOOKUP($M$3*$N$3, $D$11:$D$20, $Y$11:$Y$20, $Y$11, -1)</f>
        <v>50.417307692307688</v>
      </c>
      <c r="T3" s="14">
        <v>0.35</v>
      </c>
      <c r="V3" s="16" t="str">
        <f>IF(OR(AND($M$3&gt;28, $N$3&gt;28), $M$3&gt;35, $N$3&gt;35),_xlfn.XLOOKUP(($M$3*$N$3)/2, $D$11:$D$20, $I$11:$I$20, $I$11, -1) * 2,"N/A")</f>
        <v>N/A</v>
      </c>
      <c r="W3" s="16" t="str" cm="1">
        <f t="array" ref="W3">IF(OR(AND($M$3&gt;28, $N$3&gt;28), $M$3&gt;35, $N$3&gt;35),_xlfn.XLOOKUP(($M$3*$N$3)/2, $D$11:$D$20, Q$11:$Q$20, $Q$11, -1) * 2,"N/A")</f>
        <v>N/A</v>
      </c>
      <c r="X3" s="16" t="str">
        <f>IF(OR(AND($M$3&gt;28, $N$3&gt;28), $M$3&gt;35, $N$3&gt;35),_xlfn.XLOOKUP(($M$3*$N$3)/2, $D$11:$D$20, $Y$11:$Y$20, $Y$11, -1) * 2,"N/A")</f>
        <v>N/A</v>
      </c>
      <c r="Y3" s="14">
        <v>0.35</v>
      </c>
    </row>
    <row r="4" spans="3:27" x14ac:dyDescent="0.25">
      <c r="Q4" s="17">
        <f>_xlfn.XLOOKUP($M$3*$N$3, $D$11:$D$20, $J$11:$J$20, $J$11, -1)</f>
        <v>21.156100000000002</v>
      </c>
      <c r="R4" s="16">
        <f>_xlfn.XLOOKUP($M$3*$N$3, $D$11:$D$20, $R$11:$R$20, $R$11, -1)</f>
        <v>24.6966</v>
      </c>
      <c r="S4" s="16">
        <f>_xlfn.XLOOKUP($M$3*$N$3, $D$11:$D$20, $Z$11:$Z$20, $Z$11, -1)</f>
        <v>46.837500000000006</v>
      </c>
      <c r="T4" s="14">
        <v>0.3</v>
      </c>
      <c r="V4" s="16" t="str">
        <f>IF(OR(AND($M$3&gt;28, $N$3&gt;28), $M$3&gt;35, $N$3&gt;35),_xlfn.XLOOKUP(($M$3*$N$3)/2, $D$11:$D$20, $J$11:$J$20, $J$11, -1) * 2,"N/A")</f>
        <v>N/A</v>
      </c>
      <c r="W4" s="16" t="str">
        <f>IF(OR(AND($M$3&gt;28, $N$3&gt;28), $M$3&gt;35, $N$3&gt;35),_xlfn.XLOOKUP(($M$3*$N$3)/2, $D$11:$D$20, $R$11:$R$20, $R$10, -1) * 2,"N/A")</f>
        <v>N/A</v>
      </c>
      <c r="X4" s="16" t="str">
        <f>IF(OR(AND($M$3&gt;28, $N$3&gt;28), $M$3&gt;35, $N$3&gt;35),_xlfn.XLOOKUP(($M$3*$N$3)/2, $D$11:$D$20, $Z$11:$Z$20, $Z$11, -1) * 2,"N/A")</f>
        <v>N/A</v>
      </c>
      <c r="Y4" s="14">
        <v>0.3</v>
      </c>
    </row>
    <row r="5" spans="3:27" x14ac:dyDescent="0.25">
      <c r="Q5" s="17">
        <f>_xlfn.XLOOKUP($M$3*$N$3, $D$11:$D$20, $K$11:$K$20, $K$11, -1)</f>
        <v>19.765693333333335</v>
      </c>
      <c r="R5" s="16">
        <f>_xlfn.XLOOKUP($M$3*$N$3, $D$11:$D$20, $S$11:$S$20, $S$11, -1)</f>
        <v>23.070160000000001</v>
      </c>
      <c r="S5" s="16">
        <f>_xlfn.XLOOKUP($M$3*$N$3, $D$11:$D$20, $AA$11:$AA$20, $AA$11, -1)</f>
        <v>43.734999999999999</v>
      </c>
      <c r="T5" s="14">
        <v>0.25</v>
      </c>
      <c r="V5" s="16" t="str">
        <f>IF(OR(AND($M$3&gt;28, $N$3&gt;28), $M$3&gt;35, $N$3&gt;35),_xlfn.XLOOKUP(($M$3*$N$3)/2, $D$11:$D$20, $K$11:$K$20, $K$11, -1) * 2,"N/A")</f>
        <v>N/A</v>
      </c>
      <c r="W5" s="16" t="str">
        <f>IF(OR(AND($M$3&gt;28, $N$3&gt;28), $M$3&gt;35, $N$3&gt;35),_xlfn.XLOOKUP(($M$3*$N$3)/2, $D$11:$D$20, $S$11:$S$20, $S$10, -1) * 2,"N/A")</f>
        <v>N/A</v>
      </c>
      <c r="X5" s="16" t="str">
        <f>IF(OR(AND($M$3&gt;28, $N$3&gt;28), $M$3&gt;35, $N$3&gt;35),_xlfn.XLOOKUP(($M$3*$N$3)/2, $D$11:$D$20, $AA$11:$AA$20, $AA$11, -1) * 2,"N/A")</f>
        <v>N/A</v>
      </c>
      <c r="Y5" s="14">
        <v>0.25</v>
      </c>
    </row>
    <row r="6" spans="3:27" x14ac:dyDescent="0.25">
      <c r="V6" s="77" t="s">
        <v>1676</v>
      </c>
      <c r="W6" s="77"/>
      <c r="X6" s="77"/>
    </row>
    <row r="7" spans="3:27" x14ac:dyDescent="0.25">
      <c r="C7" t="s">
        <v>1540</v>
      </c>
    </row>
    <row r="8" spans="3:27" x14ac:dyDescent="0.25">
      <c r="C8" t="s">
        <v>1382</v>
      </c>
      <c r="F8" t="s">
        <v>1541</v>
      </c>
      <c r="H8" t="s">
        <v>0</v>
      </c>
    </row>
    <row r="9" spans="3:27" x14ac:dyDescent="0.25">
      <c r="C9" t="s">
        <v>1383</v>
      </c>
      <c r="F9" t="s">
        <v>1384</v>
      </c>
      <c r="G9" t="s">
        <v>1439</v>
      </c>
      <c r="H9">
        <v>0.51100000000000001</v>
      </c>
      <c r="M9" t="s">
        <v>1552</v>
      </c>
      <c r="P9" s="10"/>
      <c r="Q9" s="10"/>
      <c r="R9" s="10"/>
      <c r="S9" s="10"/>
      <c r="U9" t="s">
        <v>1563</v>
      </c>
      <c r="X9" s="10"/>
      <c r="Y9" s="10"/>
      <c r="Z9" s="10"/>
      <c r="AA9" s="10"/>
    </row>
    <row r="10" spans="3:27" x14ac:dyDescent="0.25">
      <c r="C10" t="s">
        <v>1386</v>
      </c>
      <c r="F10" t="s">
        <v>57</v>
      </c>
      <c r="G10" t="s">
        <v>1387</v>
      </c>
      <c r="H10" t="s">
        <v>1673</v>
      </c>
      <c r="I10" t="s">
        <v>1378</v>
      </c>
      <c r="J10" t="s">
        <v>1379</v>
      </c>
      <c r="K10" t="s">
        <v>1380</v>
      </c>
      <c r="P10" t="s">
        <v>1673</v>
      </c>
      <c r="Q10" t="s">
        <v>1378</v>
      </c>
      <c r="R10" t="s">
        <v>1379</v>
      </c>
      <c r="S10" t="s">
        <v>1380</v>
      </c>
      <c r="X10" t="s">
        <v>1673</v>
      </c>
      <c r="Y10" t="s">
        <v>1378</v>
      </c>
      <c r="Z10" t="s">
        <v>1379</v>
      </c>
      <c r="AA10" t="s">
        <v>1380</v>
      </c>
    </row>
    <row r="11" spans="3:27" x14ac:dyDescent="0.25">
      <c r="C11" t="s">
        <v>1388</v>
      </c>
      <c r="D11">
        <v>0</v>
      </c>
      <c r="E11">
        <v>150</v>
      </c>
      <c r="F11" t="s">
        <v>1542</v>
      </c>
      <c r="G11">
        <v>17.3</v>
      </c>
      <c r="H11" s="9">
        <f t="shared" ref="H11:H20" si="0">G11*$H$9</f>
        <v>8.8403000000000009</v>
      </c>
      <c r="I11" s="3">
        <f t="shared" ref="I11:I20" si="1">(H11/0.65)+0.3</f>
        <v>13.90046153846154</v>
      </c>
      <c r="J11" s="5">
        <f t="shared" ref="J11:J20" si="2">(H11/0.7)+0.3</f>
        <v>12.929000000000002</v>
      </c>
      <c r="K11" s="7">
        <f t="shared" ref="K11:K20" si="3">(H11/0.75)+0.3</f>
        <v>12.087066666666669</v>
      </c>
      <c r="M11" t="s">
        <v>1388</v>
      </c>
      <c r="N11" t="s">
        <v>1553</v>
      </c>
      <c r="O11">
        <v>20.85</v>
      </c>
      <c r="P11" s="9">
        <f t="shared" ref="P11:P20" si="4">O11*$H$9</f>
        <v>10.654350000000001</v>
      </c>
      <c r="Q11" s="3">
        <f t="shared" ref="Q11:Q20" si="5">(P11/0.65)+0.3</f>
        <v>16.691307692307692</v>
      </c>
      <c r="R11" s="5">
        <f t="shared" ref="R11:R20" si="6">(P11/0.7)+0.3</f>
        <v>15.520500000000004</v>
      </c>
      <c r="S11" s="7">
        <f t="shared" ref="S11:S20" si="7">(P11/0.75)+0.3</f>
        <v>14.505800000000002</v>
      </c>
      <c r="U11" t="s">
        <v>1388</v>
      </c>
      <c r="V11" t="s">
        <v>1564</v>
      </c>
      <c r="W11">
        <v>40.74</v>
      </c>
      <c r="X11" s="9">
        <f t="shared" ref="X11:X20" si="8">W11*$H$9</f>
        <v>20.81814</v>
      </c>
      <c r="Y11" s="3">
        <f t="shared" ref="Y11:Y20" si="9">(X11/0.65)+0.3</f>
        <v>32.32790769230769</v>
      </c>
      <c r="Z11" s="5">
        <f t="shared" ref="Z11:Z20" si="10">(X11/0.7)+0.3</f>
        <v>30.040200000000002</v>
      </c>
      <c r="AA11" s="7">
        <f t="shared" ref="AA11:AA20" si="11">(X11/0.75)+0.3</f>
        <v>28.05752</v>
      </c>
    </row>
    <row r="12" spans="3:27" x14ac:dyDescent="0.25">
      <c r="C12" t="s">
        <v>1392</v>
      </c>
      <c r="D12">
        <v>150</v>
      </c>
      <c r="E12">
        <v>199</v>
      </c>
      <c r="F12" t="s">
        <v>1543</v>
      </c>
      <c r="G12">
        <v>20.49</v>
      </c>
      <c r="H12" s="9">
        <f t="shared" si="0"/>
        <v>10.47039</v>
      </c>
      <c r="I12" s="3">
        <f t="shared" si="1"/>
        <v>16.408292307692307</v>
      </c>
      <c r="J12" s="5">
        <f t="shared" si="2"/>
        <v>15.257700000000002</v>
      </c>
      <c r="K12" s="7">
        <f t="shared" si="3"/>
        <v>14.260520000000001</v>
      </c>
      <c r="M12" t="s">
        <v>1392</v>
      </c>
      <c r="N12" t="s">
        <v>1554</v>
      </c>
      <c r="O12">
        <v>23.99</v>
      </c>
      <c r="P12" s="9">
        <f t="shared" si="4"/>
        <v>12.258889999999999</v>
      </c>
      <c r="Q12" s="3">
        <f t="shared" si="5"/>
        <v>19.159830769230769</v>
      </c>
      <c r="R12" s="5">
        <f t="shared" si="6"/>
        <v>17.8127</v>
      </c>
      <c r="S12" s="7">
        <f t="shared" si="7"/>
        <v>16.645186666666667</v>
      </c>
      <c r="U12" t="s">
        <v>1392</v>
      </c>
      <c r="V12" t="s">
        <v>1565</v>
      </c>
      <c r="W12">
        <v>45.98</v>
      </c>
      <c r="X12" s="9">
        <f t="shared" si="8"/>
        <v>23.49578</v>
      </c>
      <c r="Y12" s="3">
        <f t="shared" si="9"/>
        <v>36.447353846153845</v>
      </c>
      <c r="Z12" s="5">
        <f t="shared" si="10"/>
        <v>33.865400000000001</v>
      </c>
      <c r="AA12" s="7">
        <f t="shared" si="11"/>
        <v>31.627706666666668</v>
      </c>
    </row>
    <row r="13" spans="3:27" x14ac:dyDescent="0.25">
      <c r="C13" t="s">
        <v>1396</v>
      </c>
      <c r="D13">
        <v>200</v>
      </c>
      <c r="E13">
        <v>249</v>
      </c>
      <c r="F13" t="s">
        <v>1544</v>
      </c>
      <c r="G13">
        <v>23.07</v>
      </c>
      <c r="H13" s="9">
        <f t="shared" si="0"/>
        <v>11.78877</v>
      </c>
      <c r="I13" s="3">
        <f t="shared" si="1"/>
        <v>18.43656923076923</v>
      </c>
      <c r="J13" s="5">
        <f t="shared" si="2"/>
        <v>17.141100000000002</v>
      </c>
      <c r="K13" s="7">
        <f t="shared" si="3"/>
        <v>16.018359999999998</v>
      </c>
      <c r="M13" t="s">
        <v>1396</v>
      </c>
      <c r="N13" t="s">
        <v>1555</v>
      </c>
      <c r="O13">
        <v>26.98</v>
      </c>
      <c r="P13" s="9">
        <f t="shared" si="4"/>
        <v>13.78678</v>
      </c>
      <c r="Q13" s="3">
        <f t="shared" si="5"/>
        <v>21.510430769230769</v>
      </c>
      <c r="R13" s="5">
        <f t="shared" si="6"/>
        <v>19.995400000000004</v>
      </c>
      <c r="S13" s="7">
        <f t="shared" si="7"/>
        <v>18.682373333333334</v>
      </c>
      <c r="U13" t="s">
        <v>1396</v>
      </c>
      <c r="V13" t="s">
        <v>1566</v>
      </c>
      <c r="W13">
        <v>51.22</v>
      </c>
      <c r="X13" s="9">
        <f t="shared" si="8"/>
        <v>26.17342</v>
      </c>
      <c r="Y13" s="3">
        <f t="shared" si="9"/>
        <v>40.566799999999994</v>
      </c>
      <c r="Z13" s="5">
        <f t="shared" si="10"/>
        <v>37.690599999999996</v>
      </c>
      <c r="AA13" s="7">
        <f t="shared" si="11"/>
        <v>35.197893333333333</v>
      </c>
    </row>
    <row r="14" spans="3:27" x14ac:dyDescent="0.25">
      <c r="C14" t="s">
        <v>1400</v>
      </c>
      <c r="D14">
        <v>250</v>
      </c>
      <c r="E14">
        <v>299</v>
      </c>
      <c r="F14" t="s">
        <v>1545</v>
      </c>
      <c r="G14">
        <v>25.42</v>
      </c>
      <c r="H14" s="9">
        <f t="shared" si="0"/>
        <v>12.98962</v>
      </c>
      <c r="I14" s="3">
        <f t="shared" si="1"/>
        <v>20.284030769230771</v>
      </c>
      <c r="J14" s="5">
        <f t="shared" si="2"/>
        <v>18.856600000000004</v>
      </c>
      <c r="K14" s="7">
        <f t="shared" si="3"/>
        <v>17.619493333333335</v>
      </c>
      <c r="M14" t="s">
        <v>1400</v>
      </c>
      <c r="N14" t="s">
        <v>1556</v>
      </c>
      <c r="O14">
        <v>29.71</v>
      </c>
      <c r="P14" s="9">
        <f t="shared" si="4"/>
        <v>15.18181</v>
      </c>
      <c r="Q14" s="3">
        <f t="shared" si="5"/>
        <v>23.65663076923077</v>
      </c>
      <c r="R14" s="5">
        <f t="shared" si="6"/>
        <v>21.988300000000002</v>
      </c>
      <c r="S14" s="7">
        <f t="shared" si="7"/>
        <v>20.542413333333336</v>
      </c>
      <c r="U14" t="s">
        <v>1400</v>
      </c>
      <c r="V14" t="s">
        <v>1567</v>
      </c>
      <c r="W14">
        <v>56.49</v>
      </c>
      <c r="X14" s="9">
        <f t="shared" si="8"/>
        <v>28.866390000000003</v>
      </c>
      <c r="Y14" s="3">
        <f t="shared" si="9"/>
        <v>44.70983076923077</v>
      </c>
      <c r="Z14" s="5">
        <f t="shared" si="10"/>
        <v>41.537700000000001</v>
      </c>
      <c r="AA14" s="7">
        <f t="shared" si="11"/>
        <v>38.788519999999998</v>
      </c>
    </row>
    <row r="15" spans="3:27" x14ac:dyDescent="0.25">
      <c r="C15" t="s">
        <v>1404</v>
      </c>
      <c r="D15">
        <v>300</v>
      </c>
      <c r="E15">
        <v>399</v>
      </c>
      <c r="F15" t="s">
        <v>1546</v>
      </c>
      <c r="G15">
        <v>28.57</v>
      </c>
      <c r="H15" s="9">
        <f t="shared" si="0"/>
        <v>14.599270000000001</v>
      </c>
      <c r="I15" s="3">
        <f t="shared" si="1"/>
        <v>22.760415384615385</v>
      </c>
      <c r="J15" s="5">
        <f t="shared" si="2"/>
        <v>21.156100000000002</v>
      </c>
      <c r="K15" s="7">
        <f t="shared" si="3"/>
        <v>19.765693333333335</v>
      </c>
      <c r="M15" t="s">
        <v>1404</v>
      </c>
      <c r="N15" t="s">
        <v>1557</v>
      </c>
      <c r="O15">
        <v>33.42</v>
      </c>
      <c r="P15" s="9">
        <f t="shared" si="4"/>
        <v>17.07762</v>
      </c>
      <c r="Q15" s="3">
        <f t="shared" si="5"/>
        <v>26.573261538461537</v>
      </c>
      <c r="R15" s="5">
        <f t="shared" si="6"/>
        <v>24.6966</v>
      </c>
      <c r="S15" s="7">
        <f t="shared" si="7"/>
        <v>23.070160000000001</v>
      </c>
      <c r="U15" t="s">
        <v>1404</v>
      </c>
      <c r="V15" t="s">
        <v>1568</v>
      </c>
      <c r="W15">
        <v>63.75</v>
      </c>
      <c r="X15" s="9">
        <f t="shared" si="8"/>
        <v>32.576250000000002</v>
      </c>
      <c r="Y15" s="3">
        <f t="shared" si="9"/>
        <v>50.417307692307688</v>
      </c>
      <c r="Z15" s="5">
        <f t="shared" si="10"/>
        <v>46.837500000000006</v>
      </c>
      <c r="AA15" s="7">
        <f t="shared" si="11"/>
        <v>43.734999999999999</v>
      </c>
    </row>
    <row r="16" spans="3:27" x14ac:dyDescent="0.25">
      <c r="C16" t="s">
        <v>1408</v>
      </c>
      <c r="D16">
        <v>400</v>
      </c>
      <c r="E16">
        <v>499</v>
      </c>
      <c r="F16" t="s">
        <v>1547</v>
      </c>
      <c r="G16">
        <v>31.85</v>
      </c>
      <c r="H16" s="9">
        <f t="shared" si="0"/>
        <v>16.27535</v>
      </c>
      <c r="I16" s="3">
        <f t="shared" si="1"/>
        <v>25.338999999999999</v>
      </c>
      <c r="J16" s="5">
        <f t="shared" si="2"/>
        <v>23.550500000000003</v>
      </c>
      <c r="K16" s="7">
        <f t="shared" si="3"/>
        <v>22.000466666666668</v>
      </c>
      <c r="M16" t="s">
        <v>1408</v>
      </c>
      <c r="N16" t="s">
        <v>1558</v>
      </c>
      <c r="O16">
        <v>37.21</v>
      </c>
      <c r="P16" s="9">
        <f t="shared" si="4"/>
        <v>19.014310000000002</v>
      </c>
      <c r="Q16" s="3">
        <f t="shared" si="5"/>
        <v>29.552784615384617</v>
      </c>
      <c r="R16" s="5">
        <f t="shared" si="6"/>
        <v>27.463300000000004</v>
      </c>
      <c r="S16" s="7">
        <f t="shared" si="7"/>
        <v>25.652413333333335</v>
      </c>
      <c r="U16" t="s">
        <v>1408</v>
      </c>
      <c r="V16" t="s">
        <v>1569</v>
      </c>
      <c r="W16">
        <v>70.739999999999995</v>
      </c>
      <c r="X16" s="9">
        <f t="shared" si="8"/>
        <v>36.148139999999998</v>
      </c>
      <c r="Y16" s="3">
        <f t="shared" si="9"/>
        <v>55.912523076923073</v>
      </c>
      <c r="Z16" s="5">
        <f t="shared" si="10"/>
        <v>51.940199999999997</v>
      </c>
      <c r="AA16" s="7">
        <f t="shared" si="11"/>
        <v>48.497519999999994</v>
      </c>
    </row>
    <row r="17" spans="3:27" x14ac:dyDescent="0.25">
      <c r="C17" t="s">
        <v>1412</v>
      </c>
      <c r="D17">
        <v>500</v>
      </c>
      <c r="E17">
        <v>599</v>
      </c>
      <c r="F17" t="s">
        <v>1548</v>
      </c>
      <c r="G17">
        <v>34.159999999999997</v>
      </c>
      <c r="H17" s="9">
        <f t="shared" si="0"/>
        <v>17.455759999999998</v>
      </c>
      <c r="I17" s="3">
        <f t="shared" si="1"/>
        <v>27.155015384615382</v>
      </c>
      <c r="J17" s="5">
        <f t="shared" si="2"/>
        <v>25.236799999999999</v>
      </c>
      <c r="K17" s="7">
        <f t="shared" si="3"/>
        <v>23.574346666666663</v>
      </c>
      <c r="M17" t="s">
        <v>1412</v>
      </c>
      <c r="N17" t="s">
        <v>1559</v>
      </c>
      <c r="O17">
        <v>39.94</v>
      </c>
      <c r="P17" s="9">
        <f t="shared" si="4"/>
        <v>20.40934</v>
      </c>
      <c r="Q17" s="3">
        <f t="shared" si="5"/>
        <v>31.698984615384614</v>
      </c>
      <c r="R17" s="5">
        <f t="shared" si="6"/>
        <v>29.456200000000003</v>
      </c>
      <c r="S17" s="7">
        <f t="shared" si="7"/>
        <v>27.512453333333333</v>
      </c>
      <c r="U17" t="s">
        <v>1412</v>
      </c>
      <c r="V17" t="s">
        <v>1570</v>
      </c>
      <c r="W17">
        <v>75.959999999999994</v>
      </c>
      <c r="X17" s="9">
        <f t="shared" si="8"/>
        <v>38.815559999999998</v>
      </c>
      <c r="Y17" s="3">
        <f t="shared" si="9"/>
        <v>60.016246153846147</v>
      </c>
      <c r="Z17" s="5">
        <f t="shared" si="10"/>
        <v>55.750799999999998</v>
      </c>
      <c r="AA17" s="7">
        <f t="shared" si="11"/>
        <v>52.054079999999992</v>
      </c>
    </row>
    <row r="18" spans="3:27" x14ac:dyDescent="0.25">
      <c r="C18" t="s">
        <v>1416</v>
      </c>
      <c r="D18">
        <v>600</v>
      </c>
      <c r="E18">
        <v>699</v>
      </c>
      <c r="F18" t="s">
        <v>1549</v>
      </c>
      <c r="G18">
        <v>36.69</v>
      </c>
      <c r="H18" s="9">
        <f t="shared" si="0"/>
        <v>18.74859</v>
      </c>
      <c r="I18" s="3">
        <f t="shared" si="1"/>
        <v>29.143984615384614</v>
      </c>
      <c r="J18" s="5">
        <f t="shared" si="2"/>
        <v>27.083700000000004</v>
      </c>
      <c r="K18" s="7">
        <f t="shared" si="3"/>
        <v>25.298120000000001</v>
      </c>
      <c r="M18" t="s">
        <v>1416</v>
      </c>
      <c r="N18" t="s">
        <v>1560</v>
      </c>
      <c r="O18">
        <v>42.9</v>
      </c>
      <c r="P18" s="9">
        <f t="shared" si="4"/>
        <v>21.921900000000001</v>
      </c>
      <c r="Q18" s="3">
        <f t="shared" si="5"/>
        <v>34.025999999999996</v>
      </c>
      <c r="R18" s="5">
        <f t="shared" si="6"/>
        <v>31.617000000000004</v>
      </c>
      <c r="S18" s="7">
        <f t="shared" si="7"/>
        <v>29.529200000000003</v>
      </c>
      <c r="U18" t="s">
        <v>1416</v>
      </c>
      <c r="V18" t="s">
        <v>1571</v>
      </c>
      <c r="W18">
        <v>81.27</v>
      </c>
      <c r="X18" s="9">
        <f t="shared" si="8"/>
        <v>41.528970000000001</v>
      </c>
      <c r="Y18" s="3">
        <f t="shared" si="9"/>
        <v>64.190723076923078</v>
      </c>
      <c r="Z18" s="5">
        <f t="shared" si="10"/>
        <v>59.627100000000006</v>
      </c>
      <c r="AA18" s="7">
        <f t="shared" si="11"/>
        <v>55.671959999999999</v>
      </c>
    </row>
    <row r="19" spans="3:27" x14ac:dyDescent="0.25">
      <c r="C19" t="s">
        <v>1420</v>
      </c>
      <c r="D19">
        <v>700</v>
      </c>
      <c r="E19">
        <v>799</v>
      </c>
      <c r="F19" t="s">
        <v>1550</v>
      </c>
      <c r="G19">
        <v>38.86</v>
      </c>
      <c r="H19" s="9">
        <f t="shared" si="0"/>
        <v>19.85746</v>
      </c>
      <c r="I19" s="3">
        <f t="shared" si="1"/>
        <v>30.849938461538461</v>
      </c>
      <c r="J19" s="5">
        <f t="shared" si="2"/>
        <v>28.667800000000003</v>
      </c>
      <c r="K19" s="7">
        <f t="shared" si="3"/>
        <v>26.776613333333334</v>
      </c>
      <c r="M19" t="s">
        <v>1420</v>
      </c>
      <c r="N19" t="s">
        <v>1561</v>
      </c>
      <c r="O19">
        <v>45.46</v>
      </c>
      <c r="P19" s="9">
        <f t="shared" si="4"/>
        <v>23.230060000000002</v>
      </c>
      <c r="Q19" s="3">
        <f t="shared" si="5"/>
        <v>36.038553846153846</v>
      </c>
      <c r="R19" s="5">
        <f t="shared" si="6"/>
        <v>33.485800000000005</v>
      </c>
      <c r="S19" s="7">
        <f t="shared" si="7"/>
        <v>31.273413333333338</v>
      </c>
      <c r="U19" t="s">
        <v>1420</v>
      </c>
      <c r="V19" t="s">
        <v>1572</v>
      </c>
      <c r="W19">
        <v>86.93</v>
      </c>
      <c r="X19" s="9">
        <f t="shared" si="8"/>
        <v>44.421230000000001</v>
      </c>
      <c r="Y19" s="3">
        <f t="shared" si="9"/>
        <v>68.640353846153843</v>
      </c>
      <c r="Z19" s="5">
        <f t="shared" si="10"/>
        <v>63.758900000000004</v>
      </c>
      <c r="AA19" s="7">
        <f t="shared" si="11"/>
        <v>59.528306666666666</v>
      </c>
    </row>
    <row r="20" spans="3:27" x14ac:dyDescent="0.25">
      <c r="C20" t="s">
        <v>1424</v>
      </c>
      <c r="D20">
        <v>800</v>
      </c>
      <c r="E20">
        <v>899</v>
      </c>
      <c r="F20" t="s">
        <v>1551</v>
      </c>
      <c r="G20">
        <v>42.7</v>
      </c>
      <c r="H20" s="9">
        <f t="shared" si="0"/>
        <v>21.819700000000001</v>
      </c>
      <c r="I20" s="3">
        <f t="shared" si="1"/>
        <v>33.868769230769232</v>
      </c>
      <c r="J20" s="5">
        <f t="shared" si="2"/>
        <v>31.471000000000004</v>
      </c>
      <c r="K20" s="7">
        <f t="shared" si="3"/>
        <v>29.392933333333335</v>
      </c>
      <c r="M20" t="s">
        <v>1424</v>
      </c>
      <c r="N20" t="s">
        <v>1562</v>
      </c>
      <c r="O20">
        <v>49.99</v>
      </c>
      <c r="P20" s="9">
        <f t="shared" si="4"/>
        <v>25.544890000000002</v>
      </c>
      <c r="Q20" s="3">
        <f t="shared" si="5"/>
        <v>39.59983076923077</v>
      </c>
      <c r="R20" s="5">
        <f t="shared" si="6"/>
        <v>36.792700000000004</v>
      </c>
      <c r="S20" s="7">
        <f t="shared" si="7"/>
        <v>34.359853333333334</v>
      </c>
      <c r="U20" t="s">
        <v>1424</v>
      </c>
      <c r="V20" t="s">
        <v>1573</v>
      </c>
      <c r="W20">
        <v>95.65</v>
      </c>
      <c r="X20" s="9">
        <f t="shared" si="8"/>
        <v>48.87715</v>
      </c>
      <c r="Y20" s="3">
        <f t="shared" si="9"/>
        <v>75.495615384615377</v>
      </c>
      <c r="Z20" s="5">
        <f t="shared" si="10"/>
        <v>70.124499999999998</v>
      </c>
      <c r="AA20" s="7">
        <f t="shared" si="11"/>
        <v>65.469533333333331</v>
      </c>
    </row>
    <row r="23" spans="3:27" x14ac:dyDescent="0.25">
      <c r="C23" t="s">
        <v>1574</v>
      </c>
      <c r="F23" t="s">
        <v>1575</v>
      </c>
    </row>
    <row r="24" spans="3:27" x14ac:dyDescent="0.25">
      <c r="F24" t="s">
        <v>1576</v>
      </c>
    </row>
    <row r="25" spans="3:27" x14ac:dyDescent="0.25">
      <c r="F25" t="s">
        <v>1577</v>
      </c>
    </row>
    <row r="27" spans="3:27" x14ac:dyDescent="0.25">
      <c r="C27" t="s">
        <v>1578</v>
      </c>
      <c r="F27" t="s">
        <v>1579</v>
      </c>
    </row>
    <row r="28" spans="3:27" x14ac:dyDescent="0.25">
      <c r="F28" t="s">
        <v>1580</v>
      </c>
    </row>
    <row r="29" spans="3:27" x14ac:dyDescent="0.25">
      <c r="F29" t="s">
        <v>1581</v>
      </c>
    </row>
    <row r="30" spans="3:27" x14ac:dyDescent="0.25">
      <c r="F30" t="s">
        <v>1582</v>
      </c>
    </row>
    <row r="31" spans="3:27" x14ac:dyDescent="0.25">
      <c r="F31" t="s">
        <v>1583</v>
      </c>
    </row>
    <row r="32" spans="3:27" x14ac:dyDescent="0.25">
      <c r="F32" t="s">
        <v>1584</v>
      </c>
    </row>
  </sheetData>
  <mergeCells count="1">
    <mergeCell ref="V6:X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0E05-E5DC-444D-8A52-70C09F1B935B}">
  <sheetPr>
    <tabColor theme="5" tint="-0.499984740745262"/>
  </sheetPr>
  <dimension ref="B1:S116"/>
  <sheetViews>
    <sheetView topLeftCell="A28" workbookViewId="0">
      <selection activeCell="M24" sqref="M24"/>
    </sheetView>
  </sheetViews>
  <sheetFormatPr defaultRowHeight="15" x14ac:dyDescent="0.25"/>
  <cols>
    <col min="3" max="3" width="14.85546875" bestFit="1" customWidth="1"/>
    <col min="4" max="5" width="10.28515625" bestFit="1" customWidth="1"/>
    <col min="6" max="7" width="11.140625" bestFit="1" customWidth="1"/>
    <col min="8" max="8" width="10.140625" bestFit="1" customWidth="1"/>
    <col min="14" max="14" width="22" customWidth="1"/>
    <col min="17" max="17" width="21.42578125" bestFit="1" customWidth="1"/>
    <col min="18" max="18" width="12.140625" customWidth="1"/>
  </cols>
  <sheetData>
    <row r="1" spans="2:12" ht="14.25" x14ac:dyDescent="0.25">
      <c r="L1" t="s">
        <v>402</v>
      </c>
    </row>
    <row r="2" spans="2:12" ht="14.25" x14ac:dyDescent="0.25">
      <c r="C2" s="8"/>
      <c r="D2" s="2"/>
      <c r="E2" s="4"/>
      <c r="F2" s="6"/>
      <c r="K2">
        <v>46143</v>
      </c>
    </row>
    <row r="3" spans="2:12" ht="14.25" x14ac:dyDescent="0.25">
      <c r="C3" t="s">
        <v>1673</v>
      </c>
      <c r="D3" t="s">
        <v>1378</v>
      </c>
      <c r="E3" t="s">
        <v>1379</v>
      </c>
      <c r="F3" t="s">
        <v>1380</v>
      </c>
      <c r="L3" t="s">
        <v>112</v>
      </c>
    </row>
    <row r="4" spans="2:12" ht="14.25" x14ac:dyDescent="0.25">
      <c r="L4" t="s">
        <v>403</v>
      </c>
    </row>
    <row r="6" spans="2:12" ht="14.25" x14ac:dyDescent="0.25">
      <c r="B6" t="s">
        <v>1510</v>
      </c>
      <c r="E6" t="s">
        <v>0</v>
      </c>
    </row>
    <row r="7" spans="2:12" ht="14.25" x14ac:dyDescent="0.25">
      <c r="B7" t="s">
        <v>63</v>
      </c>
      <c r="C7">
        <v>1</v>
      </c>
      <c r="D7" t="s">
        <v>79</v>
      </c>
      <c r="E7">
        <v>0.18</v>
      </c>
      <c r="K7" t="s">
        <v>114</v>
      </c>
      <c r="L7" t="s">
        <v>114</v>
      </c>
    </row>
    <row r="8" spans="2:12" ht="14.25" x14ac:dyDescent="0.25">
      <c r="B8" t="s">
        <v>64</v>
      </c>
      <c r="C8" t="s">
        <v>404</v>
      </c>
      <c r="D8" t="s">
        <v>75</v>
      </c>
      <c r="F8" t="s">
        <v>1378</v>
      </c>
      <c r="G8" t="s">
        <v>1379</v>
      </c>
      <c r="H8" t="s">
        <v>1380</v>
      </c>
      <c r="I8" t="s">
        <v>1674</v>
      </c>
      <c r="J8" t="s">
        <v>1677</v>
      </c>
      <c r="K8" t="s">
        <v>115</v>
      </c>
      <c r="L8" t="s">
        <v>65</v>
      </c>
    </row>
    <row r="9" spans="2:12" ht="14.25" x14ac:dyDescent="0.25">
      <c r="B9" t="s">
        <v>405</v>
      </c>
      <c r="C9" t="s">
        <v>10</v>
      </c>
      <c r="D9">
        <v>26.52</v>
      </c>
      <c r="E9" s="9">
        <f t="shared" ref="E9:E43" si="0">D9*$E$7</f>
        <v>4.7736000000000001</v>
      </c>
      <c r="F9" s="3">
        <f>(E9/0.65)+0.3</f>
        <v>7.6439999999999992</v>
      </c>
      <c r="G9" s="5">
        <f>(E9/0.7)+0.3</f>
        <v>7.1194285714285721</v>
      </c>
      <c r="H9" s="7">
        <f>(E9/0.75)+0.3</f>
        <v>6.6647999999999996</v>
      </c>
      <c r="I9" s="3">
        <f>(E9/0.8)+0.3</f>
        <v>6.2669999999999995</v>
      </c>
      <c r="J9" s="3">
        <f>(E9/0.85)+0.3</f>
        <v>5.9160000000000004</v>
      </c>
      <c r="K9">
        <v>12</v>
      </c>
      <c r="L9" t="s">
        <v>6</v>
      </c>
    </row>
    <row r="10" spans="2:12" ht="14.25" x14ac:dyDescent="0.25">
      <c r="B10" t="s">
        <v>406</v>
      </c>
      <c r="C10" t="s">
        <v>12</v>
      </c>
      <c r="D10">
        <v>27.97</v>
      </c>
      <c r="E10" s="9">
        <f t="shared" si="0"/>
        <v>5.0345999999999993</v>
      </c>
      <c r="F10" s="3">
        <f t="shared" ref="F10:F43" si="1">(E10/0.65)+0.3</f>
        <v>8.0455384615384613</v>
      </c>
      <c r="G10" s="5">
        <f t="shared" ref="G10:G43" si="2">(E10/0.7)+0.3</f>
        <v>7.492285714285714</v>
      </c>
      <c r="H10" s="7">
        <f t="shared" ref="H10:H43" si="3">(E10/0.75)+0.3</f>
        <v>7.0127999999999986</v>
      </c>
      <c r="I10" s="3">
        <f t="shared" ref="I10:I73" si="4">(E10/0.8)+0.3</f>
        <v>6.5932499999999985</v>
      </c>
      <c r="J10" s="3">
        <f t="shared" ref="J10:J73" si="5">(E10/0.85)+0.3</f>
        <v>6.2230588235294109</v>
      </c>
      <c r="K10">
        <v>12</v>
      </c>
      <c r="L10" t="s">
        <v>30</v>
      </c>
    </row>
    <row r="11" spans="2:12" ht="14.25" x14ac:dyDescent="0.25">
      <c r="B11" t="s">
        <v>407</v>
      </c>
      <c r="C11" t="s">
        <v>13</v>
      </c>
      <c r="D11">
        <v>40.869999999999997</v>
      </c>
      <c r="E11" s="9">
        <f t="shared" si="0"/>
        <v>7.3565999999999994</v>
      </c>
      <c r="F11" s="3">
        <f t="shared" si="1"/>
        <v>11.617846153846154</v>
      </c>
      <c r="G11" s="5">
        <f t="shared" si="2"/>
        <v>10.809428571428572</v>
      </c>
      <c r="H11" s="7">
        <f t="shared" si="3"/>
        <v>10.1088</v>
      </c>
      <c r="I11" s="3">
        <f t="shared" si="4"/>
        <v>9.4957499999999992</v>
      </c>
      <c r="J11" s="3">
        <f t="shared" si="5"/>
        <v>8.9548235294117653</v>
      </c>
      <c r="K11">
        <v>12</v>
      </c>
      <c r="L11" t="s">
        <v>35</v>
      </c>
    </row>
    <row r="12" spans="2:12" ht="14.25" x14ac:dyDescent="0.25">
      <c r="B12" t="s">
        <v>408</v>
      </c>
      <c r="C12" t="s">
        <v>15</v>
      </c>
      <c r="D12">
        <v>41.3</v>
      </c>
      <c r="E12" s="9">
        <f t="shared" si="0"/>
        <v>7.4339999999999993</v>
      </c>
      <c r="F12" s="3">
        <f t="shared" si="1"/>
        <v>11.736923076923077</v>
      </c>
      <c r="G12" s="5">
        <f t="shared" si="2"/>
        <v>10.92</v>
      </c>
      <c r="H12" s="7">
        <f t="shared" si="3"/>
        <v>10.212</v>
      </c>
      <c r="I12" s="3">
        <f t="shared" si="4"/>
        <v>9.5924999999999994</v>
      </c>
      <c r="J12" s="3">
        <f t="shared" si="5"/>
        <v>9.0458823529411774</v>
      </c>
      <c r="K12">
        <v>12</v>
      </c>
      <c r="L12" t="s">
        <v>30</v>
      </c>
    </row>
    <row r="13" spans="2:12" ht="14.25" x14ac:dyDescent="0.25">
      <c r="B13" t="s">
        <v>409</v>
      </c>
      <c r="C13" t="s">
        <v>16</v>
      </c>
      <c r="D13">
        <v>26.66</v>
      </c>
      <c r="E13" s="9">
        <f t="shared" si="0"/>
        <v>4.7988</v>
      </c>
      <c r="F13" s="3">
        <f t="shared" si="1"/>
        <v>7.6827692307692299</v>
      </c>
      <c r="G13" s="5">
        <f t="shared" si="2"/>
        <v>7.1554285714285717</v>
      </c>
      <c r="H13" s="7">
        <f t="shared" si="3"/>
        <v>6.6983999999999995</v>
      </c>
      <c r="I13" s="3">
        <f t="shared" si="4"/>
        <v>6.2984999999999998</v>
      </c>
      <c r="J13" s="3">
        <f t="shared" si="5"/>
        <v>5.9456470588235293</v>
      </c>
      <c r="K13">
        <v>12</v>
      </c>
      <c r="L13" t="s">
        <v>3</v>
      </c>
    </row>
    <row r="14" spans="2:12" ht="14.25" x14ac:dyDescent="0.25">
      <c r="B14" t="s">
        <v>410</v>
      </c>
      <c r="C14" t="s">
        <v>17</v>
      </c>
      <c r="D14">
        <v>28.8</v>
      </c>
      <c r="E14" s="9">
        <f t="shared" si="0"/>
        <v>5.1840000000000002</v>
      </c>
      <c r="F14" s="3">
        <f t="shared" si="1"/>
        <v>8.2753846153846151</v>
      </c>
      <c r="G14" s="5">
        <f t="shared" si="2"/>
        <v>7.7057142857142864</v>
      </c>
      <c r="H14" s="7">
        <f t="shared" si="3"/>
        <v>7.2119999999999997</v>
      </c>
      <c r="I14" s="3">
        <f t="shared" si="4"/>
        <v>6.7799999999999994</v>
      </c>
      <c r="J14" s="3">
        <f t="shared" si="5"/>
        <v>6.3988235294117652</v>
      </c>
      <c r="K14">
        <v>12</v>
      </c>
      <c r="L14" t="s">
        <v>35</v>
      </c>
    </row>
    <row r="15" spans="2:12" ht="14.25" x14ac:dyDescent="0.25">
      <c r="B15" t="s">
        <v>411</v>
      </c>
      <c r="C15" t="s">
        <v>19</v>
      </c>
      <c r="D15">
        <v>26.34</v>
      </c>
      <c r="E15" s="9">
        <f t="shared" si="0"/>
        <v>4.7412000000000001</v>
      </c>
      <c r="F15" s="3">
        <f t="shared" si="1"/>
        <v>7.594153846153846</v>
      </c>
      <c r="G15" s="5">
        <f t="shared" si="2"/>
        <v>7.0731428571428578</v>
      </c>
      <c r="H15" s="7">
        <f t="shared" si="3"/>
        <v>6.6215999999999999</v>
      </c>
      <c r="I15" s="3">
        <f t="shared" si="4"/>
        <v>6.2264999999999997</v>
      </c>
      <c r="J15" s="3">
        <f t="shared" si="5"/>
        <v>5.8778823529411763</v>
      </c>
      <c r="K15">
        <v>12</v>
      </c>
      <c r="L15" t="s">
        <v>88</v>
      </c>
    </row>
    <row r="16" spans="2:12" ht="14.25" x14ac:dyDescent="0.25">
      <c r="B16" t="s">
        <v>412</v>
      </c>
      <c r="C16" t="s">
        <v>21</v>
      </c>
      <c r="D16">
        <v>28.13</v>
      </c>
      <c r="E16" s="9">
        <f t="shared" si="0"/>
        <v>5.0633999999999997</v>
      </c>
      <c r="F16" s="3">
        <f t="shared" si="1"/>
        <v>8.0898461538461532</v>
      </c>
      <c r="G16" s="5">
        <f t="shared" si="2"/>
        <v>7.5334285714285709</v>
      </c>
      <c r="H16" s="7">
        <f t="shared" si="3"/>
        <v>7.0511999999999997</v>
      </c>
      <c r="I16" s="3">
        <f t="shared" si="4"/>
        <v>6.629249999999999</v>
      </c>
      <c r="J16" s="3">
        <f t="shared" si="5"/>
        <v>6.2569411764705878</v>
      </c>
      <c r="K16">
        <v>12</v>
      </c>
      <c r="L16" t="s">
        <v>88</v>
      </c>
    </row>
    <row r="17" spans="2:15" ht="14.25" x14ac:dyDescent="0.25">
      <c r="B17" t="s">
        <v>413</v>
      </c>
      <c r="C17" t="s">
        <v>23</v>
      </c>
      <c r="D17">
        <v>41.3</v>
      </c>
      <c r="E17" s="9">
        <f t="shared" si="0"/>
        <v>7.4339999999999993</v>
      </c>
      <c r="F17" s="3">
        <f t="shared" si="1"/>
        <v>11.736923076923077</v>
      </c>
      <c r="G17" s="5">
        <f t="shared" si="2"/>
        <v>10.92</v>
      </c>
      <c r="H17" s="7">
        <f t="shared" si="3"/>
        <v>10.212</v>
      </c>
      <c r="I17" s="3">
        <f t="shared" si="4"/>
        <v>9.5924999999999994</v>
      </c>
      <c r="J17" s="3">
        <f t="shared" si="5"/>
        <v>9.0458823529411774</v>
      </c>
      <c r="K17">
        <v>12</v>
      </c>
      <c r="L17" t="s">
        <v>35</v>
      </c>
    </row>
    <row r="18" spans="2:15" ht="14.25" x14ac:dyDescent="0.25">
      <c r="B18" t="s">
        <v>414</v>
      </c>
      <c r="C18" t="s">
        <v>11</v>
      </c>
      <c r="D18">
        <v>25.31</v>
      </c>
      <c r="E18" s="9">
        <f t="shared" si="0"/>
        <v>4.5557999999999996</v>
      </c>
      <c r="F18" s="3">
        <f t="shared" si="1"/>
        <v>7.308923076923076</v>
      </c>
      <c r="G18" s="5">
        <f t="shared" si="2"/>
        <v>6.8082857142857138</v>
      </c>
      <c r="H18" s="7">
        <f t="shared" si="3"/>
        <v>6.3743999999999996</v>
      </c>
      <c r="I18" s="3">
        <f t="shared" si="4"/>
        <v>5.9947499999999989</v>
      </c>
      <c r="J18" s="3">
        <f t="shared" si="5"/>
        <v>5.6597647058823526</v>
      </c>
      <c r="K18">
        <v>12</v>
      </c>
      <c r="L18" t="s">
        <v>5</v>
      </c>
    </row>
    <row r="19" spans="2:15" ht="14.25" x14ac:dyDescent="0.25">
      <c r="B19" t="s">
        <v>415</v>
      </c>
      <c r="C19" t="s">
        <v>25</v>
      </c>
      <c r="D19">
        <v>26.87</v>
      </c>
      <c r="E19" s="9">
        <f t="shared" si="0"/>
        <v>4.8365999999999998</v>
      </c>
      <c r="F19" s="3">
        <f t="shared" si="1"/>
        <v>7.7409230769230764</v>
      </c>
      <c r="G19" s="5">
        <f t="shared" si="2"/>
        <v>7.2094285714285711</v>
      </c>
      <c r="H19" s="7">
        <f t="shared" si="3"/>
        <v>6.7487999999999992</v>
      </c>
      <c r="I19" s="3">
        <f t="shared" si="4"/>
        <v>6.3457499999999989</v>
      </c>
      <c r="J19" s="3">
        <f t="shared" si="5"/>
        <v>5.9901176470588231</v>
      </c>
      <c r="K19">
        <v>12</v>
      </c>
      <c r="L19" t="s">
        <v>35</v>
      </c>
    </row>
    <row r="20" spans="2:15" ht="14.25" x14ac:dyDescent="0.25">
      <c r="B20" t="s">
        <v>416</v>
      </c>
      <c r="C20" t="s">
        <v>14</v>
      </c>
      <c r="D20">
        <v>43.25</v>
      </c>
      <c r="E20" s="9">
        <f t="shared" si="0"/>
        <v>7.7850000000000001</v>
      </c>
      <c r="F20" s="3">
        <f t="shared" si="1"/>
        <v>12.276923076923078</v>
      </c>
      <c r="G20" s="5">
        <f t="shared" si="2"/>
        <v>11.421428571428573</v>
      </c>
      <c r="H20" s="7">
        <f t="shared" si="3"/>
        <v>10.680000000000001</v>
      </c>
      <c r="I20" s="3">
        <f t="shared" si="4"/>
        <v>10.03125</v>
      </c>
      <c r="J20" s="3">
        <f t="shared" si="5"/>
        <v>9.4588235294117666</v>
      </c>
      <c r="K20">
        <v>12</v>
      </c>
      <c r="L20" t="s">
        <v>35</v>
      </c>
    </row>
    <row r="21" spans="2:15" ht="14.25" x14ac:dyDescent="0.25">
      <c r="B21" t="s">
        <v>417</v>
      </c>
      <c r="C21" t="s">
        <v>27</v>
      </c>
      <c r="D21">
        <v>28.8</v>
      </c>
      <c r="E21" s="9">
        <f t="shared" si="0"/>
        <v>5.1840000000000002</v>
      </c>
      <c r="F21" s="3">
        <f t="shared" si="1"/>
        <v>8.2753846153846151</v>
      </c>
      <c r="G21" s="5">
        <f t="shared" si="2"/>
        <v>7.7057142857142864</v>
      </c>
      <c r="H21" s="7">
        <f t="shared" si="3"/>
        <v>7.2119999999999997</v>
      </c>
      <c r="I21" s="3">
        <f t="shared" si="4"/>
        <v>6.7799999999999994</v>
      </c>
      <c r="J21" s="3">
        <f t="shared" si="5"/>
        <v>6.3988235294117652</v>
      </c>
      <c r="K21">
        <v>12</v>
      </c>
      <c r="L21" t="s">
        <v>59</v>
      </c>
    </row>
    <row r="22" spans="2:15" ht="14.25" x14ac:dyDescent="0.25">
      <c r="B22" t="s">
        <v>418</v>
      </c>
      <c r="C22" t="s">
        <v>29</v>
      </c>
      <c r="D22">
        <v>44.82</v>
      </c>
      <c r="E22" s="9">
        <f t="shared" si="0"/>
        <v>8.0676000000000005</v>
      </c>
      <c r="F22" s="3">
        <f t="shared" si="1"/>
        <v>12.711692307692308</v>
      </c>
      <c r="G22" s="5">
        <f t="shared" si="2"/>
        <v>11.825142857142859</v>
      </c>
      <c r="H22" s="7">
        <f t="shared" si="3"/>
        <v>11.056800000000001</v>
      </c>
      <c r="I22" s="3">
        <f t="shared" si="4"/>
        <v>10.384500000000001</v>
      </c>
      <c r="J22" s="3">
        <f t="shared" si="5"/>
        <v>9.7912941176470607</v>
      </c>
      <c r="K22">
        <v>12</v>
      </c>
      <c r="L22" t="s">
        <v>35</v>
      </c>
    </row>
    <row r="23" spans="2:15" ht="14.25" x14ac:dyDescent="0.25">
      <c r="B23" t="s">
        <v>419</v>
      </c>
      <c r="C23" t="s">
        <v>31</v>
      </c>
      <c r="D23">
        <v>26.52</v>
      </c>
      <c r="E23" s="9">
        <f t="shared" si="0"/>
        <v>4.7736000000000001</v>
      </c>
      <c r="F23" s="3">
        <f t="shared" si="1"/>
        <v>7.6439999999999992</v>
      </c>
      <c r="G23" s="5">
        <f t="shared" si="2"/>
        <v>7.1194285714285721</v>
      </c>
      <c r="H23" s="7">
        <f t="shared" si="3"/>
        <v>6.6647999999999996</v>
      </c>
      <c r="I23" s="3">
        <f t="shared" si="4"/>
        <v>6.2669999999999995</v>
      </c>
      <c r="J23" s="3">
        <f t="shared" si="5"/>
        <v>5.9160000000000004</v>
      </c>
      <c r="K23">
        <v>12</v>
      </c>
      <c r="L23" t="s">
        <v>35</v>
      </c>
      <c r="O23" t="s">
        <v>58</v>
      </c>
    </row>
    <row r="24" spans="2:15" ht="14.25" x14ac:dyDescent="0.25">
      <c r="B24" t="s">
        <v>420</v>
      </c>
      <c r="C24" t="s">
        <v>153</v>
      </c>
      <c r="D24">
        <v>44.82</v>
      </c>
      <c r="E24" s="9">
        <f t="shared" si="0"/>
        <v>8.0676000000000005</v>
      </c>
      <c r="F24" s="3">
        <f t="shared" si="1"/>
        <v>12.711692307692308</v>
      </c>
      <c r="G24" s="5">
        <f t="shared" si="2"/>
        <v>11.825142857142859</v>
      </c>
      <c r="H24" s="7">
        <f t="shared" si="3"/>
        <v>11.056800000000001</v>
      </c>
      <c r="I24" s="3">
        <f t="shared" si="4"/>
        <v>10.384500000000001</v>
      </c>
      <c r="J24" s="3">
        <f t="shared" si="5"/>
        <v>9.7912941176470607</v>
      </c>
      <c r="K24">
        <v>12</v>
      </c>
      <c r="L24" t="s">
        <v>59</v>
      </c>
    </row>
    <row r="25" spans="2:15" ht="14.25" x14ac:dyDescent="0.25">
      <c r="B25" t="s">
        <v>421</v>
      </c>
      <c r="C25" t="s">
        <v>32</v>
      </c>
      <c r="D25">
        <v>39.17</v>
      </c>
      <c r="E25" s="9">
        <f t="shared" si="0"/>
        <v>7.0506000000000002</v>
      </c>
      <c r="F25" s="3">
        <f t="shared" si="1"/>
        <v>11.147076923076924</v>
      </c>
      <c r="G25" s="5">
        <f t="shared" si="2"/>
        <v>10.372285714285717</v>
      </c>
      <c r="H25" s="7">
        <f t="shared" si="3"/>
        <v>9.700800000000001</v>
      </c>
      <c r="I25" s="3">
        <f t="shared" si="4"/>
        <v>9.1132500000000007</v>
      </c>
      <c r="J25" s="3">
        <f t="shared" si="5"/>
        <v>8.5948235294117659</v>
      </c>
      <c r="K25">
        <v>12</v>
      </c>
      <c r="L25" t="s">
        <v>9</v>
      </c>
    </row>
    <row r="26" spans="2:15" ht="14.25" x14ac:dyDescent="0.25">
      <c r="B26" t="s">
        <v>422</v>
      </c>
      <c r="C26" t="s">
        <v>2</v>
      </c>
      <c r="D26">
        <v>25.59</v>
      </c>
      <c r="E26" s="9">
        <f t="shared" si="0"/>
        <v>4.6061999999999994</v>
      </c>
      <c r="F26" s="3">
        <f t="shared" si="1"/>
        <v>7.3864615384615373</v>
      </c>
      <c r="G26" s="5">
        <f t="shared" si="2"/>
        <v>6.8802857142857139</v>
      </c>
      <c r="H26" s="7">
        <f t="shared" si="3"/>
        <v>6.4415999999999993</v>
      </c>
      <c r="I26" s="3">
        <f t="shared" si="4"/>
        <v>6.0577499999999986</v>
      </c>
      <c r="J26" s="3">
        <f t="shared" si="5"/>
        <v>5.7190588235294113</v>
      </c>
      <c r="K26">
        <v>12</v>
      </c>
      <c r="L26" t="s">
        <v>35</v>
      </c>
    </row>
    <row r="27" spans="2:15" ht="14.25" x14ac:dyDescent="0.25">
      <c r="B27" t="s">
        <v>423</v>
      </c>
      <c r="C27" t="s">
        <v>18</v>
      </c>
      <c r="D27">
        <v>36.729999999999997</v>
      </c>
      <c r="E27" s="9">
        <f t="shared" si="0"/>
        <v>6.6113999999999988</v>
      </c>
      <c r="F27" s="3">
        <f t="shared" si="1"/>
        <v>10.471384615384613</v>
      </c>
      <c r="G27" s="5">
        <f t="shared" si="2"/>
        <v>9.7448571428571427</v>
      </c>
      <c r="H27" s="7">
        <f t="shared" si="3"/>
        <v>9.1151999999999997</v>
      </c>
      <c r="I27" s="3">
        <f t="shared" si="4"/>
        <v>8.5642499999999995</v>
      </c>
      <c r="J27" s="3">
        <f t="shared" si="5"/>
        <v>8.0781176470588232</v>
      </c>
      <c r="K27">
        <v>12</v>
      </c>
      <c r="L27" t="s">
        <v>35</v>
      </c>
    </row>
    <row r="28" spans="2:15" ht="14.25" x14ac:dyDescent="0.25">
      <c r="B28" t="s">
        <v>424</v>
      </c>
      <c r="C28" t="s">
        <v>4</v>
      </c>
      <c r="D28">
        <v>28.36</v>
      </c>
      <c r="E28" s="9">
        <f t="shared" si="0"/>
        <v>5.1048</v>
      </c>
      <c r="F28" s="3">
        <f t="shared" si="1"/>
        <v>8.1535384615384618</v>
      </c>
      <c r="G28" s="5">
        <f t="shared" si="2"/>
        <v>7.5925714285714285</v>
      </c>
      <c r="H28" s="7">
        <f t="shared" si="3"/>
        <v>7.1063999999999998</v>
      </c>
      <c r="I28" s="3">
        <f t="shared" si="4"/>
        <v>6.6809999999999992</v>
      </c>
      <c r="J28" s="3">
        <f t="shared" si="5"/>
        <v>6.3056470588235296</v>
      </c>
      <c r="K28">
        <v>12</v>
      </c>
      <c r="L28" t="s">
        <v>59</v>
      </c>
    </row>
    <row r="29" spans="2:15" ht="14.25" x14ac:dyDescent="0.25">
      <c r="B29" t="s">
        <v>425</v>
      </c>
      <c r="C29" t="s">
        <v>20</v>
      </c>
      <c r="D29">
        <v>44.82</v>
      </c>
      <c r="E29" s="9">
        <f t="shared" si="0"/>
        <v>8.0676000000000005</v>
      </c>
      <c r="F29" s="3">
        <f t="shared" si="1"/>
        <v>12.711692307692308</v>
      </c>
      <c r="G29" s="5">
        <f t="shared" si="2"/>
        <v>11.825142857142859</v>
      </c>
      <c r="H29" s="7">
        <f t="shared" si="3"/>
        <v>11.056800000000001</v>
      </c>
      <c r="I29" s="3">
        <f t="shared" si="4"/>
        <v>10.384500000000001</v>
      </c>
      <c r="J29" s="3">
        <f t="shared" si="5"/>
        <v>9.7912941176470607</v>
      </c>
      <c r="K29">
        <v>12</v>
      </c>
      <c r="L29" t="s">
        <v>59</v>
      </c>
    </row>
    <row r="30" spans="2:15" ht="14.25" x14ac:dyDescent="0.25">
      <c r="B30" t="s">
        <v>426</v>
      </c>
      <c r="C30" t="s">
        <v>22</v>
      </c>
      <c r="D30">
        <v>41.3</v>
      </c>
      <c r="E30" s="9">
        <f t="shared" si="0"/>
        <v>7.4339999999999993</v>
      </c>
      <c r="F30" s="3">
        <f t="shared" si="1"/>
        <v>11.736923076923077</v>
      </c>
      <c r="G30" s="5">
        <f t="shared" si="2"/>
        <v>10.92</v>
      </c>
      <c r="H30" s="7">
        <f t="shared" si="3"/>
        <v>10.212</v>
      </c>
      <c r="I30" s="3">
        <f t="shared" si="4"/>
        <v>9.5924999999999994</v>
      </c>
      <c r="J30" s="3">
        <f t="shared" si="5"/>
        <v>9.0458823529411774</v>
      </c>
      <c r="K30">
        <v>12</v>
      </c>
      <c r="L30" t="s">
        <v>30</v>
      </c>
    </row>
    <row r="31" spans="2:15" ht="14.25" x14ac:dyDescent="0.25">
      <c r="B31" t="s">
        <v>427</v>
      </c>
      <c r="C31" t="s">
        <v>24</v>
      </c>
      <c r="D31">
        <v>39.17</v>
      </c>
      <c r="E31" s="9">
        <f t="shared" si="0"/>
        <v>7.0506000000000002</v>
      </c>
      <c r="F31" s="3">
        <f t="shared" si="1"/>
        <v>11.147076923076924</v>
      </c>
      <c r="G31" s="5">
        <f t="shared" si="2"/>
        <v>10.372285714285717</v>
      </c>
      <c r="H31" s="7">
        <f t="shared" si="3"/>
        <v>9.700800000000001</v>
      </c>
      <c r="I31" s="3">
        <f t="shared" si="4"/>
        <v>9.1132500000000007</v>
      </c>
      <c r="J31" s="3">
        <f t="shared" si="5"/>
        <v>8.5948235294117659</v>
      </c>
      <c r="K31">
        <v>12</v>
      </c>
      <c r="L31" t="s">
        <v>56</v>
      </c>
    </row>
    <row r="32" spans="2:15" ht="14.25" x14ac:dyDescent="0.25">
      <c r="B32" t="s">
        <v>428</v>
      </c>
      <c r="C32" t="s">
        <v>26</v>
      </c>
      <c r="D32">
        <v>32.94</v>
      </c>
      <c r="E32" s="9">
        <f t="shared" si="0"/>
        <v>5.9291999999999998</v>
      </c>
      <c r="F32" s="3">
        <f t="shared" si="1"/>
        <v>9.421846153846154</v>
      </c>
      <c r="G32" s="5">
        <f t="shared" si="2"/>
        <v>8.7702857142857145</v>
      </c>
      <c r="H32" s="7">
        <f t="shared" si="3"/>
        <v>8.2056000000000004</v>
      </c>
      <c r="I32" s="3">
        <f t="shared" si="4"/>
        <v>7.7114999999999991</v>
      </c>
      <c r="J32" s="3">
        <f t="shared" si="5"/>
        <v>7.2755294117647056</v>
      </c>
      <c r="K32">
        <v>12</v>
      </c>
      <c r="L32" t="s">
        <v>59</v>
      </c>
    </row>
    <row r="33" spans="2:12" ht="14.25" x14ac:dyDescent="0.25">
      <c r="B33" t="s">
        <v>429</v>
      </c>
      <c r="C33" t="s">
        <v>34</v>
      </c>
      <c r="D33">
        <v>36.729999999999997</v>
      </c>
      <c r="E33" s="9">
        <f t="shared" si="0"/>
        <v>6.6113999999999988</v>
      </c>
      <c r="F33" s="3">
        <f t="shared" si="1"/>
        <v>10.471384615384613</v>
      </c>
      <c r="G33" s="5">
        <f t="shared" si="2"/>
        <v>9.7448571428571427</v>
      </c>
      <c r="H33" s="7">
        <f t="shared" si="3"/>
        <v>9.1151999999999997</v>
      </c>
      <c r="I33" s="3">
        <f t="shared" si="4"/>
        <v>8.5642499999999995</v>
      </c>
      <c r="J33" s="3">
        <f t="shared" si="5"/>
        <v>8.0781176470588232</v>
      </c>
      <c r="K33">
        <v>12</v>
      </c>
      <c r="L33" t="s">
        <v>88</v>
      </c>
    </row>
    <row r="34" spans="2:12" ht="14.25" x14ac:dyDescent="0.25">
      <c r="B34" t="s">
        <v>430</v>
      </c>
      <c r="C34" t="s">
        <v>28</v>
      </c>
      <c r="D34">
        <v>43.1</v>
      </c>
      <c r="E34" s="9">
        <f t="shared" si="0"/>
        <v>7.758</v>
      </c>
      <c r="F34" s="3">
        <f t="shared" si="1"/>
        <v>12.235384615384616</v>
      </c>
      <c r="G34" s="5">
        <f t="shared" si="2"/>
        <v>11.382857142857144</v>
      </c>
      <c r="H34" s="7">
        <f t="shared" si="3"/>
        <v>10.644</v>
      </c>
      <c r="I34" s="3">
        <f t="shared" si="4"/>
        <v>9.9975000000000005</v>
      </c>
      <c r="J34" s="3">
        <f t="shared" si="5"/>
        <v>9.4270588235294124</v>
      </c>
      <c r="K34">
        <v>12</v>
      </c>
      <c r="L34" t="s">
        <v>54</v>
      </c>
    </row>
    <row r="35" spans="2:12" ht="14.25" x14ac:dyDescent="0.25">
      <c r="B35" t="s">
        <v>431</v>
      </c>
      <c r="C35" t="s">
        <v>7</v>
      </c>
      <c r="D35">
        <v>28.6</v>
      </c>
      <c r="E35" s="9">
        <f t="shared" si="0"/>
        <v>5.1479999999999997</v>
      </c>
      <c r="F35" s="3">
        <f t="shared" si="1"/>
        <v>8.2199999999999989</v>
      </c>
      <c r="G35" s="5">
        <f t="shared" si="2"/>
        <v>7.6542857142857139</v>
      </c>
      <c r="H35" s="7">
        <f t="shared" si="3"/>
        <v>7.1639999999999997</v>
      </c>
      <c r="I35" s="3">
        <f t="shared" si="4"/>
        <v>6.7349999999999994</v>
      </c>
      <c r="J35" s="3">
        <f t="shared" si="5"/>
        <v>6.3564705882352941</v>
      </c>
      <c r="K35">
        <v>12</v>
      </c>
      <c r="L35" t="s">
        <v>59</v>
      </c>
    </row>
    <row r="36" spans="2:12" ht="14.25" x14ac:dyDescent="0.25">
      <c r="B36" t="s">
        <v>432</v>
      </c>
      <c r="C36" t="s">
        <v>180</v>
      </c>
      <c r="D36">
        <v>39.96</v>
      </c>
      <c r="E36" s="9">
        <f t="shared" si="0"/>
        <v>7.1928000000000001</v>
      </c>
      <c r="F36" s="3">
        <f t="shared" si="1"/>
        <v>11.365846153846155</v>
      </c>
      <c r="G36" s="5">
        <f t="shared" si="2"/>
        <v>10.575428571428573</v>
      </c>
      <c r="H36" s="7">
        <f t="shared" si="3"/>
        <v>9.8904000000000014</v>
      </c>
      <c r="I36" s="3">
        <f t="shared" si="4"/>
        <v>9.2910000000000004</v>
      </c>
      <c r="J36" s="3">
        <f t="shared" si="5"/>
        <v>8.7621176470588242</v>
      </c>
      <c r="K36">
        <v>12</v>
      </c>
      <c r="L36" t="s">
        <v>59</v>
      </c>
    </row>
    <row r="37" spans="2:12" ht="14.25" x14ac:dyDescent="0.25">
      <c r="B37" t="s">
        <v>433</v>
      </c>
      <c r="C37" t="s">
        <v>36</v>
      </c>
      <c r="D37">
        <v>32.58</v>
      </c>
      <c r="E37" s="9">
        <f t="shared" si="0"/>
        <v>5.8643999999999998</v>
      </c>
      <c r="F37" s="3">
        <f t="shared" si="1"/>
        <v>9.3221538461538458</v>
      </c>
      <c r="G37" s="5">
        <f t="shared" si="2"/>
        <v>8.6777142857142859</v>
      </c>
      <c r="H37" s="7">
        <f t="shared" si="3"/>
        <v>8.1191999999999993</v>
      </c>
      <c r="I37" s="3">
        <f t="shared" si="4"/>
        <v>7.6304999999999996</v>
      </c>
      <c r="J37" s="3">
        <f t="shared" si="5"/>
        <v>7.1992941176470584</v>
      </c>
      <c r="K37">
        <v>12</v>
      </c>
      <c r="L37" t="s">
        <v>56</v>
      </c>
    </row>
    <row r="38" spans="2:12" ht="14.25" x14ac:dyDescent="0.25">
      <c r="B38" t="s">
        <v>434</v>
      </c>
      <c r="C38" t="s">
        <v>8</v>
      </c>
      <c r="D38">
        <v>32.03</v>
      </c>
      <c r="E38" s="9">
        <f t="shared" si="0"/>
        <v>5.7653999999999996</v>
      </c>
      <c r="F38" s="3">
        <f t="shared" si="1"/>
        <v>9.1698461538461533</v>
      </c>
      <c r="G38" s="5">
        <f t="shared" si="2"/>
        <v>8.5362857142857145</v>
      </c>
      <c r="H38" s="7">
        <f t="shared" si="3"/>
        <v>7.9871999999999996</v>
      </c>
      <c r="I38" s="3">
        <f t="shared" si="4"/>
        <v>7.5067499999999994</v>
      </c>
      <c r="J38" s="3">
        <f t="shared" si="5"/>
        <v>7.0828235294117645</v>
      </c>
      <c r="K38">
        <v>12</v>
      </c>
      <c r="L38" t="s">
        <v>56</v>
      </c>
    </row>
    <row r="39" spans="2:12" ht="14.25" x14ac:dyDescent="0.25">
      <c r="B39" t="s">
        <v>435</v>
      </c>
      <c r="C39" t="s">
        <v>33</v>
      </c>
      <c r="D39">
        <v>43.06</v>
      </c>
      <c r="E39" s="9">
        <f t="shared" si="0"/>
        <v>7.7507999999999999</v>
      </c>
      <c r="F39" s="3">
        <f t="shared" si="1"/>
        <v>12.224307692307692</v>
      </c>
      <c r="G39" s="5">
        <f t="shared" si="2"/>
        <v>11.37257142857143</v>
      </c>
      <c r="H39" s="7">
        <f t="shared" si="3"/>
        <v>10.634400000000001</v>
      </c>
      <c r="I39" s="3">
        <f t="shared" si="4"/>
        <v>9.9885000000000002</v>
      </c>
      <c r="J39" s="3">
        <f t="shared" si="5"/>
        <v>9.4185882352941181</v>
      </c>
      <c r="K39">
        <v>12</v>
      </c>
      <c r="L39" t="s">
        <v>56</v>
      </c>
    </row>
    <row r="40" spans="2:12" ht="14.25" x14ac:dyDescent="0.25">
      <c r="B40" t="s">
        <v>436</v>
      </c>
      <c r="C40" t="s">
        <v>38</v>
      </c>
      <c r="D40">
        <v>44.2</v>
      </c>
      <c r="E40" s="9">
        <f t="shared" si="0"/>
        <v>7.9560000000000004</v>
      </c>
      <c r="F40" s="3">
        <f t="shared" si="1"/>
        <v>12.540000000000001</v>
      </c>
      <c r="G40" s="5">
        <f t="shared" si="2"/>
        <v>11.665714285714287</v>
      </c>
      <c r="H40" s="7">
        <f t="shared" si="3"/>
        <v>10.908000000000001</v>
      </c>
      <c r="I40" s="3">
        <f t="shared" si="4"/>
        <v>10.245000000000001</v>
      </c>
      <c r="J40" s="3">
        <f t="shared" si="5"/>
        <v>9.6600000000000019</v>
      </c>
      <c r="K40">
        <v>12</v>
      </c>
      <c r="L40" t="s">
        <v>35</v>
      </c>
    </row>
    <row r="41" spans="2:12" ht="14.25" x14ac:dyDescent="0.25">
      <c r="B41" t="s">
        <v>437</v>
      </c>
      <c r="C41" t="s">
        <v>39</v>
      </c>
      <c r="D41">
        <v>37.4</v>
      </c>
      <c r="E41" s="9">
        <f t="shared" si="0"/>
        <v>6.7319999999999993</v>
      </c>
      <c r="F41" s="3">
        <f t="shared" si="1"/>
        <v>10.656923076923077</v>
      </c>
      <c r="G41" s="5">
        <f t="shared" si="2"/>
        <v>9.9171428571428581</v>
      </c>
      <c r="H41" s="7">
        <f t="shared" si="3"/>
        <v>9.2759999999999998</v>
      </c>
      <c r="I41" s="3">
        <f t="shared" si="4"/>
        <v>8.7149999999999999</v>
      </c>
      <c r="J41" s="3">
        <f t="shared" si="5"/>
        <v>8.2199999999999989</v>
      </c>
      <c r="K41">
        <v>12</v>
      </c>
      <c r="L41" t="s">
        <v>56</v>
      </c>
    </row>
    <row r="42" spans="2:12" ht="14.25" x14ac:dyDescent="0.25">
      <c r="B42" t="s">
        <v>438</v>
      </c>
      <c r="C42" t="s">
        <v>37</v>
      </c>
      <c r="D42">
        <v>55.12</v>
      </c>
      <c r="E42" s="9">
        <f t="shared" si="0"/>
        <v>9.9215999999999998</v>
      </c>
      <c r="F42" s="3">
        <f t="shared" si="1"/>
        <v>15.564</v>
      </c>
      <c r="G42" s="5">
        <f t="shared" si="2"/>
        <v>14.473714285714287</v>
      </c>
      <c r="H42" s="7">
        <f t="shared" si="3"/>
        <v>13.5288</v>
      </c>
      <c r="I42" s="3">
        <f t="shared" si="4"/>
        <v>12.702</v>
      </c>
      <c r="J42" s="3">
        <f t="shared" si="5"/>
        <v>11.972470588235295</v>
      </c>
      <c r="K42">
        <v>12</v>
      </c>
      <c r="L42" t="s">
        <v>92</v>
      </c>
    </row>
    <row r="43" spans="2:12" ht="14.25" x14ac:dyDescent="0.25">
      <c r="B43" t="s">
        <v>439</v>
      </c>
      <c r="C43" t="s">
        <v>40</v>
      </c>
      <c r="D43">
        <v>44.72</v>
      </c>
      <c r="E43" s="9">
        <f t="shared" si="0"/>
        <v>8.0495999999999999</v>
      </c>
      <c r="F43" s="3">
        <f t="shared" si="1"/>
        <v>12.683999999999999</v>
      </c>
      <c r="G43" s="5">
        <f t="shared" si="2"/>
        <v>11.799428571428573</v>
      </c>
      <c r="H43" s="7">
        <f t="shared" si="3"/>
        <v>11.0328</v>
      </c>
      <c r="I43" s="3">
        <f t="shared" si="4"/>
        <v>10.362</v>
      </c>
      <c r="J43" s="3">
        <f t="shared" si="5"/>
        <v>9.7701176470588251</v>
      </c>
      <c r="K43">
        <v>12</v>
      </c>
      <c r="L43" t="s">
        <v>92</v>
      </c>
    </row>
    <row r="44" spans="2:12" ht="14.25" x14ac:dyDescent="0.25">
      <c r="E44" t="s">
        <v>0</v>
      </c>
      <c r="I44" s="10"/>
      <c r="J44" s="10"/>
    </row>
    <row r="45" spans="2:12" ht="14.25" x14ac:dyDescent="0.25">
      <c r="B45" t="s">
        <v>63</v>
      </c>
      <c r="C45">
        <v>2</v>
      </c>
      <c r="D45" t="s">
        <v>79</v>
      </c>
      <c r="E45">
        <v>0.18</v>
      </c>
      <c r="I45" s="10"/>
      <c r="J45" s="10"/>
      <c r="K45" t="s">
        <v>114</v>
      </c>
      <c r="L45" t="s">
        <v>114</v>
      </c>
    </row>
    <row r="46" spans="2:12" ht="14.25" x14ac:dyDescent="0.25">
      <c r="B46" t="s">
        <v>64</v>
      </c>
      <c r="C46" t="s">
        <v>404</v>
      </c>
      <c r="D46" t="s">
        <v>75</v>
      </c>
      <c r="I46" s="10"/>
      <c r="J46" s="10"/>
      <c r="K46" t="s">
        <v>115</v>
      </c>
      <c r="L46" t="s">
        <v>65</v>
      </c>
    </row>
    <row r="47" spans="2:12" ht="14.25" x14ac:dyDescent="0.25">
      <c r="B47" t="s">
        <v>440</v>
      </c>
      <c r="C47" t="s">
        <v>118</v>
      </c>
      <c r="D47">
        <v>34.54</v>
      </c>
      <c r="E47" s="9">
        <f t="shared" ref="E47:E67" si="6">D47*$E$45</f>
        <v>6.2172000000000001</v>
      </c>
      <c r="F47" s="3">
        <f>(E47/0.65)+0.3</f>
        <v>9.8649230769230769</v>
      </c>
      <c r="G47" s="5">
        <f>(E47/0.7)+0.3</f>
        <v>9.1817142857142873</v>
      </c>
      <c r="H47" s="7">
        <f>(E47/0.75)+0.3</f>
        <v>8.5896000000000008</v>
      </c>
      <c r="I47" s="3">
        <f t="shared" si="4"/>
        <v>8.0715000000000003</v>
      </c>
      <c r="J47" s="3">
        <f t="shared" si="5"/>
        <v>7.6143529411764703</v>
      </c>
      <c r="K47">
        <v>12</v>
      </c>
      <c r="L47" t="s">
        <v>54</v>
      </c>
    </row>
    <row r="48" spans="2:12" ht="14.25" x14ac:dyDescent="0.25">
      <c r="B48" t="s">
        <v>441</v>
      </c>
      <c r="C48" t="s">
        <v>121</v>
      </c>
      <c r="D48">
        <v>32.56</v>
      </c>
      <c r="E48" s="9">
        <f t="shared" si="6"/>
        <v>5.8608000000000002</v>
      </c>
      <c r="F48" s="3">
        <f t="shared" ref="F48:F67" si="7">(E48/0.65)+0.3</f>
        <v>9.3166153846153854</v>
      </c>
      <c r="G48" s="5">
        <f t="shared" ref="G48:G67" si="8">(E48/0.7)+0.3</f>
        <v>8.6725714285714304</v>
      </c>
      <c r="H48" s="7">
        <f t="shared" ref="H48:H67" si="9">(E48/0.75)+0.3</f>
        <v>8.1143999999999998</v>
      </c>
      <c r="I48" s="3">
        <f t="shared" si="4"/>
        <v>7.6259999999999994</v>
      </c>
      <c r="J48" s="3">
        <f t="shared" si="5"/>
        <v>7.1950588235294122</v>
      </c>
      <c r="K48">
        <v>12</v>
      </c>
      <c r="L48" t="s">
        <v>59</v>
      </c>
    </row>
    <row r="49" spans="2:19" ht="14.25" x14ac:dyDescent="0.25">
      <c r="B49" t="s">
        <v>442</v>
      </c>
      <c r="C49" t="s">
        <v>124</v>
      </c>
      <c r="D49">
        <v>36.65</v>
      </c>
      <c r="E49" s="9">
        <f t="shared" si="6"/>
        <v>6.5969999999999995</v>
      </c>
      <c r="F49" s="3">
        <f t="shared" si="7"/>
        <v>10.449230769230768</v>
      </c>
      <c r="G49" s="5">
        <f t="shared" si="8"/>
        <v>9.7242857142857151</v>
      </c>
      <c r="H49" s="7">
        <f t="shared" si="9"/>
        <v>9.0960000000000001</v>
      </c>
      <c r="I49" s="3">
        <f t="shared" si="4"/>
        <v>8.5462499999999988</v>
      </c>
      <c r="J49" s="3">
        <f t="shared" si="5"/>
        <v>8.0611764705882347</v>
      </c>
      <c r="K49">
        <v>12</v>
      </c>
      <c r="L49" t="s">
        <v>59</v>
      </c>
    </row>
    <row r="50" spans="2:19" ht="14.25" x14ac:dyDescent="0.25">
      <c r="B50" t="s">
        <v>443</v>
      </c>
      <c r="C50" t="s">
        <v>41</v>
      </c>
      <c r="D50">
        <v>34.85</v>
      </c>
      <c r="E50" s="9">
        <f t="shared" si="6"/>
        <v>6.2729999999999997</v>
      </c>
      <c r="F50" s="3">
        <f t="shared" si="7"/>
        <v>9.9507692307692306</v>
      </c>
      <c r="G50" s="5">
        <f t="shared" si="8"/>
        <v>9.2614285714285725</v>
      </c>
      <c r="H50" s="7">
        <f t="shared" si="9"/>
        <v>8.6639999999999997</v>
      </c>
      <c r="I50" s="3">
        <f t="shared" si="4"/>
        <v>8.1412499999999994</v>
      </c>
      <c r="J50" s="3">
        <f t="shared" si="5"/>
        <v>7.68</v>
      </c>
      <c r="K50">
        <v>12</v>
      </c>
      <c r="L50" t="s">
        <v>56</v>
      </c>
    </row>
    <row r="51" spans="2:19" ht="14.25" x14ac:dyDescent="0.25">
      <c r="B51" t="s">
        <v>444</v>
      </c>
      <c r="C51" t="s">
        <v>42</v>
      </c>
      <c r="D51">
        <v>35.67</v>
      </c>
      <c r="E51" s="9">
        <f t="shared" si="6"/>
        <v>6.4206000000000003</v>
      </c>
      <c r="F51" s="3">
        <f t="shared" si="7"/>
        <v>10.177846153846154</v>
      </c>
      <c r="G51" s="5">
        <f t="shared" si="8"/>
        <v>9.4722857142857162</v>
      </c>
      <c r="H51" s="7">
        <f t="shared" si="9"/>
        <v>8.8608000000000011</v>
      </c>
      <c r="I51" s="3">
        <f t="shared" si="4"/>
        <v>8.3257500000000011</v>
      </c>
      <c r="J51" s="3">
        <f t="shared" si="5"/>
        <v>7.8536470588235296</v>
      </c>
      <c r="K51">
        <v>12</v>
      </c>
      <c r="L51" t="s">
        <v>88</v>
      </c>
    </row>
    <row r="52" spans="2:19" ht="14.25" x14ac:dyDescent="0.25">
      <c r="B52" t="s">
        <v>445</v>
      </c>
      <c r="C52" t="s">
        <v>43</v>
      </c>
      <c r="D52">
        <v>38.840000000000003</v>
      </c>
      <c r="E52" s="9">
        <f t="shared" si="6"/>
        <v>6.9912000000000001</v>
      </c>
      <c r="F52" s="3">
        <f t="shared" si="7"/>
        <v>11.055692307692308</v>
      </c>
      <c r="G52" s="5">
        <f t="shared" si="8"/>
        <v>10.287428571428572</v>
      </c>
      <c r="H52" s="7">
        <f t="shared" si="9"/>
        <v>9.6216000000000008</v>
      </c>
      <c r="I52" s="3">
        <f t="shared" si="4"/>
        <v>9.0389999999999997</v>
      </c>
      <c r="J52" s="3">
        <f t="shared" si="5"/>
        <v>8.5249411764705894</v>
      </c>
      <c r="K52">
        <v>12</v>
      </c>
      <c r="L52" t="s">
        <v>88</v>
      </c>
    </row>
    <row r="53" spans="2:19" ht="14.25" x14ac:dyDescent="0.25">
      <c r="B53" t="s">
        <v>446</v>
      </c>
      <c r="C53" t="s">
        <v>44</v>
      </c>
      <c r="D53">
        <v>36.840000000000003</v>
      </c>
      <c r="E53" s="9">
        <f t="shared" si="6"/>
        <v>6.6312000000000006</v>
      </c>
      <c r="F53" s="3">
        <f t="shared" si="7"/>
        <v>10.501846153846156</v>
      </c>
      <c r="G53" s="5">
        <f t="shared" si="8"/>
        <v>9.7731428571428598</v>
      </c>
      <c r="H53" s="7">
        <f t="shared" si="9"/>
        <v>9.1416000000000022</v>
      </c>
      <c r="I53" s="3">
        <f t="shared" si="4"/>
        <v>8.5890000000000004</v>
      </c>
      <c r="J53" s="3">
        <f t="shared" si="5"/>
        <v>8.1014117647058832</v>
      </c>
      <c r="K53">
        <v>12</v>
      </c>
      <c r="L53" t="s">
        <v>92</v>
      </c>
    </row>
    <row r="54" spans="2:19" ht="14.25" x14ac:dyDescent="0.25">
      <c r="B54" t="s">
        <v>447</v>
      </c>
      <c r="C54" t="s">
        <v>45</v>
      </c>
      <c r="D54">
        <v>36.75</v>
      </c>
      <c r="E54" s="9">
        <f t="shared" si="6"/>
        <v>6.6149999999999993</v>
      </c>
      <c r="F54" s="3">
        <f t="shared" si="7"/>
        <v>10.476923076923077</v>
      </c>
      <c r="G54" s="5">
        <f t="shared" si="8"/>
        <v>9.75</v>
      </c>
      <c r="H54" s="7">
        <f t="shared" si="9"/>
        <v>9.1199999999999992</v>
      </c>
      <c r="I54" s="3">
        <f t="shared" si="4"/>
        <v>8.5687499999999996</v>
      </c>
      <c r="J54" s="3">
        <f t="shared" si="5"/>
        <v>8.0823529411764703</v>
      </c>
      <c r="K54">
        <v>12</v>
      </c>
      <c r="L54" t="s">
        <v>56</v>
      </c>
      <c r="P54">
        <v>1</v>
      </c>
      <c r="S54">
        <v>12</v>
      </c>
    </row>
    <row r="55" spans="2:19" ht="14.25" x14ac:dyDescent="0.25">
      <c r="B55" t="s">
        <v>448</v>
      </c>
      <c r="C55" t="s">
        <v>46</v>
      </c>
      <c r="D55">
        <v>35.36</v>
      </c>
      <c r="E55" s="9">
        <f t="shared" si="6"/>
        <v>6.3647999999999998</v>
      </c>
      <c r="F55" s="3">
        <f t="shared" si="7"/>
        <v>10.092000000000001</v>
      </c>
      <c r="G55" s="5">
        <f t="shared" si="8"/>
        <v>9.3925714285714292</v>
      </c>
      <c r="H55" s="7">
        <f t="shared" si="9"/>
        <v>8.7864000000000004</v>
      </c>
      <c r="I55" s="3">
        <f t="shared" si="4"/>
        <v>8.2560000000000002</v>
      </c>
      <c r="J55" s="3">
        <f t="shared" si="5"/>
        <v>7.7879999999999994</v>
      </c>
      <c r="K55">
        <v>12</v>
      </c>
      <c r="L55" t="s">
        <v>88</v>
      </c>
      <c r="P55">
        <v>2</v>
      </c>
      <c r="S55">
        <v>6</v>
      </c>
    </row>
    <row r="56" spans="2:19" ht="14.25" x14ac:dyDescent="0.25">
      <c r="B56" t="s">
        <v>449</v>
      </c>
      <c r="C56" t="s">
        <v>47</v>
      </c>
      <c r="D56">
        <v>45.42</v>
      </c>
      <c r="E56" s="9">
        <f t="shared" si="6"/>
        <v>8.1755999999999993</v>
      </c>
      <c r="F56" s="3">
        <f t="shared" si="7"/>
        <v>12.877846153846153</v>
      </c>
      <c r="G56" s="5">
        <f t="shared" si="8"/>
        <v>11.979428571428572</v>
      </c>
      <c r="H56" s="7">
        <f t="shared" si="9"/>
        <v>11.200799999999999</v>
      </c>
      <c r="I56" s="3">
        <f t="shared" si="4"/>
        <v>10.519499999999999</v>
      </c>
      <c r="J56" s="3">
        <f t="shared" si="5"/>
        <v>9.9183529411764706</v>
      </c>
      <c r="K56">
        <v>12</v>
      </c>
      <c r="L56" t="s">
        <v>88</v>
      </c>
      <c r="P56">
        <v>2</v>
      </c>
      <c r="S56">
        <v>1</v>
      </c>
    </row>
    <row r="57" spans="2:19" ht="14.25" x14ac:dyDescent="0.25">
      <c r="B57" t="s">
        <v>450</v>
      </c>
      <c r="C57" t="s">
        <v>48</v>
      </c>
      <c r="D57">
        <v>40.869999999999997</v>
      </c>
      <c r="E57" s="9">
        <f t="shared" si="6"/>
        <v>7.3565999999999994</v>
      </c>
      <c r="F57" s="3">
        <f t="shared" si="7"/>
        <v>11.617846153846154</v>
      </c>
      <c r="G57" s="5">
        <f t="shared" si="8"/>
        <v>10.809428571428572</v>
      </c>
      <c r="H57" s="7">
        <f t="shared" si="9"/>
        <v>10.1088</v>
      </c>
      <c r="I57" s="3">
        <f t="shared" si="4"/>
        <v>9.4957499999999992</v>
      </c>
      <c r="J57" s="3">
        <f t="shared" si="5"/>
        <v>8.9548235294117653</v>
      </c>
      <c r="K57">
        <v>12</v>
      </c>
      <c r="L57" t="s">
        <v>92</v>
      </c>
      <c r="P57">
        <v>2</v>
      </c>
      <c r="S57">
        <v>2</v>
      </c>
    </row>
    <row r="58" spans="2:19" ht="14.25" x14ac:dyDescent="0.25">
      <c r="B58" t="s">
        <v>451</v>
      </c>
      <c r="C58" t="s">
        <v>143</v>
      </c>
      <c r="D58">
        <v>48.5</v>
      </c>
      <c r="E58" s="9">
        <f t="shared" si="6"/>
        <v>8.73</v>
      </c>
      <c r="F58" s="3">
        <f t="shared" si="7"/>
        <v>13.730769230769232</v>
      </c>
      <c r="G58" s="5">
        <f t="shared" si="8"/>
        <v>12.771428571428574</v>
      </c>
      <c r="H58" s="7">
        <f t="shared" si="9"/>
        <v>11.940000000000001</v>
      </c>
      <c r="I58" s="3">
        <f t="shared" si="4"/>
        <v>11.2125</v>
      </c>
      <c r="J58" s="3">
        <f t="shared" si="5"/>
        <v>10.570588235294119</v>
      </c>
      <c r="K58">
        <v>12</v>
      </c>
      <c r="L58" t="s">
        <v>452</v>
      </c>
      <c r="P58">
        <v>1</v>
      </c>
      <c r="S58">
        <v>6</v>
      </c>
    </row>
    <row r="59" spans="2:19" ht="14.25" x14ac:dyDescent="0.25">
      <c r="B59" t="s">
        <v>453</v>
      </c>
      <c r="C59" t="s">
        <v>146</v>
      </c>
      <c r="D59">
        <v>48.5</v>
      </c>
      <c r="E59" s="9">
        <f t="shared" si="6"/>
        <v>8.73</v>
      </c>
      <c r="F59" s="3">
        <f t="shared" si="7"/>
        <v>13.730769230769232</v>
      </c>
      <c r="G59" s="5">
        <f t="shared" si="8"/>
        <v>12.771428571428574</v>
      </c>
      <c r="H59" s="7">
        <f t="shared" si="9"/>
        <v>11.940000000000001</v>
      </c>
      <c r="I59" s="3">
        <f t="shared" si="4"/>
        <v>11.2125</v>
      </c>
      <c r="J59" s="3">
        <f t="shared" si="5"/>
        <v>10.570588235294119</v>
      </c>
      <c r="K59">
        <v>12</v>
      </c>
      <c r="L59" t="s">
        <v>92</v>
      </c>
      <c r="P59">
        <v>2</v>
      </c>
      <c r="S59">
        <v>2</v>
      </c>
    </row>
    <row r="60" spans="2:19" ht="14.25" x14ac:dyDescent="0.25">
      <c r="B60" t="s">
        <v>454</v>
      </c>
      <c r="C60" t="s">
        <v>49</v>
      </c>
      <c r="D60">
        <v>47.08</v>
      </c>
      <c r="E60" s="9">
        <f t="shared" si="6"/>
        <v>8.4743999999999993</v>
      </c>
      <c r="F60" s="3">
        <f t="shared" si="7"/>
        <v>13.337538461538461</v>
      </c>
      <c r="G60" s="5">
        <f t="shared" si="8"/>
        <v>12.406285714285715</v>
      </c>
      <c r="H60" s="7">
        <f t="shared" si="9"/>
        <v>11.5992</v>
      </c>
      <c r="I60" s="3">
        <f t="shared" si="4"/>
        <v>10.892999999999999</v>
      </c>
      <c r="J60" s="3">
        <f t="shared" si="5"/>
        <v>10.269882352941176</v>
      </c>
      <c r="K60">
        <v>12</v>
      </c>
      <c r="L60" t="s">
        <v>92</v>
      </c>
      <c r="P60">
        <v>2</v>
      </c>
      <c r="S60">
        <v>1</v>
      </c>
    </row>
    <row r="61" spans="2:19" ht="14.25" x14ac:dyDescent="0.25">
      <c r="B61" t="s">
        <v>455</v>
      </c>
      <c r="C61" t="s">
        <v>151</v>
      </c>
      <c r="D61">
        <v>49.86</v>
      </c>
      <c r="E61" s="9">
        <f t="shared" si="6"/>
        <v>8.9748000000000001</v>
      </c>
      <c r="F61" s="3">
        <f t="shared" si="7"/>
        <v>14.107384615384616</v>
      </c>
      <c r="G61" s="5">
        <f t="shared" si="8"/>
        <v>13.121142857142859</v>
      </c>
      <c r="H61" s="7">
        <f t="shared" si="9"/>
        <v>12.266400000000001</v>
      </c>
      <c r="I61" s="3">
        <f t="shared" si="4"/>
        <v>11.5185</v>
      </c>
      <c r="J61" s="3">
        <f t="shared" si="5"/>
        <v>10.858588235294119</v>
      </c>
      <c r="K61">
        <v>12</v>
      </c>
      <c r="L61" t="s">
        <v>92</v>
      </c>
      <c r="P61">
        <v>2</v>
      </c>
      <c r="S61">
        <v>2</v>
      </c>
    </row>
    <row r="62" spans="2:19" ht="14.25" x14ac:dyDescent="0.25">
      <c r="B62" t="s">
        <v>456</v>
      </c>
      <c r="C62" t="s">
        <v>50</v>
      </c>
      <c r="D62">
        <v>41.59</v>
      </c>
      <c r="E62" s="9">
        <f t="shared" si="6"/>
        <v>7.4862000000000002</v>
      </c>
      <c r="F62" s="3">
        <f t="shared" si="7"/>
        <v>11.81723076923077</v>
      </c>
      <c r="G62" s="5">
        <f t="shared" si="8"/>
        <v>10.99457142857143</v>
      </c>
      <c r="H62" s="7">
        <f t="shared" si="9"/>
        <v>10.281600000000001</v>
      </c>
      <c r="I62" s="3">
        <f t="shared" si="4"/>
        <v>9.6577500000000001</v>
      </c>
      <c r="J62" s="3">
        <f t="shared" si="5"/>
        <v>9.1072941176470597</v>
      </c>
      <c r="K62">
        <v>12</v>
      </c>
      <c r="L62" t="s">
        <v>80</v>
      </c>
      <c r="P62">
        <v>2</v>
      </c>
      <c r="S62">
        <v>2</v>
      </c>
    </row>
    <row r="63" spans="2:19" ht="14.25" x14ac:dyDescent="0.25">
      <c r="B63" t="s">
        <v>457</v>
      </c>
      <c r="C63" t="s">
        <v>51</v>
      </c>
      <c r="D63">
        <v>49.03</v>
      </c>
      <c r="E63" s="9">
        <f t="shared" si="6"/>
        <v>8.8254000000000001</v>
      </c>
      <c r="F63" s="3">
        <f t="shared" si="7"/>
        <v>13.877538461538462</v>
      </c>
      <c r="G63" s="5">
        <f t="shared" si="8"/>
        <v>12.907714285714288</v>
      </c>
      <c r="H63" s="7">
        <f t="shared" si="9"/>
        <v>12.067200000000001</v>
      </c>
      <c r="I63" s="3">
        <f t="shared" si="4"/>
        <v>11.33175</v>
      </c>
      <c r="J63" s="3">
        <f t="shared" si="5"/>
        <v>10.682823529411765</v>
      </c>
      <c r="K63">
        <v>12</v>
      </c>
      <c r="L63" t="s">
        <v>92</v>
      </c>
      <c r="P63">
        <v>2</v>
      </c>
      <c r="S63">
        <v>2</v>
      </c>
    </row>
    <row r="64" spans="2:19" ht="14.25" x14ac:dyDescent="0.25">
      <c r="B64" t="s">
        <v>458</v>
      </c>
      <c r="C64" t="s">
        <v>52</v>
      </c>
      <c r="D64">
        <v>48.03</v>
      </c>
      <c r="E64" s="9">
        <f t="shared" si="6"/>
        <v>8.6454000000000004</v>
      </c>
      <c r="F64" s="3">
        <f t="shared" si="7"/>
        <v>13.600615384615386</v>
      </c>
      <c r="G64" s="5">
        <f t="shared" si="8"/>
        <v>12.65057142857143</v>
      </c>
      <c r="H64" s="7">
        <f t="shared" si="9"/>
        <v>11.827200000000001</v>
      </c>
      <c r="I64" s="3">
        <f t="shared" si="4"/>
        <v>11.10675</v>
      </c>
      <c r="J64" s="3">
        <f t="shared" si="5"/>
        <v>10.471058823529413</v>
      </c>
      <c r="K64">
        <v>12</v>
      </c>
      <c r="L64" t="s">
        <v>66</v>
      </c>
      <c r="P64">
        <v>1</v>
      </c>
      <c r="S64">
        <v>1</v>
      </c>
    </row>
    <row r="65" spans="2:19" ht="14.25" x14ac:dyDescent="0.25">
      <c r="B65" t="s">
        <v>459</v>
      </c>
      <c r="C65" t="s">
        <v>162</v>
      </c>
      <c r="D65">
        <v>58.16</v>
      </c>
      <c r="E65" s="9">
        <f t="shared" si="6"/>
        <v>10.4688</v>
      </c>
      <c r="F65" s="3">
        <f t="shared" si="7"/>
        <v>16.405846153846152</v>
      </c>
      <c r="G65" s="5">
        <f t="shared" si="8"/>
        <v>15.255428571428572</v>
      </c>
      <c r="H65" s="7">
        <f t="shared" si="9"/>
        <v>14.2584</v>
      </c>
      <c r="I65" s="3">
        <f t="shared" si="4"/>
        <v>13.385999999999999</v>
      </c>
      <c r="J65" s="3">
        <f t="shared" si="5"/>
        <v>12.616235294117647</v>
      </c>
      <c r="K65">
        <v>12</v>
      </c>
      <c r="L65" t="s">
        <v>66</v>
      </c>
      <c r="P65">
        <v>1</v>
      </c>
      <c r="S65">
        <v>1</v>
      </c>
    </row>
    <row r="66" spans="2:19" ht="14.25" x14ac:dyDescent="0.25">
      <c r="B66" t="s">
        <v>460</v>
      </c>
      <c r="C66" t="s">
        <v>53</v>
      </c>
      <c r="D66">
        <v>54.45</v>
      </c>
      <c r="E66" s="9">
        <f t="shared" si="6"/>
        <v>9.8010000000000002</v>
      </c>
      <c r="F66" s="3">
        <f t="shared" si="7"/>
        <v>15.378461538461538</v>
      </c>
      <c r="G66" s="5">
        <f t="shared" si="8"/>
        <v>14.301428571428573</v>
      </c>
      <c r="H66" s="7">
        <f t="shared" si="9"/>
        <v>13.368</v>
      </c>
      <c r="I66" s="3">
        <f t="shared" si="4"/>
        <v>12.55125</v>
      </c>
      <c r="J66" s="3">
        <f t="shared" si="5"/>
        <v>11.830588235294119</v>
      </c>
      <c r="K66">
        <v>12</v>
      </c>
      <c r="L66" t="s">
        <v>81</v>
      </c>
      <c r="P66">
        <v>2</v>
      </c>
      <c r="S66">
        <v>1</v>
      </c>
    </row>
    <row r="67" spans="2:19" x14ac:dyDescent="0.25">
      <c r="B67" t="s">
        <v>461</v>
      </c>
      <c r="C67" t="s">
        <v>55</v>
      </c>
      <c r="D67">
        <v>63.11</v>
      </c>
      <c r="E67" s="9">
        <f t="shared" si="6"/>
        <v>11.3598</v>
      </c>
      <c r="F67" s="3">
        <f t="shared" si="7"/>
        <v>17.776615384615386</v>
      </c>
      <c r="G67" s="5">
        <f t="shared" si="8"/>
        <v>16.528285714285715</v>
      </c>
      <c r="H67" s="7">
        <f t="shared" si="9"/>
        <v>15.446400000000001</v>
      </c>
      <c r="I67" s="3">
        <f t="shared" si="4"/>
        <v>14.499750000000001</v>
      </c>
      <c r="J67" s="3">
        <f t="shared" si="5"/>
        <v>13.664470588235295</v>
      </c>
      <c r="K67">
        <v>12</v>
      </c>
      <c r="L67" t="s">
        <v>81</v>
      </c>
      <c r="P67">
        <v>2</v>
      </c>
      <c r="S67">
        <v>4</v>
      </c>
    </row>
    <row r="68" spans="2:19" x14ac:dyDescent="0.25">
      <c r="E68" t="s">
        <v>0</v>
      </c>
      <c r="I68" s="10"/>
      <c r="J68" s="10"/>
      <c r="P68">
        <v>1</v>
      </c>
      <c r="S68">
        <v>4</v>
      </c>
    </row>
    <row r="69" spans="2:19" x14ac:dyDescent="0.25">
      <c r="B69" t="s">
        <v>63</v>
      </c>
      <c r="C69">
        <v>4</v>
      </c>
      <c r="D69" t="s">
        <v>79</v>
      </c>
      <c r="E69">
        <v>0.18</v>
      </c>
      <c r="I69" s="10"/>
      <c r="J69" s="10"/>
      <c r="P69">
        <v>1</v>
      </c>
      <c r="S69">
        <v>2</v>
      </c>
    </row>
    <row r="70" spans="2:19" x14ac:dyDescent="0.25">
      <c r="B70" t="s">
        <v>64</v>
      </c>
      <c r="C70" t="s">
        <v>404</v>
      </c>
      <c r="D70" t="s">
        <v>75</v>
      </c>
      <c r="I70" s="10"/>
      <c r="J70" s="10"/>
      <c r="P70">
        <v>2</v>
      </c>
      <c r="S70">
        <v>6</v>
      </c>
    </row>
    <row r="71" spans="2:19" x14ac:dyDescent="0.25">
      <c r="B71" t="s">
        <v>462</v>
      </c>
      <c r="C71" t="s">
        <v>174</v>
      </c>
      <c r="D71">
        <v>63</v>
      </c>
      <c r="E71" s="9">
        <f t="shared" ref="E71:E78" si="10">D71*$E$69</f>
        <v>11.34</v>
      </c>
      <c r="F71" s="3">
        <f>(E71/0.65)+0.3</f>
        <v>17.746153846153845</v>
      </c>
      <c r="G71" s="5">
        <f>(E71/0.7)+0.3</f>
        <v>16.5</v>
      </c>
      <c r="H71" s="7">
        <f>(E71/0.75)+0.3</f>
        <v>15.42</v>
      </c>
      <c r="I71" s="3">
        <f t="shared" si="4"/>
        <v>14.475</v>
      </c>
      <c r="J71" s="3">
        <f t="shared" si="5"/>
        <v>13.641176470588237</v>
      </c>
      <c r="K71">
        <v>6</v>
      </c>
      <c r="L71" t="s">
        <v>54</v>
      </c>
      <c r="P71">
        <v>1</v>
      </c>
      <c r="S71">
        <v>1</v>
      </c>
    </row>
    <row r="72" spans="2:19" x14ac:dyDescent="0.25">
      <c r="B72" t="s">
        <v>463</v>
      </c>
      <c r="C72" t="s">
        <v>178</v>
      </c>
      <c r="D72">
        <v>61.73</v>
      </c>
      <c r="E72" s="9">
        <f t="shared" si="10"/>
        <v>11.1114</v>
      </c>
      <c r="F72" s="3">
        <f t="shared" ref="F72:F78" si="11">(E72/0.65)+0.3</f>
        <v>17.394461538461538</v>
      </c>
      <c r="G72" s="5">
        <f t="shared" ref="G72:G78" si="12">(E72/0.7)+0.3</f>
        <v>16.173428571428573</v>
      </c>
      <c r="H72" s="7">
        <f t="shared" ref="H72:H78" si="13">(E72/0.75)+0.3</f>
        <v>15.1152</v>
      </c>
      <c r="I72" s="3">
        <f t="shared" si="4"/>
        <v>14.189249999999999</v>
      </c>
      <c r="J72" s="3">
        <f t="shared" si="5"/>
        <v>13.372235294117647</v>
      </c>
      <c r="K72">
        <v>6</v>
      </c>
      <c r="L72" t="s">
        <v>56</v>
      </c>
      <c r="P72">
        <v>1</v>
      </c>
      <c r="S72">
        <v>1</v>
      </c>
    </row>
    <row r="73" spans="2:19" x14ac:dyDescent="0.25">
      <c r="B73" t="s">
        <v>464</v>
      </c>
      <c r="C73" t="s">
        <v>186</v>
      </c>
      <c r="D73">
        <v>71.900000000000006</v>
      </c>
      <c r="E73" s="9">
        <f t="shared" si="10"/>
        <v>12.942</v>
      </c>
      <c r="F73" s="3">
        <f t="shared" si="11"/>
        <v>20.21076923076923</v>
      </c>
      <c r="G73" s="5">
        <f t="shared" si="12"/>
        <v>18.78857142857143</v>
      </c>
      <c r="H73" s="7">
        <f t="shared" si="13"/>
        <v>17.556000000000001</v>
      </c>
      <c r="I73" s="3">
        <f t="shared" si="4"/>
        <v>16.477499999999999</v>
      </c>
      <c r="J73" s="3">
        <f t="shared" si="5"/>
        <v>15.525882352941178</v>
      </c>
      <c r="K73">
        <v>6</v>
      </c>
      <c r="L73" t="s">
        <v>88</v>
      </c>
      <c r="P73">
        <v>1</v>
      </c>
      <c r="S73">
        <v>4</v>
      </c>
    </row>
    <row r="74" spans="2:19" x14ac:dyDescent="0.25">
      <c r="B74" t="s">
        <v>465</v>
      </c>
      <c r="C74" t="s">
        <v>189</v>
      </c>
      <c r="D74">
        <v>78.88</v>
      </c>
      <c r="E74" s="9">
        <f t="shared" si="10"/>
        <v>14.198399999999999</v>
      </c>
      <c r="F74" s="3">
        <f t="shared" si="11"/>
        <v>22.143692307692305</v>
      </c>
      <c r="G74" s="5">
        <f t="shared" si="12"/>
        <v>20.583428571428573</v>
      </c>
      <c r="H74" s="7">
        <f t="shared" si="13"/>
        <v>19.231200000000001</v>
      </c>
      <c r="I74" s="3">
        <f t="shared" ref="I74:I78" si="14">(E74/0.8)+0.3</f>
        <v>18.047999999999998</v>
      </c>
      <c r="J74" s="3">
        <f t="shared" ref="J74:J78" si="15">(E74/0.85)+0.3</f>
        <v>17.004000000000001</v>
      </c>
      <c r="K74">
        <v>6</v>
      </c>
      <c r="L74" t="s">
        <v>88</v>
      </c>
      <c r="P74">
        <v>1</v>
      </c>
      <c r="S74">
        <f>SUM(S54:S73)</f>
        <v>61</v>
      </c>
    </row>
    <row r="75" spans="2:19" x14ac:dyDescent="0.25">
      <c r="B75" t="s">
        <v>466</v>
      </c>
      <c r="C75" t="s">
        <v>192</v>
      </c>
      <c r="D75">
        <v>73.760000000000005</v>
      </c>
      <c r="E75" s="9">
        <f t="shared" si="10"/>
        <v>13.2768</v>
      </c>
      <c r="F75" s="3">
        <f t="shared" si="11"/>
        <v>20.725846153846152</v>
      </c>
      <c r="G75" s="5">
        <f t="shared" si="12"/>
        <v>19.266857142857145</v>
      </c>
      <c r="H75" s="7">
        <f t="shared" si="13"/>
        <v>18.002400000000002</v>
      </c>
      <c r="I75" s="3">
        <f t="shared" si="14"/>
        <v>16.896000000000001</v>
      </c>
      <c r="J75" s="3">
        <f t="shared" si="15"/>
        <v>15.919764705882354</v>
      </c>
      <c r="K75">
        <v>6</v>
      </c>
      <c r="L75" t="s">
        <v>56</v>
      </c>
      <c r="P75">
        <v>1</v>
      </c>
    </row>
    <row r="76" spans="2:19" x14ac:dyDescent="0.25">
      <c r="B76" t="s">
        <v>467</v>
      </c>
      <c r="C76" t="s">
        <v>195</v>
      </c>
      <c r="D76">
        <v>85.86</v>
      </c>
      <c r="E76" s="9">
        <f t="shared" si="10"/>
        <v>15.454799999999999</v>
      </c>
      <c r="F76" s="3">
        <f t="shared" si="11"/>
        <v>24.076615384615383</v>
      </c>
      <c r="G76" s="5">
        <f t="shared" si="12"/>
        <v>22.378285714285713</v>
      </c>
      <c r="H76" s="7">
        <f t="shared" si="13"/>
        <v>20.906399999999998</v>
      </c>
      <c r="I76" s="3">
        <f t="shared" si="14"/>
        <v>19.618499999999997</v>
      </c>
      <c r="J76" s="3">
        <f t="shared" si="15"/>
        <v>18.482117647058825</v>
      </c>
      <c r="K76">
        <v>6</v>
      </c>
      <c r="L76" t="s">
        <v>67</v>
      </c>
      <c r="P76">
        <v>1</v>
      </c>
    </row>
    <row r="77" spans="2:19" x14ac:dyDescent="0.25">
      <c r="B77" t="s">
        <v>468</v>
      </c>
      <c r="C77" t="s">
        <v>199</v>
      </c>
      <c r="D77">
        <v>84.49</v>
      </c>
      <c r="E77" s="9">
        <f t="shared" si="10"/>
        <v>15.208199999999998</v>
      </c>
      <c r="F77" s="3">
        <f t="shared" si="11"/>
        <v>23.697230769230767</v>
      </c>
      <c r="G77" s="5">
        <f t="shared" si="12"/>
        <v>22.026</v>
      </c>
      <c r="H77" s="7">
        <f t="shared" si="13"/>
        <v>20.577599999999997</v>
      </c>
      <c r="I77" s="3">
        <f t="shared" si="14"/>
        <v>19.310249999999996</v>
      </c>
      <c r="J77" s="3">
        <f t="shared" si="15"/>
        <v>18.192</v>
      </c>
      <c r="K77">
        <v>6</v>
      </c>
      <c r="L77" t="s">
        <v>92</v>
      </c>
      <c r="P77">
        <v>2</v>
      </c>
    </row>
    <row r="78" spans="2:19" x14ac:dyDescent="0.25">
      <c r="B78" t="s">
        <v>469</v>
      </c>
      <c r="C78" t="s">
        <v>202</v>
      </c>
      <c r="D78">
        <v>96.16</v>
      </c>
      <c r="E78" s="9">
        <f t="shared" si="10"/>
        <v>17.308799999999998</v>
      </c>
      <c r="F78" s="3">
        <f t="shared" si="11"/>
        <v>26.928923076923073</v>
      </c>
      <c r="G78" s="5">
        <f t="shared" si="12"/>
        <v>25.026857142857143</v>
      </c>
      <c r="H78" s="7">
        <f t="shared" si="13"/>
        <v>23.378399999999999</v>
      </c>
      <c r="I78" s="3">
        <f t="shared" si="14"/>
        <v>21.935999999999996</v>
      </c>
      <c r="J78" s="3">
        <f t="shared" si="15"/>
        <v>20.663294117647059</v>
      </c>
      <c r="K78">
        <v>6</v>
      </c>
      <c r="L78" t="s">
        <v>80</v>
      </c>
      <c r="P78">
        <f>SUM(P54:P77)</f>
        <v>36</v>
      </c>
    </row>
    <row r="81" spans="3:18" ht="15.75" thickBot="1" x14ac:dyDescent="0.3"/>
    <row r="82" spans="3:18" ht="18" x14ac:dyDescent="0.25">
      <c r="N82" s="55">
        <v>36402.43</v>
      </c>
      <c r="Q82" s="55">
        <v>35827.360000000001</v>
      </c>
      <c r="R82" s="50">
        <f>N82-Q82</f>
        <v>575.06999999999971</v>
      </c>
    </row>
    <row r="83" spans="3:18" ht="18" x14ac:dyDescent="0.25">
      <c r="N83" s="57">
        <v>47307.33</v>
      </c>
      <c r="Q83" s="57">
        <v>46982.99</v>
      </c>
      <c r="R83" s="50">
        <f t="shared" ref="R83:R94" si="16">N83-Q83</f>
        <v>324.34000000000378</v>
      </c>
    </row>
    <row r="84" spans="3:18" ht="18" x14ac:dyDescent="0.25">
      <c r="E84" t="s">
        <v>1847</v>
      </c>
      <c r="N84" s="57">
        <v>78676.14</v>
      </c>
      <c r="Q84" s="57">
        <v>77740.83</v>
      </c>
      <c r="R84" s="50">
        <f t="shared" si="16"/>
        <v>935.30999999999767</v>
      </c>
    </row>
    <row r="85" spans="3:18" ht="18" x14ac:dyDescent="0.25">
      <c r="F85" t="s">
        <v>1849</v>
      </c>
      <c r="G85" t="s">
        <v>1850</v>
      </c>
      <c r="N85" s="57">
        <v>48698.21</v>
      </c>
      <c r="Q85" s="57">
        <v>47621.56</v>
      </c>
      <c r="R85" s="50">
        <f t="shared" si="16"/>
        <v>1076.6500000000015</v>
      </c>
    </row>
    <row r="86" spans="3:18" ht="18" x14ac:dyDescent="0.25">
      <c r="E86" t="s">
        <v>1848</v>
      </c>
      <c r="F86" s="1">
        <v>12788.36</v>
      </c>
      <c r="G86" s="1">
        <v>13006.16</v>
      </c>
      <c r="H86" s="1">
        <f>F86-G86</f>
        <v>-217.79999999999927</v>
      </c>
      <c r="N86" s="57">
        <v>17865.830000000002</v>
      </c>
      <c r="Q86" s="57">
        <v>18122.099999999999</v>
      </c>
      <c r="R86" s="50">
        <f t="shared" si="16"/>
        <v>-256.2699999999968</v>
      </c>
    </row>
    <row r="87" spans="3:18" ht="18" x14ac:dyDescent="0.25">
      <c r="E87" t="s">
        <v>1851</v>
      </c>
      <c r="F87" s="1">
        <v>11033.36</v>
      </c>
      <c r="G87" s="1">
        <v>10820.76</v>
      </c>
      <c r="H87" s="1">
        <f t="shared" ref="H87:H88" si="17">F87-G87</f>
        <v>212.60000000000036</v>
      </c>
      <c r="N87" s="57">
        <v>32381.29</v>
      </c>
      <c r="Q87" s="57">
        <v>32184.42</v>
      </c>
      <c r="R87" s="50">
        <f t="shared" si="16"/>
        <v>196.87000000000262</v>
      </c>
    </row>
    <row r="88" spans="3:18" ht="18" x14ac:dyDescent="0.25">
      <c r="E88" t="s">
        <v>1852</v>
      </c>
      <c r="F88" s="1">
        <v>13163.92</v>
      </c>
      <c r="G88" s="1">
        <v>12000.44</v>
      </c>
      <c r="H88" s="1">
        <f t="shared" si="17"/>
        <v>1163.4799999999996</v>
      </c>
      <c r="N88" s="57">
        <v>46671.59</v>
      </c>
      <c r="Q88" s="57">
        <v>42071.65</v>
      </c>
      <c r="R88" s="50">
        <f t="shared" si="16"/>
        <v>4599.9399999999951</v>
      </c>
    </row>
    <row r="89" spans="3:18" ht="18" x14ac:dyDescent="0.25">
      <c r="F89" s="1">
        <f>SUM(F86:F88)</f>
        <v>36985.64</v>
      </c>
      <c r="G89" s="1">
        <f>SUM(G86:G88)</f>
        <v>35827.360000000001</v>
      </c>
      <c r="H89" s="1">
        <f>F89-G89</f>
        <v>1158.2799999999988</v>
      </c>
      <c r="N89" s="57">
        <v>36394.93</v>
      </c>
      <c r="Q89" s="57">
        <v>34193.1</v>
      </c>
      <c r="R89" s="50">
        <f t="shared" si="16"/>
        <v>2201.8300000000017</v>
      </c>
    </row>
    <row r="90" spans="3:18" ht="18" x14ac:dyDescent="0.25">
      <c r="N90" s="57">
        <v>13376.51</v>
      </c>
      <c r="Q90" s="57">
        <v>13374.81</v>
      </c>
      <c r="R90" s="50">
        <f t="shared" si="16"/>
        <v>1.7000000000007276</v>
      </c>
    </row>
    <row r="91" spans="3:18" ht="18" x14ac:dyDescent="0.25">
      <c r="N91" s="57">
        <v>11887.98</v>
      </c>
      <c r="Q91" s="57">
        <v>11239.91</v>
      </c>
      <c r="R91" s="50">
        <f t="shared" si="16"/>
        <v>648.06999999999971</v>
      </c>
    </row>
    <row r="92" spans="3:18" ht="18" x14ac:dyDescent="0.25">
      <c r="N92" s="57">
        <v>17645.5</v>
      </c>
      <c r="Q92" s="57">
        <v>17516.95</v>
      </c>
      <c r="R92" s="50">
        <f t="shared" si="16"/>
        <v>128.54999999999927</v>
      </c>
    </row>
    <row r="93" spans="3:18" ht="18" x14ac:dyDescent="0.25">
      <c r="N93" s="57">
        <v>14363.47</v>
      </c>
      <c r="Q93" s="57">
        <v>14042.11</v>
      </c>
      <c r="R93" s="50">
        <f t="shared" si="16"/>
        <v>321.35999999999876</v>
      </c>
    </row>
    <row r="94" spans="3:18" ht="18" x14ac:dyDescent="0.25">
      <c r="C94">
        <v>48698.21</v>
      </c>
      <c r="D94">
        <v>47621.56</v>
      </c>
      <c r="E94">
        <f>C94-D94</f>
        <v>1076.6500000000015</v>
      </c>
      <c r="M94" t="s">
        <v>1853</v>
      </c>
      <c r="N94" s="57">
        <f>SUM(N82:N93)</f>
        <v>401671.20999999996</v>
      </c>
      <c r="Q94" s="57">
        <f>SUM(Q82:Q93)</f>
        <v>390917.79</v>
      </c>
      <c r="R94" s="50">
        <f t="shared" si="16"/>
        <v>10753.419999999984</v>
      </c>
    </row>
    <row r="95" spans="3:18" ht="15.75" thickBot="1" x14ac:dyDescent="0.3">
      <c r="Q95" s="56"/>
    </row>
    <row r="96" spans="3:18" x14ac:dyDescent="0.25">
      <c r="N96" s="58"/>
    </row>
    <row r="97" spans="9:18" x14ac:dyDescent="0.25">
      <c r="I97">
        <f>(N94/Q94)*100%</f>
        <v>1.0275081366852095</v>
      </c>
      <c r="R97" s="50">
        <f>SUM(R82:R93)</f>
        <v>10753.420000000004</v>
      </c>
    </row>
    <row r="104" spans="9:18" ht="15.75" thickBot="1" x14ac:dyDescent="0.3"/>
    <row r="105" spans="9:18" ht="18" x14ac:dyDescent="0.25">
      <c r="N105" s="55">
        <v>36402.43</v>
      </c>
    </row>
    <row r="106" spans="9:18" ht="18" x14ac:dyDescent="0.25">
      <c r="N106" s="57">
        <v>47307.33</v>
      </c>
    </row>
    <row r="107" spans="9:18" ht="18" x14ac:dyDescent="0.25">
      <c r="N107" s="57">
        <v>78676.14</v>
      </c>
    </row>
    <row r="108" spans="9:18" ht="18" x14ac:dyDescent="0.25">
      <c r="N108" s="57">
        <v>48698.21</v>
      </c>
    </row>
    <row r="109" spans="9:18" ht="18" x14ac:dyDescent="0.25">
      <c r="N109" s="57">
        <v>17865.830000000002</v>
      </c>
    </row>
    <row r="110" spans="9:18" ht="18" x14ac:dyDescent="0.25">
      <c r="N110" s="57">
        <v>32381.29</v>
      </c>
    </row>
    <row r="111" spans="9:18" ht="18" x14ac:dyDescent="0.25">
      <c r="N111" s="57">
        <v>46671.59</v>
      </c>
    </row>
    <row r="112" spans="9:18" ht="18" x14ac:dyDescent="0.25">
      <c r="N112" s="57">
        <v>36394.93</v>
      </c>
    </row>
    <row r="113" spans="14:14" ht="18" x14ac:dyDescent="0.25">
      <c r="N113" s="57">
        <v>13376.51</v>
      </c>
    </row>
    <row r="114" spans="14:14" ht="18" x14ac:dyDescent="0.25">
      <c r="N114" s="57">
        <v>11887.98</v>
      </c>
    </row>
    <row r="115" spans="14:14" ht="18" x14ac:dyDescent="0.25">
      <c r="N115" s="57">
        <v>17645.5</v>
      </c>
    </row>
    <row r="116" spans="14:14" ht="18" x14ac:dyDescent="0.25">
      <c r="N116" s="57">
        <v>14363.47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76F8-03DF-4476-92AF-B7D3B41D99A1}">
  <sheetPr>
    <tabColor theme="9" tint="0.39997558519241921"/>
  </sheetPr>
  <dimension ref="A1:Y34"/>
  <sheetViews>
    <sheetView topLeftCell="B1" workbookViewId="0">
      <selection activeCell="J5" sqref="J5"/>
    </sheetView>
  </sheetViews>
  <sheetFormatPr defaultRowHeight="15" x14ac:dyDescent="0.25"/>
  <cols>
    <col min="1" max="1" width="20.7109375" customWidth="1"/>
    <col min="2" max="3" width="10.28515625" bestFit="1" customWidth="1"/>
    <col min="4" max="4" width="11" customWidth="1"/>
    <col min="7" max="9" width="10.28515625" bestFit="1" customWidth="1"/>
  </cols>
  <sheetData>
    <row r="1" spans="1:25" x14ac:dyDescent="0.25">
      <c r="Q1" s="14"/>
      <c r="R1" s="14"/>
      <c r="S1" s="14"/>
    </row>
    <row r="2" spans="1:25" x14ac:dyDescent="0.25">
      <c r="A2" s="8"/>
      <c r="B2" s="2"/>
      <c r="C2" s="4"/>
      <c r="D2" s="6"/>
      <c r="F2" s="11" t="s">
        <v>86</v>
      </c>
      <c r="G2" s="11" t="s">
        <v>1476</v>
      </c>
      <c r="H2" s="11" t="s">
        <v>1663</v>
      </c>
      <c r="I2" s="11" t="s">
        <v>1477</v>
      </c>
      <c r="J2" s="11" t="s">
        <v>1478</v>
      </c>
      <c r="K2" s="12" t="s">
        <v>1668</v>
      </c>
      <c r="L2" s="12" t="s">
        <v>1669</v>
      </c>
      <c r="M2" s="12" t="s">
        <v>1675</v>
      </c>
      <c r="P2" s="19" t="s">
        <v>1668</v>
      </c>
      <c r="Q2" s="19" t="s">
        <v>1669</v>
      </c>
      <c r="R2" s="19" t="s">
        <v>1675</v>
      </c>
    </row>
    <row r="3" spans="1:25" x14ac:dyDescent="0.25">
      <c r="A3" t="s">
        <v>1673</v>
      </c>
      <c r="B3" t="s">
        <v>1378</v>
      </c>
      <c r="C3" t="s">
        <v>1379</v>
      </c>
      <c r="D3" t="s">
        <v>1380</v>
      </c>
      <c r="F3" s="13"/>
      <c r="G3" s="11">
        <v>10</v>
      </c>
      <c r="H3" s="11">
        <v>25</v>
      </c>
      <c r="I3" s="11">
        <v>2</v>
      </c>
      <c r="J3" s="11">
        <f>G3*H3</f>
        <v>250</v>
      </c>
      <c r="K3" s="17">
        <f>_xlfn.XLOOKUP($G$3*$H$3, $B$12:$B$21, $G$12:$G$21, $G$12, -1)</f>
        <v>22.915384615384614</v>
      </c>
      <c r="L3" s="16">
        <f>_xlfn.XLOOKUP($G$3*$H$3, $B$12:$B$21, $O$12:$O$21, $O$12, -1)</f>
        <v>27.982307692307689</v>
      </c>
      <c r="M3" s="16">
        <f>_xlfn.XLOOKUP($G$3*$H$3, $B$12:$B$21, $W$12:$W$21, $W$12, -1)</f>
        <v>41.217692307692296</v>
      </c>
      <c r="N3" s="14">
        <v>0.35</v>
      </c>
      <c r="P3" s="16" t="str">
        <f>IF(OR(AND($G$3&gt;28, $H$3&gt;28), $G$3&gt;35, $H$3&gt;35),_xlfn.XLOOKUP(($G$3*$H$3)/2, $B$12:$B$21, $G$12:$G$21, $G$12, -1) * 2,"N/A")</f>
        <v>N/A</v>
      </c>
      <c r="Q3" s="16" t="str">
        <f>IF(OR(AND($G$3&gt;28, $H$3&gt;28), $G$3&gt;35, $H$3&gt;35),_xlfn.XLOOKUP(($G$3*$H$3)/2, $B$12:$B$21, $O$12:$O$21, $O$12, -1) * 2,"N/A")</f>
        <v>N/A</v>
      </c>
      <c r="R3" s="16" t="str">
        <f>IF(OR(AND($G$3&gt;28, $H$3&gt;28), $G$3&gt;35, $H$3&gt;35),_xlfn.XLOOKUP(($G$3*$H$3)/2, $B$12:$B$21, $W$12:$W$21, $W$12, -1) * 2,"N/A")</f>
        <v>N/A</v>
      </c>
      <c r="S3" s="14">
        <v>0.35</v>
      </c>
    </row>
    <row r="4" spans="1:25" x14ac:dyDescent="0.25">
      <c r="K4" s="17">
        <f>_xlfn.XLOOKUP($G$3*$H$3, $B$12:$B$21, $H$12:$H$21, $H$12, -1)</f>
        <v>21.3</v>
      </c>
      <c r="L4" s="16">
        <f>_xlfn.XLOOKUP($G$3*$H$3, $B$12:$B$21, $P$12:$P$21, $P$12, -1)</f>
        <v>26.004999999999999</v>
      </c>
      <c r="M4" s="16">
        <f>_xlfn.XLOOKUP($G$3*$H$3, $B$12:$B$21, $X$12:$X$21, $X$12, -1)</f>
        <v>38.294999999999995</v>
      </c>
      <c r="N4" s="14">
        <v>0.3</v>
      </c>
      <c r="P4" s="16" t="str">
        <f>IF(OR(AND($G$3&gt;28, $H$3&gt;28), $G$3&gt;35, $H$3&gt;35),_xlfn.XLOOKUP(($G$3*$H$3)/2, $B$12:$B$21, $H$12:$H$21, $H$12, -1) * 2,"N/A")</f>
        <v>N/A</v>
      </c>
      <c r="Q4" s="16" t="str">
        <f>IF(OR(AND($G$3&gt;28, $H$3&gt;28), $G$3&gt;35, $H$3&gt;35),_xlfn.XLOOKUP(($G$3*$H$3)/2, $B$12:$B$21, $P$12:$P$21, $P$12, -1) * 2,"N/A")</f>
        <v>N/A</v>
      </c>
      <c r="R4" s="16" t="str">
        <f>IF(OR(AND($G$3&gt;28, $H$3&gt;28), $G$3&gt;35, $H$3&gt;35),_xlfn.XLOOKUP(($G$3*$H$3)/2, $B$12:$B$21, $X$12:$X$21, $X$12, -1) * 2,"N/A")</f>
        <v>N/A</v>
      </c>
      <c r="S4" s="14">
        <v>0.3</v>
      </c>
    </row>
    <row r="5" spans="1:25" x14ac:dyDescent="0.25">
      <c r="K5" s="17">
        <f>_xlfn.XLOOKUP($G$3*$H$3, $B$12:$B$21, $I$12:$I$21, $I$12, -1)</f>
        <v>19.899999999999999</v>
      </c>
      <c r="L5" s="16">
        <f>_xlfn.XLOOKUP($G$3*$H$3, $B$12:$B$21, $Q$12:$Q$21, $Q$12, -1)</f>
        <v>24.291333333333331</v>
      </c>
      <c r="M5" s="16">
        <f>_xlfn.XLOOKUP($G$3*$H$3, $B$12:$B$21, $Y$12:$Y$21, $Y$12, -1)</f>
        <v>35.761999999999993</v>
      </c>
      <c r="N5" s="14">
        <v>0.25</v>
      </c>
      <c r="P5" s="16" t="str">
        <f>IF(OR(AND($G$3&gt;28, $H$3&gt;28), $G$3&gt;35, $H$3&gt;35),_xlfn.XLOOKUP(($G$3*$H$3)/2, $B$12:$B$21, $I$12:$I$21, $I$12, -1) * 2,"N/A")</f>
        <v>N/A</v>
      </c>
      <c r="Q5" s="16" t="str">
        <f>IF(OR(AND($G$3&gt;28, $H$3&gt;28), $G$3&gt;35, $H$3&gt;35),_xlfn.XLOOKUP(($G$3*$H$3)/2, $B$12:$B$21, $Q$12:$Q$21, $Q$12, -1) * 2,"N/A")</f>
        <v>N/A</v>
      </c>
      <c r="R5" s="16" t="str">
        <f>IF(OR(AND($G$3&gt;28, $H$3&gt;28), $G$3&gt;35, $H$3&gt;35),_xlfn.XLOOKUP(($G$3*$H$3)/2, $B$12:$B$21, $Y$12:$Y$21, $Y$12, -1) * 2,"N/A")</f>
        <v>N/A</v>
      </c>
      <c r="S5" s="14">
        <v>0.25</v>
      </c>
    </row>
    <row r="6" spans="1:25" x14ac:dyDescent="0.25">
      <c r="A6" t="s">
        <v>1540</v>
      </c>
      <c r="P6" s="77" t="s">
        <v>1676</v>
      </c>
      <c r="Q6" s="77"/>
      <c r="R6" s="77"/>
    </row>
    <row r="7" spans="1:25" x14ac:dyDescent="0.25">
      <c r="A7" t="s">
        <v>1382</v>
      </c>
    </row>
    <row r="9" spans="1:25" x14ac:dyDescent="0.25">
      <c r="D9" t="s">
        <v>1585</v>
      </c>
      <c r="L9" t="s">
        <v>1596</v>
      </c>
      <c r="N9" s="10"/>
      <c r="O9" s="10"/>
      <c r="P9" s="10"/>
      <c r="Q9" s="10"/>
      <c r="T9" t="s">
        <v>1607</v>
      </c>
      <c r="V9" s="10"/>
      <c r="W9" s="10"/>
      <c r="X9" s="10"/>
      <c r="Y9" s="10"/>
    </row>
    <row r="10" spans="1:25" x14ac:dyDescent="0.25">
      <c r="A10" t="s">
        <v>1383</v>
      </c>
      <c r="D10" t="s">
        <v>1384</v>
      </c>
      <c r="E10" t="s">
        <v>1439</v>
      </c>
      <c r="F10" t="s">
        <v>0</v>
      </c>
      <c r="K10" t="s">
        <v>1383</v>
      </c>
      <c r="L10" t="s">
        <v>1384</v>
      </c>
      <c r="M10" t="s">
        <v>1439</v>
      </c>
      <c r="N10" s="10"/>
      <c r="O10" s="10"/>
      <c r="P10" s="10"/>
      <c r="Q10" s="10"/>
      <c r="S10" t="s">
        <v>1383</v>
      </c>
      <c r="T10" t="s">
        <v>1384</v>
      </c>
      <c r="U10" t="s">
        <v>1439</v>
      </c>
      <c r="V10" s="10"/>
      <c r="W10" s="10"/>
      <c r="X10" s="10"/>
      <c r="Y10" s="10"/>
    </row>
    <row r="11" spans="1:25" x14ac:dyDescent="0.25">
      <c r="A11" t="s">
        <v>1386</v>
      </c>
      <c r="D11" t="s">
        <v>57</v>
      </c>
      <c r="E11" t="s">
        <v>1387</v>
      </c>
      <c r="F11">
        <v>0.35</v>
      </c>
      <c r="G11" t="s">
        <v>1378</v>
      </c>
      <c r="H11" t="s">
        <v>1379</v>
      </c>
      <c r="I11" t="s">
        <v>1380</v>
      </c>
      <c r="K11" t="s">
        <v>1386</v>
      </c>
      <c r="L11" t="s">
        <v>57</v>
      </c>
      <c r="M11" t="s">
        <v>1387</v>
      </c>
      <c r="N11" s="10"/>
      <c r="O11" s="10"/>
      <c r="P11" s="10"/>
      <c r="Q11" s="10"/>
      <c r="S11" t="s">
        <v>1386</v>
      </c>
      <c r="T11" t="s">
        <v>57</v>
      </c>
      <c r="U11" t="s">
        <v>1387</v>
      </c>
      <c r="V11" s="10"/>
      <c r="W11" s="10"/>
      <c r="X11" s="10"/>
      <c r="Y11" s="10"/>
    </row>
    <row r="12" spans="1:25" x14ac:dyDescent="0.25">
      <c r="A12" t="s">
        <v>1388</v>
      </c>
      <c r="B12">
        <v>0</v>
      </c>
      <c r="C12">
        <v>150</v>
      </c>
      <c r="D12" t="s">
        <v>1586</v>
      </c>
      <c r="E12">
        <v>28.59</v>
      </c>
      <c r="F12" s="9">
        <f>E12*$F$11</f>
        <v>10.006499999999999</v>
      </c>
      <c r="G12" s="3">
        <f>(F12/0.65)+0.3</f>
        <v>15.694615384615384</v>
      </c>
      <c r="H12" s="5">
        <f>(F12/0.7)+0.3</f>
        <v>14.595000000000001</v>
      </c>
      <c r="I12" s="7">
        <f>(F12/0.75)+0.3</f>
        <v>13.641999999999999</v>
      </c>
      <c r="K12" t="s">
        <v>1388</v>
      </c>
      <c r="L12" t="s">
        <v>1597</v>
      </c>
      <c r="M12">
        <v>36.090000000000003</v>
      </c>
      <c r="N12" s="9">
        <f t="shared" ref="N12:N21" si="0">M12*$F$11</f>
        <v>12.631500000000001</v>
      </c>
      <c r="O12" s="3">
        <f t="shared" ref="O12:O21" si="1">(N12/0.65)+0.3</f>
        <v>19.733076923076926</v>
      </c>
      <c r="P12" s="5">
        <f t="shared" ref="P12:P21" si="2">(N12/0.7)+0.3</f>
        <v>18.345000000000002</v>
      </c>
      <c r="Q12" s="7">
        <f t="shared" ref="Q12:Q21" si="3">(N12/0.75)+0.3</f>
        <v>17.142000000000003</v>
      </c>
      <c r="S12" t="s">
        <v>1388</v>
      </c>
      <c r="T12" t="s">
        <v>1608</v>
      </c>
      <c r="U12">
        <v>54.8</v>
      </c>
      <c r="V12" s="9">
        <f t="shared" ref="V12:V21" si="4">U12*$F$11</f>
        <v>19.179999999999996</v>
      </c>
      <c r="W12" s="3">
        <f t="shared" ref="W12:W21" si="5">(V12/0.65)+0.3</f>
        <v>29.807692307692303</v>
      </c>
      <c r="X12" s="5">
        <f t="shared" ref="X12:X21" si="6">(V12/0.7)+0.3</f>
        <v>27.699999999999996</v>
      </c>
      <c r="Y12" s="7">
        <f t="shared" ref="Y12:Y21" si="7">(V12/0.75)+0.3</f>
        <v>25.873333333333328</v>
      </c>
    </row>
    <row r="13" spans="1:25" x14ac:dyDescent="0.25">
      <c r="A13" t="s">
        <v>1392</v>
      </c>
      <c r="B13">
        <v>150</v>
      </c>
      <c r="C13">
        <v>199</v>
      </c>
      <c r="D13" t="s">
        <v>1587</v>
      </c>
      <c r="E13">
        <v>33.89</v>
      </c>
      <c r="F13" s="9">
        <f t="shared" ref="F13:F21" si="8">E13*$F$11</f>
        <v>11.861499999999999</v>
      </c>
      <c r="G13" s="3">
        <f t="shared" ref="G13:G21" si="9">(F13/0.65)+0.3</f>
        <v>18.548461538461538</v>
      </c>
      <c r="H13" s="5">
        <f t="shared" ref="H13:H21" si="10">(F13/0.7)+0.3</f>
        <v>17.245000000000001</v>
      </c>
      <c r="I13" s="7">
        <f t="shared" ref="I13:I21" si="11">(F13/0.75)+0.3</f>
        <v>16.115333333333332</v>
      </c>
      <c r="K13" t="s">
        <v>1392</v>
      </c>
      <c r="L13" t="s">
        <v>1598</v>
      </c>
      <c r="M13">
        <v>41.48</v>
      </c>
      <c r="N13" s="9">
        <f t="shared" si="0"/>
        <v>14.517999999999997</v>
      </c>
      <c r="O13" s="3">
        <f t="shared" si="1"/>
        <v>22.635384615384609</v>
      </c>
      <c r="P13" s="5">
        <f t="shared" si="2"/>
        <v>21.04</v>
      </c>
      <c r="Q13" s="7">
        <f t="shared" si="3"/>
        <v>19.65733333333333</v>
      </c>
      <c r="S13" t="s">
        <v>1392</v>
      </c>
      <c r="T13" t="s">
        <v>1609</v>
      </c>
      <c r="U13">
        <v>61.92</v>
      </c>
      <c r="V13" s="9">
        <f t="shared" si="4"/>
        <v>21.672000000000001</v>
      </c>
      <c r="W13" s="3">
        <f t="shared" si="5"/>
        <v>33.64153846153846</v>
      </c>
      <c r="X13" s="5">
        <f t="shared" si="6"/>
        <v>31.260000000000005</v>
      </c>
      <c r="Y13" s="7">
        <f t="shared" si="7"/>
        <v>29.196000000000002</v>
      </c>
    </row>
    <row r="14" spans="1:25" x14ac:dyDescent="0.25">
      <c r="A14" t="s">
        <v>1396</v>
      </c>
      <c r="B14">
        <v>200</v>
      </c>
      <c r="C14">
        <v>249</v>
      </c>
      <c r="D14" t="s">
        <v>1588</v>
      </c>
      <c r="E14">
        <v>38.130000000000003</v>
      </c>
      <c r="F14" s="9">
        <f t="shared" si="8"/>
        <v>13.345499999999999</v>
      </c>
      <c r="G14" s="3">
        <f t="shared" si="9"/>
        <v>20.831538461538461</v>
      </c>
      <c r="H14" s="5">
        <f t="shared" si="10"/>
        <v>19.365000000000002</v>
      </c>
      <c r="I14" s="7">
        <f t="shared" si="11"/>
        <v>18.094000000000001</v>
      </c>
      <c r="K14" t="s">
        <v>1396</v>
      </c>
      <c r="L14" t="s">
        <v>1599</v>
      </c>
      <c r="M14">
        <v>46.7</v>
      </c>
      <c r="N14" s="9">
        <f t="shared" si="0"/>
        <v>16.344999999999999</v>
      </c>
      <c r="O14" s="3">
        <f t="shared" si="1"/>
        <v>25.446153846153845</v>
      </c>
      <c r="P14" s="5">
        <f t="shared" si="2"/>
        <v>23.650000000000002</v>
      </c>
      <c r="Q14" s="7">
        <f t="shared" si="3"/>
        <v>22.093333333333334</v>
      </c>
      <c r="S14" t="s">
        <v>1396</v>
      </c>
      <c r="T14" t="s">
        <v>1610</v>
      </c>
      <c r="U14">
        <v>68.900000000000006</v>
      </c>
      <c r="V14" s="9">
        <f t="shared" si="4"/>
        <v>24.115000000000002</v>
      </c>
      <c r="W14" s="3">
        <f t="shared" si="5"/>
        <v>37.4</v>
      </c>
      <c r="X14" s="5">
        <f t="shared" si="6"/>
        <v>34.75</v>
      </c>
      <c r="Y14" s="7">
        <f t="shared" si="7"/>
        <v>32.453333333333333</v>
      </c>
    </row>
    <row r="15" spans="1:25" x14ac:dyDescent="0.25">
      <c r="A15" t="s">
        <v>1400</v>
      </c>
      <c r="B15">
        <v>250</v>
      </c>
      <c r="C15">
        <v>299</v>
      </c>
      <c r="D15" t="s">
        <v>1589</v>
      </c>
      <c r="E15">
        <v>42</v>
      </c>
      <c r="F15" s="9">
        <f t="shared" si="8"/>
        <v>14.7</v>
      </c>
      <c r="G15" s="3">
        <f t="shared" si="9"/>
        <v>22.915384615384614</v>
      </c>
      <c r="H15" s="5">
        <f t="shared" si="10"/>
        <v>21.3</v>
      </c>
      <c r="I15" s="7">
        <f t="shared" si="11"/>
        <v>19.899999999999999</v>
      </c>
      <c r="K15" t="s">
        <v>1400</v>
      </c>
      <c r="L15" t="s">
        <v>1600</v>
      </c>
      <c r="M15">
        <v>51.41</v>
      </c>
      <c r="N15" s="9">
        <f t="shared" si="0"/>
        <v>17.993499999999997</v>
      </c>
      <c r="O15" s="3">
        <f t="shared" si="1"/>
        <v>27.982307692307689</v>
      </c>
      <c r="P15" s="5">
        <f t="shared" si="2"/>
        <v>26.004999999999999</v>
      </c>
      <c r="Q15" s="7">
        <f t="shared" si="3"/>
        <v>24.291333333333331</v>
      </c>
      <c r="S15" t="s">
        <v>1400</v>
      </c>
      <c r="T15" t="s">
        <v>1611</v>
      </c>
      <c r="U15">
        <v>75.989999999999995</v>
      </c>
      <c r="V15" s="9">
        <f t="shared" si="4"/>
        <v>26.596499999999995</v>
      </c>
      <c r="W15" s="3">
        <f t="shared" si="5"/>
        <v>41.217692307692296</v>
      </c>
      <c r="X15" s="5">
        <f t="shared" si="6"/>
        <v>38.294999999999995</v>
      </c>
      <c r="Y15" s="7">
        <f t="shared" si="7"/>
        <v>35.761999999999993</v>
      </c>
    </row>
    <row r="16" spans="1:25" x14ac:dyDescent="0.25">
      <c r="A16" t="s">
        <v>1404</v>
      </c>
      <c r="B16">
        <v>300</v>
      </c>
      <c r="C16">
        <v>399</v>
      </c>
      <c r="D16" t="s">
        <v>1590</v>
      </c>
      <c r="E16">
        <v>47.22</v>
      </c>
      <c r="F16" s="9">
        <f t="shared" si="8"/>
        <v>16.526999999999997</v>
      </c>
      <c r="G16" s="3">
        <f t="shared" si="9"/>
        <v>25.726153846153842</v>
      </c>
      <c r="H16" s="5">
        <f t="shared" si="10"/>
        <v>23.91</v>
      </c>
      <c r="I16" s="7">
        <f t="shared" si="11"/>
        <v>22.335999999999999</v>
      </c>
      <c r="K16" t="s">
        <v>1404</v>
      </c>
      <c r="L16" t="s">
        <v>1601</v>
      </c>
      <c r="M16">
        <v>57.8</v>
      </c>
      <c r="N16" s="9">
        <f t="shared" si="0"/>
        <v>20.229999999999997</v>
      </c>
      <c r="O16" s="3">
        <f t="shared" si="1"/>
        <v>31.423076923076916</v>
      </c>
      <c r="P16" s="5">
        <f t="shared" si="2"/>
        <v>29.2</v>
      </c>
      <c r="Q16" s="7">
        <f t="shared" si="3"/>
        <v>27.27333333333333</v>
      </c>
      <c r="S16" t="s">
        <v>1612</v>
      </c>
      <c r="T16" t="s">
        <v>1613</v>
      </c>
      <c r="U16">
        <v>85.78</v>
      </c>
      <c r="V16" s="9">
        <f t="shared" si="4"/>
        <v>30.023</v>
      </c>
      <c r="W16" s="3">
        <f t="shared" si="5"/>
        <v>46.489230769230765</v>
      </c>
      <c r="X16" s="5">
        <f t="shared" si="6"/>
        <v>43.19</v>
      </c>
      <c r="Y16" s="7">
        <f t="shared" si="7"/>
        <v>40.330666666666666</v>
      </c>
    </row>
    <row r="17" spans="1:25" x14ac:dyDescent="0.25">
      <c r="A17" t="s">
        <v>1408</v>
      </c>
      <c r="B17">
        <v>400</v>
      </c>
      <c r="C17">
        <v>499</v>
      </c>
      <c r="D17" t="s">
        <v>1591</v>
      </c>
      <c r="E17">
        <v>52.64</v>
      </c>
      <c r="F17" s="9">
        <f t="shared" si="8"/>
        <v>18.423999999999999</v>
      </c>
      <c r="G17" s="3">
        <f t="shared" si="9"/>
        <v>28.644615384615385</v>
      </c>
      <c r="H17" s="5">
        <f t="shared" si="10"/>
        <v>26.62</v>
      </c>
      <c r="I17" s="7">
        <f t="shared" si="11"/>
        <v>24.865333333333332</v>
      </c>
      <c r="K17" t="s">
        <v>1408</v>
      </c>
      <c r="L17" t="s">
        <v>1602</v>
      </c>
      <c r="M17">
        <v>64.400000000000006</v>
      </c>
      <c r="N17" s="9">
        <f t="shared" si="0"/>
        <v>22.54</v>
      </c>
      <c r="O17" s="3">
        <f t="shared" si="1"/>
        <v>34.976923076923072</v>
      </c>
      <c r="P17" s="5">
        <f t="shared" si="2"/>
        <v>32.5</v>
      </c>
      <c r="Q17" s="7">
        <f t="shared" si="3"/>
        <v>30.353333333333332</v>
      </c>
      <c r="S17" t="s">
        <v>470</v>
      </c>
      <c r="T17" t="s">
        <v>1614</v>
      </c>
      <c r="U17">
        <v>95.21</v>
      </c>
      <c r="V17" s="9">
        <f t="shared" si="4"/>
        <v>33.323499999999996</v>
      </c>
      <c r="W17" s="3">
        <f t="shared" si="5"/>
        <v>51.566923076923068</v>
      </c>
      <c r="X17" s="5">
        <f t="shared" si="6"/>
        <v>47.904999999999994</v>
      </c>
      <c r="Y17" s="7">
        <f t="shared" si="7"/>
        <v>44.731333333333325</v>
      </c>
    </row>
    <row r="18" spans="1:25" x14ac:dyDescent="0.25">
      <c r="A18" t="s">
        <v>1412</v>
      </c>
      <c r="B18">
        <v>500</v>
      </c>
      <c r="C18">
        <v>599</v>
      </c>
      <c r="D18" t="s">
        <v>1592</v>
      </c>
      <c r="E18">
        <v>56.45</v>
      </c>
      <c r="F18" s="9">
        <f t="shared" si="8"/>
        <v>19.7575</v>
      </c>
      <c r="G18" s="3">
        <f t="shared" si="9"/>
        <v>30.696153846153845</v>
      </c>
      <c r="H18" s="5">
        <f t="shared" si="10"/>
        <v>28.525000000000002</v>
      </c>
      <c r="I18" s="7">
        <f t="shared" si="11"/>
        <v>26.643333333333334</v>
      </c>
      <c r="K18" t="s">
        <v>1412</v>
      </c>
      <c r="L18" t="s">
        <v>1603</v>
      </c>
      <c r="M18">
        <v>69.14</v>
      </c>
      <c r="N18" s="9">
        <f t="shared" si="0"/>
        <v>24.198999999999998</v>
      </c>
      <c r="O18" s="3">
        <f t="shared" si="1"/>
        <v>37.529230769230765</v>
      </c>
      <c r="P18" s="5">
        <f t="shared" si="2"/>
        <v>34.869999999999997</v>
      </c>
      <c r="Q18" s="7">
        <f t="shared" si="3"/>
        <v>32.565333333333328</v>
      </c>
      <c r="S18" t="s">
        <v>1412</v>
      </c>
      <c r="T18" t="s">
        <v>1615</v>
      </c>
      <c r="U18">
        <v>102.22</v>
      </c>
      <c r="V18" s="9">
        <f t="shared" si="4"/>
        <v>35.776999999999994</v>
      </c>
      <c r="W18" s="3">
        <f t="shared" si="5"/>
        <v>55.341538461538448</v>
      </c>
      <c r="X18" s="5">
        <f t="shared" si="6"/>
        <v>51.409999999999989</v>
      </c>
      <c r="Y18" s="7">
        <f t="shared" si="7"/>
        <v>48.002666666666656</v>
      </c>
    </row>
    <row r="19" spans="1:25" x14ac:dyDescent="0.25">
      <c r="A19" t="s">
        <v>1416</v>
      </c>
      <c r="B19">
        <v>600</v>
      </c>
      <c r="C19">
        <v>699</v>
      </c>
      <c r="D19" t="s">
        <v>1593</v>
      </c>
      <c r="E19">
        <v>60.67</v>
      </c>
      <c r="F19" s="9">
        <f t="shared" si="8"/>
        <v>21.234500000000001</v>
      </c>
      <c r="G19" s="3">
        <f t="shared" si="9"/>
        <v>32.968461538461533</v>
      </c>
      <c r="H19" s="5">
        <f t="shared" si="10"/>
        <v>30.635000000000005</v>
      </c>
      <c r="I19" s="7">
        <f t="shared" si="11"/>
        <v>28.612666666666669</v>
      </c>
      <c r="K19" t="s">
        <v>1416</v>
      </c>
      <c r="L19" t="s">
        <v>1604</v>
      </c>
      <c r="M19">
        <v>74.22</v>
      </c>
      <c r="N19" s="9">
        <f t="shared" si="0"/>
        <v>25.976999999999997</v>
      </c>
      <c r="O19" s="3">
        <f t="shared" si="1"/>
        <v>40.264615384615375</v>
      </c>
      <c r="P19" s="5">
        <f t="shared" si="2"/>
        <v>37.409999999999997</v>
      </c>
      <c r="Q19" s="7">
        <f t="shared" si="3"/>
        <v>34.935999999999993</v>
      </c>
      <c r="S19" t="s">
        <v>1416</v>
      </c>
      <c r="T19" t="s">
        <v>1616</v>
      </c>
      <c r="U19">
        <v>109.36</v>
      </c>
      <c r="V19" s="9">
        <f t="shared" si="4"/>
        <v>38.275999999999996</v>
      </c>
      <c r="W19" s="3">
        <f t="shared" si="5"/>
        <v>59.186153846153836</v>
      </c>
      <c r="X19" s="5">
        <f t="shared" si="6"/>
        <v>54.98</v>
      </c>
      <c r="Y19" s="7">
        <f t="shared" si="7"/>
        <v>51.334666666666656</v>
      </c>
    </row>
    <row r="20" spans="1:25" x14ac:dyDescent="0.25">
      <c r="A20" t="s">
        <v>1420</v>
      </c>
      <c r="B20">
        <v>700</v>
      </c>
      <c r="C20">
        <v>799</v>
      </c>
      <c r="D20" t="s">
        <v>1594</v>
      </c>
      <c r="E20">
        <v>64.260000000000005</v>
      </c>
      <c r="F20" s="9">
        <f t="shared" si="8"/>
        <v>22.491</v>
      </c>
      <c r="G20" s="3">
        <f t="shared" si="9"/>
        <v>34.901538461538458</v>
      </c>
      <c r="H20" s="5">
        <f t="shared" si="10"/>
        <v>32.43</v>
      </c>
      <c r="I20" s="7">
        <f t="shared" si="11"/>
        <v>30.288</v>
      </c>
      <c r="K20" t="s">
        <v>1420</v>
      </c>
      <c r="L20" t="s">
        <v>1605</v>
      </c>
      <c r="M20">
        <v>78.64</v>
      </c>
      <c r="N20" s="9">
        <f t="shared" si="0"/>
        <v>27.523999999999997</v>
      </c>
      <c r="O20" s="3">
        <f t="shared" si="1"/>
        <v>42.644615384615378</v>
      </c>
      <c r="P20" s="5">
        <f t="shared" si="2"/>
        <v>39.619999999999997</v>
      </c>
      <c r="Q20" s="7">
        <f t="shared" si="3"/>
        <v>36.998666666666658</v>
      </c>
      <c r="S20" t="s">
        <v>1420</v>
      </c>
      <c r="T20" t="s">
        <v>1617</v>
      </c>
      <c r="U20">
        <v>116.97</v>
      </c>
      <c r="V20" s="9">
        <f t="shared" si="4"/>
        <v>40.939499999999995</v>
      </c>
      <c r="W20" s="3">
        <f t="shared" si="5"/>
        <v>63.283846153846142</v>
      </c>
      <c r="X20" s="5">
        <f t="shared" si="6"/>
        <v>58.784999999999997</v>
      </c>
      <c r="Y20" s="7">
        <f t="shared" si="7"/>
        <v>54.885999999999989</v>
      </c>
    </row>
    <row r="21" spans="1:25" x14ac:dyDescent="0.25">
      <c r="A21" t="s">
        <v>1424</v>
      </c>
      <c r="B21">
        <v>800</v>
      </c>
      <c r="C21">
        <v>899</v>
      </c>
      <c r="D21" t="s">
        <v>1595</v>
      </c>
      <c r="E21">
        <v>70.599999999999994</v>
      </c>
      <c r="F21" s="9">
        <f t="shared" si="8"/>
        <v>24.709999999999997</v>
      </c>
      <c r="G21" s="3">
        <f t="shared" si="9"/>
        <v>38.315384615384609</v>
      </c>
      <c r="H21" s="5">
        <f t="shared" si="10"/>
        <v>35.599999999999994</v>
      </c>
      <c r="I21" s="7">
        <f t="shared" si="11"/>
        <v>33.246666666666663</v>
      </c>
      <c r="K21" t="s">
        <v>1424</v>
      </c>
      <c r="L21" t="s">
        <v>1606</v>
      </c>
      <c r="M21">
        <v>86.49</v>
      </c>
      <c r="N21" s="9">
        <f t="shared" si="0"/>
        <v>30.271499999999996</v>
      </c>
      <c r="O21" s="3">
        <f t="shared" si="1"/>
        <v>46.871538461538449</v>
      </c>
      <c r="P21" s="5">
        <f t="shared" si="2"/>
        <v>43.544999999999995</v>
      </c>
      <c r="Q21" s="7">
        <f t="shared" si="3"/>
        <v>40.661999999999992</v>
      </c>
      <c r="S21" t="s">
        <v>1424</v>
      </c>
      <c r="T21" t="s">
        <v>1618</v>
      </c>
      <c r="U21">
        <v>128.68</v>
      </c>
      <c r="V21" s="9">
        <f t="shared" si="4"/>
        <v>45.037999999999997</v>
      </c>
      <c r="W21" s="3">
        <f t="shared" si="5"/>
        <v>69.589230769230753</v>
      </c>
      <c r="X21" s="5">
        <f t="shared" si="6"/>
        <v>64.64</v>
      </c>
      <c r="Y21" s="7">
        <f t="shared" si="7"/>
        <v>60.350666666666662</v>
      </c>
    </row>
    <row r="22" spans="1:25" x14ac:dyDescent="0.25">
      <c r="F22" s="10"/>
      <c r="G22" s="10"/>
      <c r="H22" s="10"/>
      <c r="I22" s="10"/>
    </row>
    <row r="24" spans="1:25" x14ac:dyDescent="0.25">
      <c r="A24" t="s">
        <v>1574</v>
      </c>
      <c r="D24" t="s">
        <v>1619</v>
      </c>
    </row>
    <row r="25" spans="1:25" x14ac:dyDescent="0.25">
      <c r="D25" t="s">
        <v>1576</v>
      </c>
    </row>
    <row r="26" spans="1:25" x14ac:dyDescent="0.25">
      <c r="D26" t="s">
        <v>1577</v>
      </c>
    </row>
    <row r="28" spans="1:25" x14ac:dyDescent="0.25">
      <c r="A28" t="s">
        <v>1578</v>
      </c>
      <c r="D28" t="s">
        <v>1579</v>
      </c>
    </row>
    <row r="29" spans="1:25" x14ac:dyDescent="0.25">
      <c r="D29" t="s">
        <v>1580</v>
      </c>
    </row>
    <row r="30" spans="1:25" x14ac:dyDescent="0.25">
      <c r="D30" t="s">
        <v>1620</v>
      </c>
    </row>
    <row r="31" spans="1:25" x14ac:dyDescent="0.25">
      <c r="D31" t="s">
        <v>1582</v>
      </c>
    </row>
    <row r="32" spans="1:25" x14ac:dyDescent="0.25">
      <c r="D32" t="s">
        <v>1621</v>
      </c>
    </row>
    <row r="34" spans="1:1" x14ac:dyDescent="0.25">
      <c r="A34" t="s">
        <v>1622</v>
      </c>
    </row>
  </sheetData>
  <mergeCells count="1">
    <mergeCell ref="P6:R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B2B8-A9CF-46D2-9D00-5AC54C845A4E}">
  <sheetPr>
    <tabColor theme="5" tint="-0.499984740745262"/>
  </sheetPr>
  <dimension ref="A1:T2302"/>
  <sheetViews>
    <sheetView topLeftCell="A53" workbookViewId="0">
      <selection activeCell="C38" sqref="C38:F38"/>
    </sheetView>
  </sheetViews>
  <sheetFormatPr defaultRowHeight="15" x14ac:dyDescent="0.25"/>
  <cols>
    <col min="3" max="3" width="16.42578125" customWidth="1"/>
    <col min="4" max="4" width="12.140625" bestFit="1" customWidth="1"/>
    <col min="5" max="5" width="16.42578125" bestFit="1" customWidth="1"/>
    <col min="6" max="6" width="10.28515625" bestFit="1" customWidth="1"/>
  </cols>
  <sheetData>
    <row r="1" spans="3:20" x14ac:dyDescent="0.25">
      <c r="J1" t="s">
        <v>471</v>
      </c>
    </row>
    <row r="2" spans="3:20" x14ac:dyDescent="0.25">
      <c r="C2" s="21"/>
      <c r="D2" s="22"/>
      <c r="E2" s="23"/>
      <c r="F2" s="24"/>
      <c r="J2">
        <v>46143</v>
      </c>
    </row>
    <row r="3" spans="3:20" x14ac:dyDescent="0.25">
      <c r="C3" s="11" t="s">
        <v>1673</v>
      </c>
      <c r="D3" s="11" t="s">
        <v>1378</v>
      </c>
      <c r="E3" s="11" t="s">
        <v>1379</v>
      </c>
      <c r="F3" s="11" t="s">
        <v>1380</v>
      </c>
      <c r="J3" t="s">
        <v>112</v>
      </c>
    </row>
    <row r="4" spans="3:20" x14ac:dyDescent="0.25">
      <c r="J4" t="s">
        <v>472</v>
      </c>
    </row>
    <row r="6" spans="3:20" x14ac:dyDescent="0.25">
      <c r="C6" t="s">
        <v>1511</v>
      </c>
      <c r="R6">
        <v>80</v>
      </c>
      <c r="S6">
        <v>15</v>
      </c>
      <c r="T6">
        <v>80</v>
      </c>
    </row>
    <row r="7" spans="3:20" x14ac:dyDescent="0.25">
      <c r="R7">
        <v>80</v>
      </c>
      <c r="S7">
        <v>5</v>
      </c>
      <c r="T7">
        <v>15</v>
      </c>
    </row>
    <row r="8" spans="3:20" x14ac:dyDescent="0.25">
      <c r="C8" t="s">
        <v>63</v>
      </c>
      <c r="D8" t="s">
        <v>1512</v>
      </c>
      <c r="E8" t="s">
        <v>79</v>
      </c>
      <c r="F8" t="s">
        <v>0</v>
      </c>
      <c r="J8" t="s">
        <v>114</v>
      </c>
      <c r="R8">
        <v>112</v>
      </c>
      <c r="S8">
        <v>15</v>
      </c>
      <c r="T8">
        <v>5</v>
      </c>
    </row>
    <row r="9" spans="3:20" x14ac:dyDescent="0.25">
      <c r="C9" t="s">
        <v>64</v>
      </c>
      <c r="D9" t="s">
        <v>86</v>
      </c>
      <c r="E9" t="s">
        <v>75</v>
      </c>
      <c r="F9">
        <v>0.31</v>
      </c>
      <c r="J9" t="s">
        <v>115</v>
      </c>
      <c r="R9">
        <v>28</v>
      </c>
      <c r="S9">
        <v>5</v>
      </c>
      <c r="T9">
        <v>80</v>
      </c>
    </row>
    <row r="10" spans="3:20" x14ac:dyDescent="0.25">
      <c r="C10" t="s">
        <v>473</v>
      </c>
      <c r="D10" t="s">
        <v>474</v>
      </c>
      <c r="E10">
        <v>24.23</v>
      </c>
      <c r="F10" s="9">
        <f>E10*$F$9</f>
        <v>7.5113000000000003</v>
      </c>
      <c r="G10" s="3">
        <f>(F10/0.65)+0.3</f>
        <v>11.855846153846155</v>
      </c>
      <c r="H10" s="5">
        <f>(F10/0.7)+0.3</f>
        <v>11.030428571428573</v>
      </c>
      <c r="I10" s="7">
        <f>(F10/0.75)+0.3</f>
        <v>10.315066666666668</v>
      </c>
      <c r="J10">
        <v>12</v>
      </c>
      <c r="R10">
        <v>80</v>
      </c>
      <c r="S10">
        <v>15</v>
      </c>
      <c r="T10">
        <v>15</v>
      </c>
    </row>
    <row r="11" spans="3:20" x14ac:dyDescent="0.25">
      <c r="C11" t="s">
        <v>475</v>
      </c>
      <c r="D11" t="s">
        <v>476</v>
      </c>
      <c r="E11">
        <v>25.44</v>
      </c>
      <c r="F11" s="9">
        <f t="shared" ref="F11:F74" si="0">E11*$F$9</f>
        <v>7.8864000000000001</v>
      </c>
      <c r="G11" s="3">
        <f t="shared" ref="G11:G74" si="1">(F11/0.65)+0.3</f>
        <v>12.432923076923077</v>
      </c>
      <c r="H11" s="5">
        <f t="shared" ref="H11:H74" si="2">(F11/0.7)+0.3</f>
        <v>11.566285714285716</v>
      </c>
      <c r="I11" s="7">
        <f t="shared" ref="I11:I74" si="3">(F11/0.75)+0.3</f>
        <v>10.815200000000001</v>
      </c>
      <c r="J11">
        <v>12</v>
      </c>
      <c r="R11">
        <v>80</v>
      </c>
      <c r="S11">
        <v>5</v>
      </c>
      <c r="T11">
        <v>5</v>
      </c>
    </row>
    <row r="12" spans="3:20" x14ac:dyDescent="0.25">
      <c r="C12" t="s">
        <v>477</v>
      </c>
      <c r="D12" t="s">
        <v>478</v>
      </c>
      <c r="E12">
        <v>39.07</v>
      </c>
      <c r="F12" s="9">
        <f t="shared" si="0"/>
        <v>12.111700000000001</v>
      </c>
      <c r="G12" s="3">
        <f t="shared" si="1"/>
        <v>18.933384615384618</v>
      </c>
      <c r="H12" s="5">
        <f t="shared" si="2"/>
        <v>17.602428571428575</v>
      </c>
      <c r="I12" s="7">
        <f t="shared" si="3"/>
        <v>16.448933333333336</v>
      </c>
      <c r="J12">
        <v>12</v>
      </c>
      <c r="R12">
        <v>112</v>
      </c>
      <c r="S12">
        <v>15</v>
      </c>
      <c r="T12">
        <v>112</v>
      </c>
    </row>
    <row r="13" spans="3:20" x14ac:dyDescent="0.25">
      <c r="C13" t="s">
        <v>479</v>
      </c>
      <c r="D13" t="s">
        <v>480</v>
      </c>
      <c r="E13">
        <v>40.1</v>
      </c>
      <c r="F13" s="9">
        <f t="shared" si="0"/>
        <v>12.431000000000001</v>
      </c>
      <c r="G13" s="3">
        <f t="shared" si="1"/>
        <v>19.424615384615386</v>
      </c>
      <c r="H13" s="5">
        <f t="shared" si="2"/>
        <v>18.058571428571433</v>
      </c>
      <c r="I13" s="7">
        <f t="shared" si="3"/>
        <v>16.87466666666667</v>
      </c>
      <c r="J13">
        <v>12</v>
      </c>
      <c r="R13">
        <v>28</v>
      </c>
      <c r="S13">
        <v>15</v>
      </c>
      <c r="T13">
        <v>28</v>
      </c>
    </row>
    <row r="14" spans="3:20" x14ac:dyDescent="0.25">
      <c r="C14" t="s">
        <v>481</v>
      </c>
      <c r="D14" t="s">
        <v>482</v>
      </c>
      <c r="E14">
        <v>27.52</v>
      </c>
      <c r="F14" s="9">
        <f t="shared" si="0"/>
        <v>8.5312000000000001</v>
      </c>
      <c r="G14" s="3">
        <f t="shared" si="1"/>
        <v>13.424923076923077</v>
      </c>
      <c r="H14" s="5">
        <f t="shared" si="2"/>
        <v>12.487428571428573</v>
      </c>
      <c r="I14" s="7">
        <f t="shared" si="3"/>
        <v>11.674933333333334</v>
      </c>
      <c r="J14">
        <v>12</v>
      </c>
      <c r="R14">
        <v>60</v>
      </c>
      <c r="S14">
        <v>16</v>
      </c>
      <c r="T14">
        <v>80</v>
      </c>
    </row>
    <row r="15" spans="3:20" x14ac:dyDescent="0.25">
      <c r="C15" t="s">
        <v>483</v>
      </c>
      <c r="D15" t="s">
        <v>484</v>
      </c>
      <c r="E15">
        <v>26.73</v>
      </c>
      <c r="F15" s="9">
        <f t="shared" si="0"/>
        <v>8.2863000000000007</v>
      </c>
      <c r="G15" s="3">
        <f t="shared" si="1"/>
        <v>13.048153846153847</v>
      </c>
      <c r="H15" s="5">
        <f t="shared" si="2"/>
        <v>12.13757142857143</v>
      </c>
      <c r="I15" s="7">
        <f t="shared" si="3"/>
        <v>11.348400000000002</v>
      </c>
      <c r="J15">
        <v>12</v>
      </c>
      <c r="R15">
        <v>60</v>
      </c>
      <c r="S15">
        <v>16</v>
      </c>
      <c r="T15">
        <v>15</v>
      </c>
    </row>
    <row r="16" spans="3:20" x14ac:dyDescent="0.25">
      <c r="C16" t="s">
        <v>485</v>
      </c>
      <c r="D16" t="s">
        <v>486</v>
      </c>
      <c r="E16">
        <v>22.73</v>
      </c>
      <c r="F16" s="9">
        <f t="shared" si="0"/>
        <v>7.0463000000000005</v>
      </c>
      <c r="G16" s="3">
        <f t="shared" si="1"/>
        <v>11.140461538461539</v>
      </c>
      <c r="H16" s="5">
        <f t="shared" si="2"/>
        <v>10.36614285714286</v>
      </c>
      <c r="I16" s="7">
        <f t="shared" si="3"/>
        <v>9.6950666666666674</v>
      </c>
      <c r="J16">
        <v>12</v>
      </c>
      <c r="R16">
        <v>128</v>
      </c>
      <c r="S16">
        <v>16</v>
      </c>
      <c r="T16">
        <v>5</v>
      </c>
    </row>
    <row r="17" spans="3:20" x14ac:dyDescent="0.25">
      <c r="C17" t="s">
        <v>487</v>
      </c>
      <c r="D17" t="s">
        <v>488</v>
      </c>
      <c r="E17">
        <v>24.33</v>
      </c>
      <c r="F17" s="9">
        <f t="shared" si="0"/>
        <v>7.5422999999999991</v>
      </c>
      <c r="G17" s="3">
        <f t="shared" si="1"/>
        <v>11.90353846153846</v>
      </c>
      <c r="H17" s="5">
        <f t="shared" si="2"/>
        <v>11.074714285714286</v>
      </c>
      <c r="I17" s="7">
        <f t="shared" si="3"/>
        <v>10.356399999999999</v>
      </c>
      <c r="J17">
        <v>12</v>
      </c>
      <c r="R17">
        <v>48</v>
      </c>
      <c r="S17">
        <v>16</v>
      </c>
      <c r="T17">
        <v>80</v>
      </c>
    </row>
    <row r="18" spans="3:20" x14ac:dyDescent="0.25">
      <c r="C18" t="s">
        <v>489</v>
      </c>
      <c r="D18" t="s">
        <v>490</v>
      </c>
      <c r="E18">
        <v>40.1</v>
      </c>
      <c r="F18" s="9">
        <f t="shared" si="0"/>
        <v>12.431000000000001</v>
      </c>
      <c r="G18" s="3">
        <f t="shared" si="1"/>
        <v>19.424615384615386</v>
      </c>
      <c r="H18" s="5">
        <f t="shared" si="2"/>
        <v>18.058571428571433</v>
      </c>
      <c r="I18" s="7">
        <f t="shared" si="3"/>
        <v>16.87466666666667</v>
      </c>
      <c r="J18">
        <v>12</v>
      </c>
      <c r="R18">
        <v>64</v>
      </c>
      <c r="S18">
        <v>1</v>
      </c>
      <c r="T18">
        <v>15</v>
      </c>
    </row>
    <row r="19" spans="3:20" x14ac:dyDescent="0.25">
      <c r="C19" t="s">
        <v>491</v>
      </c>
      <c r="D19" t="s">
        <v>492</v>
      </c>
      <c r="E19">
        <v>28.66</v>
      </c>
      <c r="F19" s="9">
        <f t="shared" si="0"/>
        <v>8.8846000000000007</v>
      </c>
      <c r="G19" s="3">
        <f t="shared" si="1"/>
        <v>13.968615384615386</v>
      </c>
      <c r="H19" s="5">
        <f t="shared" si="2"/>
        <v>12.992285714285718</v>
      </c>
      <c r="I19" s="7">
        <f t="shared" si="3"/>
        <v>12.146133333333335</v>
      </c>
      <c r="J19">
        <v>12</v>
      </c>
      <c r="R19">
        <v>64</v>
      </c>
      <c r="S19">
        <v>1</v>
      </c>
      <c r="T19">
        <v>5</v>
      </c>
    </row>
    <row r="20" spans="3:20" x14ac:dyDescent="0.25">
      <c r="C20" t="s">
        <v>493</v>
      </c>
      <c r="D20" t="s">
        <v>494</v>
      </c>
      <c r="E20">
        <v>33.020000000000003</v>
      </c>
      <c r="F20" s="9">
        <f t="shared" si="0"/>
        <v>10.2362</v>
      </c>
      <c r="G20" s="3">
        <f t="shared" si="1"/>
        <v>16.047999999999998</v>
      </c>
      <c r="H20" s="5">
        <f t="shared" si="2"/>
        <v>14.923142857142858</v>
      </c>
      <c r="I20" s="7">
        <f t="shared" si="3"/>
        <v>13.948266666666667</v>
      </c>
      <c r="J20">
        <v>12</v>
      </c>
      <c r="R20">
        <v>96</v>
      </c>
      <c r="S20">
        <v>1</v>
      </c>
      <c r="T20">
        <v>112</v>
      </c>
    </row>
    <row r="21" spans="3:20" x14ac:dyDescent="0.25">
      <c r="C21" t="s">
        <v>495</v>
      </c>
      <c r="D21" t="s">
        <v>496</v>
      </c>
      <c r="E21">
        <v>23.62</v>
      </c>
      <c r="F21" s="9">
        <f t="shared" si="0"/>
        <v>7.3222000000000005</v>
      </c>
      <c r="G21" s="3">
        <f t="shared" si="1"/>
        <v>11.564923076923078</v>
      </c>
      <c r="H21" s="5">
        <f t="shared" si="2"/>
        <v>10.760285714285716</v>
      </c>
      <c r="I21" s="7">
        <f t="shared" si="3"/>
        <v>10.062933333333335</v>
      </c>
      <c r="J21">
        <v>12</v>
      </c>
      <c r="R21">
        <v>32</v>
      </c>
      <c r="S21">
        <v>1</v>
      </c>
      <c r="T21">
        <v>28</v>
      </c>
    </row>
    <row r="22" spans="3:20" x14ac:dyDescent="0.25">
      <c r="C22" t="s">
        <v>497</v>
      </c>
      <c r="D22" t="s">
        <v>498</v>
      </c>
      <c r="E22">
        <v>25.15</v>
      </c>
      <c r="F22" s="9">
        <f t="shared" si="0"/>
        <v>7.7964999999999991</v>
      </c>
      <c r="G22" s="3">
        <f t="shared" si="1"/>
        <v>12.294615384615383</v>
      </c>
      <c r="H22" s="5">
        <f t="shared" si="2"/>
        <v>11.437857142857142</v>
      </c>
      <c r="I22" s="7">
        <f t="shared" si="3"/>
        <v>10.695333333333332</v>
      </c>
      <c r="J22">
        <v>12</v>
      </c>
      <c r="R22">
        <v>64</v>
      </c>
      <c r="S22">
        <f>SUM(S6:S21)+20</f>
        <v>178</v>
      </c>
      <c r="T22">
        <v>60</v>
      </c>
    </row>
    <row r="23" spans="3:20" x14ac:dyDescent="0.25">
      <c r="C23" t="s">
        <v>499</v>
      </c>
      <c r="D23" t="s">
        <v>500</v>
      </c>
      <c r="E23">
        <v>45.65</v>
      </c>
      <c r="F23" s="9">
        <f t="shared" si="0"/>
        <v>14.151499999999999</v>
      </c>
      <c r="G23" s="3">
        <f t="shared" si="1"/>
        <v>22.071538461538459</v>
      </c>
      <c r="H23" s="5">
        <f t="shared" si="2"/>
        <v>20.516428571428573</v>
      </c>
      <c r="I23" s="7">
        <f t="shared" si="3"/>
        <v>19.168666666666667</v>
      </c>
      <c r="J23">
        <v>12</v>
      </c>
      <c r="R23">
        <v>64</v>
      </c>
      <c r="T23">
        <v>15</v>
      </c>
    </row>
    <row r="24" spans="3:20" x14ac:dyDescent="0.25">
      <c r="C24" t="s">
        <v>501</v>
      </c>
      <c r="D24" t="s">
        <v>502</v>
      </c>
      <c r="E24">
        <v>23.87</v>
      </c>
      <c r="F24" s="9">
        <f t="shared" si="0"/>
        <v>7.3997000000000002</v>
      </c>
      <c r="G24" s="3">
        <f t="shared" si="1"/>
        <v>11.684153846153846</v>
      </c>
      <c r="H24" s="5">
        <f t="shared" si="2"/>
        <v>10.871000000000002</v>
      </c>
      <c r="I24" s="7">
        <f t="shared" si="3"/>
        <v>10.166266666666667</v>
      </c>
      <c r="J24">
        <v>12</v>
      </c>
      <c r="R24">
        <v>96</v>
      </c>
      <c r="T24">
        <v>60</v>
      </c>
    </row>
    <row r="25" spans="3:20" x14ac:dyDescent="0.25">
      <c r="C25" t="s">
        <v>503</v>
      </c>
      <c r="D25" t="s">
        <v>504</v>
      </c>
      <c r="E25">
        <v>45.65</v>
      </c>
      <c r="F25" s="9">
        <f t="shared" si="0"/>
        <v>14.151499999999999</v>
      </c>
      <c r="G25" s="3">
        <f t="shared" si="1"/>
        <v>22.071538461538459</v>
      </c>
      <c r="H25" s="5">
        <f t="shared" si="2"/>
        <v>20.516428571428573</v>
      </c>
      <c r="I25" s="7">
        <f t="shared" si="3"/>
        <v>19.168666666666667</v>
      </c>
      <c r="J25">
        <v>12</v>
      </c>
      <c r="R25">
        <v>32</v>
      </c>
      <c r="T25">
        <v>15</v>
      </c>
    </row>
    <row r="26" spans="3:20" x14ac:dyDescent="0.25">
      <c r="C26" t="s">
        <v>505</v>
      </c>
      <c r="D26" t="s">
        <v>506</v>
      </c>
      <c r="E26">
        <v>35.47</v>
      </c>
      <c r="F26" s="9">
        <f t="shared" si="0"/>
        <v>10.995699999999999</v>
      </c>
      <c r="G26" s="3">
        <f t="shared" si="1"/>
        <v>17.216461538461537</v>
      </c>
      <c r="H26" s="5">
        <f t="shared" si="2"/>
        <v>16.008142857142857</v>
      </c>
      <c r="I26" s="7">
        <f t="shared" si="3"/>
        <v>14.960933333333333</v>
      </c>
      <c r="J26">
        <v>12</v>
      </c>
      <c r="R26">
        <v>4</v>
      </c>
      <c r="T26">
        <v>128</v>
      </c>
    </row>
    <row r="27" spans="3:20" x14ac:dyDescent="0.25">
      <c r="C27" t="s">
        <v>507</v>
      </c>
      <c r="D27" t="s">
        <v>508</v>
      </c>
      <c r="E27">
        <v>23.62</v>
      </c>
      <c r="F27" s="9">
        <f t="shared" si="0"/>
        <v>7.3222000000000005</v>
      </c>
      <c r="G27" s="3">
        <f t="shared" si="1"/>
        <v>11.564923076923078</v>
      </c>
      <c r="H27" s="5">
        <f t="shared" si="2"/>
        <v>10.760285714285716</v>
      </c>
      <c r="I27" s="7">
        <f t="shared" si="3"/>
        <v>10.062933333333335</v>
      </c>
      <c r="J27">
        <v>12</v>
      </c>
      <c r="R27">
        <v>4</v>
      </c>
      <c r="T27">
        <v>48</v>
      </c>
    </row>
    <row r="28" spans="3:20" x14ac:dyDescent="0.25">
      <c r="C28" t="s">
        <v>509</v>
      </c>
      <c r="D28" t="s">
        <v>510</v>
      </c>
      <c r="E28">
        <v>38.06</v>
      </c>
      <c r="F28" s="9">
        <f t="shared" si="0"/>
        <v>11.7986</v>
      </c>
      <c r="G28" s="3">
        <f t="shared" si="1"/>
        <v>18.451692307692309</v>
      </c>
      <c r="H28" s="5">
        <f t="shared" si="2"/>
        <v>17.155142857142859</v>
      </c>
      <c r="I28" s="7">
        <f t="shared" si="3"/>
        <v>16.031466666666667</v>
      </c>
      <c r="J28">
        <v>12</v>
      </c>
      <c r="R28">
        <v>4</v>
      </c>
      <c r="T28">
        <v>64</v>
      </c>
    </row>
    <row r="29" spans="3:20" x14ac:dyDescent="0.25">
      <c r="C29" t="s">
        <v>511</v>
      </c>
      <c r="D29" t="s">
        <v>512</v>
      </c>
      <c r="E29">
        <v>27.62</v>
      </c>
      <c r="F29" s="9">
        <f t="shared" si="0"/>
        <v>8.5622000000000007</v>
      </c>
      <c r="G29" s="3">
        <f t="shared" si="1"/>
        <v>13.472615384615386</v>
      </c>
      <c r="H29" s="5">
        <f t="shared" si="2"/>
        <v>12.531714285714289</v>
      </c>
      <c r="I29" s="7">
        <f t="shared" si="3"/>
        <v>11.716266666666668</v>
      </c>
      <c r="J29">
        <v>12</v>
      </c>
      <c r="R29">
        <v>4</v>
      </c>
      <c r="T29">
        <v>16</v>
      </c>
    </row>
    <row r="30" spans="3:20" x14ac:dyDescent="0.25">
      <c r="C30" t="s">
        <v>513</v>
      </c>
      <c r="D30" t="s">
        <v>514</v>
      </c>
      <c r="E30">
        <v>45.65</v>
      </c>
      <c r="F30" s="9">
        <f t="shared" si="0"/>
        <v>14.151499999999999</v>
      </c>
      <c r="G30" s="3">
        <f t="shared" si="1"/>
        <v>22.071538461538459</v>
      </c>
      <c r="H30" s="5">
        <f t="shared" si="2"/>
        <v>20.516428571428573</v>
      </c>
      <c r="I30" s="7">
        <f t="shared" si="3"/>
        <v>19.168666666666667</v>
      </c>
      <c r="J30">
        <v>12</v>
      </c>
      <c r="R30">
        <f>SUM(R6:R29)</f>
        <v>1424</v>
      </c>
      <c r="T30">
        <v>64</v>
      </c>
    </row>
    <row r="31" spans="3:20" x14ac:dyDescent="0.25">
      <c r="C31" t="s">
        <v>515</v>
      </c>
      <c r="D31" t="s">
        <v>516</v>
      </c>
      <c r="E31">
        <v>40.1</v>
      </c>
      <c r="F31" s="9">
        <f t="shared" si="0"/>
        <v>12.431000000000001</v>
      </c>
      <c r="G31" s="3">
        <f t="shared" si="1"/>
        <v>19.424615384615386</v>
      </c>
      <c r="H31" s="5">
        <f t="shared" si="2"/>
        <v>18.058571428571433</v>
      </c>
      <c r="I31" s="7">
        <f t="shared" si="3"/>
        <v>16.87466666666667</v>
      </c>
      <c r="J31">
        <v>12</v>
      </c>
      <c r="T31">
        <v>16</v>
      </c>
    </row>
    <row r="32" spans="3:20" x14ac:dyDescent="0.25">
      <c r="C32" t="s">
        <v>517</v>
      </c>
      <c r="D32" t="s">
        <v>518</v>
      </c>
      <c r="E32">
        <v>43.4</v>
      </c>
      <c r="F32" s="9">
        <f t="shared" si="0"/>
        <v>13.453999999999999</v>
      </c>
      <c r="G32" s="3">
        <f t="shared" si="1"/>
        <v>20.998461538461537</v>
      </c>
      <c r="H32" s="5">
        <f t="shared" si="2"/>
        <v>19.52</v>
      </c>
      <c r="I32" s="7">
        <f t="shared" si="3"/>
        <v>18.238666666666667</v>
      </c>
      <c r="J32">
        <v>12</v>
      </c>
      <c r="R32">
        <f>SUM(R30,S22)</f>
        <v>1602</v>
      </c>
      <c r="T32">
        <v>96</v>
      </c>
    </row>
    <row r="33" spans="3:20" x14ac:dyDescent="0.25">
      <c r="C33" t="s">
        <v>519</v>
      </c>
      <c r="D33" t="s">
        <v>520</v>
      </c>
      <c r="E33">
        <v>30.35</v>
      </c>
      <c r="F33" s="9">
        <f t="shared" si="0"/>
        <v>9.4085000000000001</v>
      </c>
      <c r="G33" s="3">
        <f t="shared" si="1"/>
        <v>14.774615384615386</v>
      </c>
      <c r="H33" s="5">
        <f t="shared" si="2"/>
        <v>13.740714285714287</v>
      </c>
      <c r="I33" s="7">
        <f t="shared" si="3"/>
        <v>12.844666666666667</v>
      </c>
      <c r="J33">
        <v>12</v>
      </c>
      <c r="T33">
        <v>32</v>
      </c>
    </row>
    <row r="34" spans="3:20" x14ac:dyDescent="0.25">
      <c r="C34" t="s">
        <v>521</v>
      </c>
      <c r="D34" t="s">
        <v>522</v>
      </c>
      <c r="E34">
        <v>33.369999999999997</v>
      </c>
      <c r="F34" s="9">
        <f t="shared" si="0"/>
        <v>10.3447</v>
      </c>
      <c r="G34" s="3">
        <f t="shared" si="1"/>
        <v>16.214923076923075</v>
      </c>
      <c r="H34" s="5">
        <f t="shared" si="2"/>
        <v>15.078142857142858</v>
      </c>
      <c r="I34" s="7">
        <f t="shared" si="3"/>
        <v>14.092933333333333</v>
      </c>
      <c r="J34">
        <v>12</v>
      </c>
      <c r="T34">
        <v>64</v>
      </c>
    </row>
    <row r="35" spans="3:20" x14ac:dyDescent="0.25">
      <c r="C35" t="s">
        <v>523</v>
      </c>
      <c r="D35" t="s">
        <v>524</v>
      </c>
      <c r="E35">
        <v>47.82</v>
      </c>
      <c r="F35" s="9">
        <f t="shared" si="0"/>
        <v>14.824199999999999</v>
      </c>
      <c r="G35" s="3">
        <f t="shared" si="1"/>
        <v>23.106461538461538</v>
      </c>
      <c r="H35" s="5">
        <f t="shared" si="2"/>
        <v>21.477428571428572</v>
      </c>
      <c r="I35" s="7">
        <f t="shared" si="3"/>
        <v>20.0656</v>
      </c>
      <c r="J35">
        <v>12</v>
      </c>
      <c r="T35">
        <v>16</v>
      </c>
    </row>
    <row r="36" spans="3:20" x14ac:dyDescent="0.25">
      <c r="C36" t="s">
        <v>525</v>
      </c>
      <c r="D36" t="s">
        <v>526</v>
      </c>
      <c r="E36">
        <v>27.62</v>
      </c>
      <c r="F36" s="9">
        <f t="shared" si="0"/>
        <v>8.5622000000000007</v>
      </c>
      <c r="G36" s="3">
        <f t="shared" si="1"/>
        <v>13.472615384615386</v>
      </c>
      <c r="H36" s="5">
        <f t="shared" si="2"/>
        <v>12.531714285714289</v>
      </c>
      <c r="I36" s="7">
        <f t="shared" si="3"/>
        <v>11.716266666666668</v>
      </c>
      <c r="J36">
        <v>12</v>
      </c>
      <c r="T36">
        <v>64</v>
      </c>
    </row>
    <row r="37" spans="3:20" x14ac:dyDescent="0.25">
      <c r="C37" t="s">
        <v>527</v>
      </c>
      <c r="D37" t="s">
        <v>528</v>
      </c>
      <c r="E37">
        <v>38.36</v>
      </c>
      <c r="F37" s="9">
        <f t="shared" si="0"/>
        <v>11.8916</v>
      </c>
      <c r="G37" s="3">
        <f t="shared" si="1"/>
        <v>18.594769230769231</v>
      </c>
      <c r="H37" s="5">
        <f t="shared" si="2"/>
        <v>17.288000000000004</v>
      </c>
      <c r="I37" s="7">
        <f t="shared" si="3"/>
        <v>16.155466666666666</v>
      </c>
      <c r="J37">
        <v>12</v>
      </c>
      <c r="T37">
        <v>16</v>
      </c>
    </row>
    <row r="38" spans="3:20" x14ac:dyDescent="0.25">
      <c r="C38" t="s">
        <v>529</v>
      </c>
      <c r="D38" t="s">
        <v>530</v>
      </c>
      <c r="E38">
        <v>33.119999999999997</v>
      </c>
      <c r="F38" s="9">
        <f t="shared" si="0"/>
        <v>10.267199999999999</v>
      </c>
      <c r="G38" s="3">
        <f t="shared" si="1"/>
        <v>16.095692307692307</v>
      </c>
      <c r="H38" s="5">
        <f t="shared" si="2"/>
        <v>14.967428571428572</v>
      </c>
      <c r="I38" s="7">
        <f t="shared" si="3"/>
        <v>13.989599999999999</v>
      </c>
      <c r="J38">
        <v>12</v>
      </c>
      <c r="T38">
        <v>96</v>
      </c>
    </row>
    <row r="39" spans="3:20" x14ac:dyDescent="0.25">
      <c r="C39" t="s">
        <v>531</v>
      </c>
      <c r="D39" t="s">
        <v>532</v>
      </c>
      <c r="E39">
        <v>32.659999999999997</v>
      </c>
      <c r="F39" s="9">
        <f t="shared" si="0"/>
        <v>10.124599999999999</v>
      </c>
      <c r="G39" s="3">
        <f t="shared" si="1"/>
        <v>15.876307692307691</v>
      </c>
      <c r="H39" s="5">
        <f t="shared" si="2"/>
        <v>14.763714285714286</v>
      </c>
      <c r="I39" s="7">
        <f t="shared" si="3"/>
        <v>13.799466666666666</v>
      </c>
      <c r="J39">
        <v>12</v>
      </c>
      <c r="T39">
        <v>32</v>
      </c>
    </row>
    <row r="40" spans="3:20" x14ac:dyDescent="0.25">
      <c r="C40" t="s">
        <v>533</v>
      </c>
      <c r="D40" t="s">
        <v>534</v>
      </c>
      <c r="E40">
        <v>42.79</v>
      </c>
      <c r="F40" s="9">
        <f t="shared" si="0"/>
        <v>13.264899999999999</v>
      </c>
      <c r="G40" s="3">
        <f t="shared" si="1"/>
        <v>20.707538461538459</v>
      </c>
      <c r="H40" s="5">
        <f t="shared" si="2"/>
        <v>19.249857142857142</v>
      </c>
      <c r="I40" s="7">
        <f t="shared" si="3"/>
        <v>17.986533333333334</v>
      </c>
      <c r="J40">
        <v>12</v>
      </c>
      <c r="T40">
        <v>4</v>
      </c>
    </row>
    <row r="41" spans="3:20" x14ac:dyDescent="0.25">
      <c r="C41" t="s">
        <v>535</v>
      </c>
      <c r="D41" t="s">
        <v>536</v>
      </c>
      <c r="E41">
        <v>44.52</v>
      </c>
      <c r="F41" s="9">
        <f t="shared" si="0"/>
        <v>13.801200000000001</v>
      </c>
      <c r="G41" s="3">
        <f t="shared" si="1"/>
        <v>21.532615384615386</v>
      </c>
      <c r="H41" s="5">
        <f t="shared" si="2"/>
        <v>20.016000000000005</v>
      </c>
      <c r="I41" s="7">
        <f t="shared" si="3"/>
        <v>18.701600000000003</v>
      </c>
      <c r="J41">
        <v>12</v>
      </c>
      <c r="T41">
        <v>4</v>
      </c>
    </row>
    <row r="42" spans="3:20" x14ac:dyDescent="0.25">
      <c r="C42" t="s">
        <v>537</v>
      </c>
      <c r="D42" t="s">
        <v>538</v>
      </c>
      <c r="E42">
        <v>37.130000000000003</v>
      </c>
      <c r="F42" s="9">
        <f t="shared" si="0"/>
        <v>11.510300000000001</v>
      </c>
      <c r="G42" s="3">
        <f t="shared" si="1"/>
        <v>18.008153846153849</v>
      </c>
      <c r="H42" s="5">
        <f t="shared" si="2"/>
        <v>16.743285714285719</v>
      </c>
      <c r="I42" s="7">
        <f t="shared" si="3"/>
        <v>15.647066666666669</v>
      </c>
      <c r="J42">
        <v>12</v>
      </c>
      <c r="T42">
        <v>1</v>
      </c>
    </row>
    <row r="43" spans="3:20" x14ac:dyDescent="0.25">
      <c r="C43" t="s">
        <v>539</v>
      </c>
      <c r="D43" t="s">
        <v>540</v>
      </c>
      <c r="E43">
        <v>55.73</v>
      </c>
      <c r="F43" s="9">
        <f t="shared" si="0"/>
        <v>17.276299999999999</v>
      </c>
      <c r="G43" s="3">
        <f t="shared" si="1"/>
        <v>26.878923076923076</v>
      </c>
      <c r="H43" s="5">
        <f t="shared" si="2"/>
        <v>24.980428571428572</v>
      </c>
      <c r="I43" s="7">
        <f t="shared" si="3"/>
        <v>23.335066666666666</v>
      </c>
      <c r="J43">
        <v>12</v>
      </c>
      <c r="T43">
        <v>1</v>
      </c>
    </row>
    <row r="44" spans="3:20" x14ac:dyDescent="0.25">
      <c r="C44" t="s">
        <v>541</v>
      </c>
      <c r="D44" t="s">
        <v>542</v>
      </c>
      <c r="E44">
        <v>39.74</v>
      </c>
      <c r="F44" s="9">
        <f t="shared" si="0"/>
        <v>12.3194</v>
      </c>
      <c r="G44" s="3">
        <f t="shared" si="1"/>
        <v>19.252923076923079</v>
      </c>
      <c r="H44" s="5">
        <f t="shared" si="2"/>
        <v>17.899142857142859</v>
      </c>
      <c r="I44" s="7">
        <f t="shared" si="3"/>
        <v>16.725866666666668</v>
      </c>
      <c r="J44">
        <v>12</v>
      </c>
      <c r="T44">
        <v>4</v>
      </c>
    </row>
    <row r="45" spans="3:20" x14ac:dyDescent="0.25">
      <c r="F45" s="10"/>
      <c r="G45" s="10"/>
      <c r="H45" s="10"/>
      <c r="I45" s="10"/>
      <c r="T45">
        <v>4</v>
      </c>
    </row>
    <row r="46" spans="3:20" x14ac:dyDescent="0.25">
      <c r="C46" t="s">
        <v>63</v>
      </c>
      <c r="D46" t="s">
        <v>1499</v>
      </c>
      <c r="E46" t="s">
        <v>79</v>
      </c>
      <c r="F46" s="10"/>
      <c r="G46" s="10"/>
      <c r="H46" s="10"/>
      <c r="I46" s="10"/>
      <c r="T46">
        <v>1</v>
      </c>
    </row>
    <row r="47" spans="3:20" x14ac:dyDescent="0.25">
      <c r="C47" t="s">
        <v>64</v>
      </c>
      <c r="D47" t="s">
        <v>86</v>
      </c>
      <c r="E47" t="s">
        <v>75</v>
      </c>
      <c r="F47" s="10"/>
      <c r="G47" s="10"/>
      <c r="H47" s="10"/>
      <c r="I47" s="10"/>
      <c r="T47">
        <v>1</v>
      </c>
    </row>
    <row r="48" spans="3:20" x14ac:dyDescent="0.25">
      <c r="C48" t="s">
        <v>543</v>
      </c>
      <c r="D48" t="s">
        <v>544</v>
      </c>
      <c r="E48">
        <v>26.25</v>
      </c>
      <c r="F48" s="9">
        <f t="shared" si="0"/>
        <v>8.1374999999999993</v>
      </c>
      <c r="G48" s="3">
        <f t="shared" si="1"/>
        <v>12.819230769230769</v>
      </c>
      <c r="H48" s="5">
        <f t="shared" si="2"/>
        <v>11.925000000000001</v>
      </c>
      <c r="I48" s="7">
        <f t="shared" si="3"/>
        <v>11.15</v>
      </c>
      <c r="J48">
        <v>12</v>
      </c>
      <c r="T48">
        <f>SUM(T6:T47)</f>
        <v>1602</v>
      </c>
    </row>
    <row r="49" spans="3:10" x14ac:dyDescent="0.25">
      <c r="C49" t="s">
        <v>545</v>
      </c>
      <c r="D49" t="s">
        <v>546</v>
      </c>
      <c r="E49">
        <v>26.14</v>
      </c>
      <c r="F49" s="9">
        <f t="shared" si="0"/>
        <v>8.1034000000000006</v>
      </c>
      <c r="G49" s="3">
        <f t="shared" si="1"/>
        <v>12.766769230769231</v>
      </c>
      <c r="H49" s="5">
        <f t="shared" si="2"/>
        <v>11.876285714285716</v>
      </c>
      <c r="I49" s="7">
        <f t="shared" si="3"/>
        <v>11.104533333333334</v>
      </c>
      <c r="J49">
        <v>12</v>
      </c>
    </row>
    <row r="50" spans="3:10" x14ac:dyDescent="0.25">
      <c r="C50" t="s">
        <v>547</v>
      </c>
      <c r="D50" t="s">
        <v>548</v>
      </c>
      <c r="E50">
        <v>27.93</v>
      </c>
      <c r="F50" s="9">
        <f t="shared" si="0"/>
        <v>8.6583000000000006</v>
      </c>
      <c r="G50" s="3">
        <f t="shared" si="1"/>
        <v>13.620461538461539</v>
      </c>
      <c r="H50" s="5">
        <f t="shared" si="2"/>
        <v>12.669000000000002</v>
      </c>
      <c r="I50" s="7">
        <f t="shared" si="3"/>
        <v>11.844400000000002</v>
      </c>
      <c r="J50">
        <v>12</v>
      </c>
    </row>
    <row r="51" spans="3:10" x14ac:dyDescent="0.25">
      <c r="C51" t="s">
        <v>549</v>
      </c>
      <c r="D51" t="s">
        <v>550</v>
      </c>
      <c r="E51">
        <v>30.83</v>
      </c>
      <c r="F51" s="9">
        <f t="shared" si="0"/>
        <v>9.5572999999999997</v>
      </c>
      <c r="G51" s="3">
        <f t="shared" si="1"/>
        <v>15.003538461538461</v>
      </c>
      <c r="H51" s="5">
        <f t="shared" si="2"/>
        <v>13.953285714285716</v>
      </c>
      <c r="I51" s="7">
        <f t="shared" si="3"/>
        <v>13.043066666666666</v>
      </c>
      <c r="J51">
        <v>12</v>
      </c>
    </row>
    <row r="52" spans="3:10" x14ac:dyDescent="0.25">
      <c r="C52" t="s">
        <v>551</v>
      </c>
      <c r="D52" t="s">
        <v>552</v>
      </c>
      <c r="E52">
        <v>32.85</v>
      </c>
      <c r="F52" s="9">
        <f t="shared" si="0"/>
        <v>10.1835</v>
      </c>
      <c r="G52" s="3">
        <f t="shared" si="1"/>
        <v>15.966923076923077</v>
      </c>
      <c r="H52" s="5">
        <f t="shared" si="2"/>
        <v>14.847857142857146</v>
      </c>
      <c r="I52" s="7">
        <f t="shared" si="3"/>
        <v>13.878000000000002</v>
      </c>
      <c r="J52">
        <v>12</v>
      </c>
    </row>
    <row r="53" spans="3:10" x14ac:dyDescent="0.25">
      <c r="C53" t="s">
        <v>553</v>
      </c>
      <c r="D53" t="s">
        <v>554</v>
      </c>
      <c r="E53">
        <v>35</v>
      </c>
      <c r="F53" s="9">
        <f t="shared" si="0"/>
        <v>10.85</v>
      </c>
      <c r="G53" s="3">
        <f t="shared" si="1"/>
        <v>16.992307692307691</v>
      </c>
      <c r="H53" s="5">
        <f t="shared" si="2"/>
        <v>15.8</v>
      </c>
      <c r="I53" s="7">
        <f t="shared" si="3"/>
        <v>14.766666666666667</v>
      </c>
      <c r="J53">
        <v>12</v>
      </c>
    </row>
    <row r="54" spans="3:10" x14ac:dyDescent="0.25">
      <c r="C54" t="s">
        <v>555</v>
      </c>
      <c r="D54" t="s">
        <v>556</v>
      </c>
      <c r="E54">
        <v>33.24</v>
      </c>
      <c r="F54" s="9">
        <f t="shared" si="0"/>
        <v>10.304400000000001</v>
      </c>
      <c r="G54" s="3">
        <f t="shared" si="1"/>
        <v>16.152923076923077</v>
      </c>
      <c r="H54" s="5">
        <f t="shared" si="2"/>
        <v>15.020571428571431</v>
      </c>
      <c r="I54" s="7">
        <f t="shared" si="3"/>
        <v>14.039200000000003</v>
      </c>
      <c r="J54">
        <v>12</v>
      </c>
    </row>
    <row r="55" spans="3:10" x14ac:dyDescent="0.25">
      <c r="C55" t="s">
        <v>557</v>
      </c>
      <c r="D55" t="s">
        <v>558</v>
      </c>
      <c r="E55">
        <v>34.380000000000003</v>
      </c>
      <c r="F55" s="9">
        <f t="shared" si="0"/>
        <v>10.6578</v>
      </c>
      <c r="G55" s="3">
        <f t="shared" si="1"/>
        <v>16.696615384615384</v>
      </c>
      <c r="H55" s="5">
        <f t="shared" si="2"/>
        <v>15.525428571428574</v>
      </c>
      <c r="I55" s="7">
        <f t="shared" si="3"/>
        <v>14.510400000000001</v>
      </c>
      <c r="J55">
        <v>12</v>
      </c>
    </row>
    <row r="56" spans="3:10" x14ac:dyDescent="0.25">
      <c r="C56" t="s">
        <v>559</v>
      </c>
      <c r="D56" t="s">
        <v>560</v>
      </c>
      <c r="E56">
        <v>32.700000000000003</v>
      </c>
      <c r="F56" s="9">
        <f t="shared" si="0"/>
        <v>10.137</v>
      </c>
      <c r="G56" s="3">
        <f t="shared" si="1"/>
        <v>15.895384615384616</v>
      </c>
      <c r="H56" s="5">
        <f t="shared" si="2"/>
        <v>14.781428571428574</v>
      </c>
      <c r="I56" s="7">
        <f t="shared" si="3"/>
        <v>13.816000000000001</v>
      </c>
      <c r="J56">
        <v>12</v>
      </c>
    </row>
    <row r="57" spans="3:10" x14ac:dyDescent="0.25">
      <c r="C57" t="s">
        <v>561</v>
      </c>
      <c r="D57" t="s">
        <v>562</v>
      </c>
      <c r="E57">
        <v>43.03</v>
      </c>
      <c r="F57" s="9">
        <f t="shared" si="0"/>
        <v>13.3393</v>
      </c>
      <c r="G57" s="3">
        <f t="shared" si="1"/>
        <v>20.821999999999999</v>
      </c>
      <c r="H57" s="5">
        <f t="shared" si="2"/>
        <v>19.35614285714286</v>
      </c>
      <c r="I57" s="7">
        <f t="shared" si="3"/>
        <v>18.085733333333334</v>
      </c>
      <c r="J57">
        <v>12</v>
      </c>
    </row>
    <row r="58" spans="3:10" x14ac:dyDescent="0.25">
      <c r="C58" t="s">
        <v>563</v>
      </c>
      <c r="D58" t="s">
        <v>564</v>
      </c>
      <c r="E58">
        <v>39.450000000000003</v>
      </c>
      <c r="F58" s="9">
        <f t="shared" si="0"/>
        <v>12.229500000000002</v>
      </c>
      <c r="G58" s="3">
        <f t="shared" si="1"/>
        <v>19.114615384615387</v>
      </c>
      <c r="H58" s="5">
        <f t="shared" si="2"/>
        <v>17.770714285714291</v>
      </c>
      <c r="I58" s="7">
        <f t="shared" si="3"/>
        <v>16.606000000000002</v>
      </c>
      <c r="J58">
        <v>12</v>
      </c>
    </row>
    <row r="59" spans="3:10" x14ac:dyDescent="0.25">
      <c r="C59" t="s">
        <v>565</v>
      </c>
      <c r="D59" t="s">
        <v>566</v>
      </c>
      <c r="E59">
        <v>41.27</v>
      </c>
      <c r="F59" s="9">
        <f t="shared" si="0"/>
        <v>12.793700000000001</v>
      </c>
      <c r="G59" s="3">
        <f t="shared" si="1"/>
        <v>19.982615384615386</v>
      </c>
      <c r="H59" s="5">
        <f t="shared" si="2"/>
        <v>18.576714285714289</v>
      </c>
      <c r="I59" s="7">
        <f t="shared" si="3"/>
        <v>17.358266666666669</v>
      </c>
      <c r="J59">
        <v>12</v>
      </c>
    </row>
    <row r="60" spans="3:10" x14ac:dyDescent="0.25">
      <c r="C60" t="s">
        <v>567</v>
      </c>
      <c r="D60" t="s">
        <v>568</v>
      </c>
      <c r="E60">
        <v>44.41</v>
      </c>
      <c r="F60" s="9">
        <f t="shared" si="0"/>
        <v>13.767099999999999</v>
      </c>
      <c r="G60" s="3">
        <f t="shared" si="1"/>
        <v>21.480153846153843</v>
      </c>
      <c r="H60" s="5">
        <f t="shared" si="2"/>
        <v>19.967285714285715</v>
      </c>
      <c r="I60" s="7">
        <f t="shared" si="3"/>
        <v>18.656133333333333</v>
      </c>
      <c r="J60">
        <v>12</v>
      </c>
    </row>
    <row r="61" spans="3:10" x14ac:dyDescent="0.25">
      <c r="C61" t="s">
        <v>569</v>
      </c>
      <c r="D61" t="s">
        <v>570</v>
      </c>
      <c r="E61">
        <v>43.11</v>
      </c>
      <c r="F61" s="9">
        <f t="shared" si="0"/>
        <v>13.364100000000001</v>
      </c>
      <c r="G61" s="3">
        <f t="shared" si="1"/>
        <v>20.860153846153846</v>
      </c>
      <c r="H61" s="5">
        <f t="shared" si="2"/>
        <v>19.391571428571432</v>
      </c>
      <c r="I61" s="7">
        <f t="shared" si="3"/>
        <v>18.1188</v>
      </c>
      <c r="J61">
        <v>12</v>
      </c>
    </row>
    <row r="62" spans="3:10" x14ac:dyDescent="0.25">
      <c r="C62" t="s">
        <v>571</v>
      </c>
      <c r="D62" t="s">
        <v>572</v>
      </c>
      <c r="E62">
        <v>46.54</v>
      </c>
      <c r="F62" s="9">
        <f t="shared" si="0"/>
        <v>14.4274</v>
      </c>
      <c r="G62" s="3">
        <f t="shared" si="1"/>
        <v>22.496000000000002</v>
      </c>
      <c r="H62" s="5">
        <f t="shared" si="2"/>
        <v>20.91057142857143</v>
      </c>
      <c r="I62" s="7">
        <f t="shared" si="3"/>
        <v>19.536533333333335</v>
      </c>
      <c r="J62">
        <v>12</v>
      </c>
    </row>
    <row r="63" spans="3:10" x14ac:dyDescent="0.25">
      <c r="C63" t="s">
        <v>573</v>
      </c>
      <c r="D63" t="s">
        <v>574</v>
      </c>
      <c r="E63">
        <v>39.450000000000003</v>
      </c>
      <c r="F63" s="9">
        <f t="shared" si="0"/>
        <v>12.229500000000002</v>
      </c>
      <c r="G63" s="3">
        <f t="shared" si="1"/>
        <v>19.114615384615387</v>
      </c>
      <c r="H63" s="5">
        <f t="shared" si="2"/>
        <v>17.770714285714291</v>
      </c>
      <c r="I63" s="7">
        <f t="shared" si="3"/>
        <v>16.606000000000002</v>
      </c>
      <c r="J63">
        <v>12</v>
      </c>
    </row>
    <row r="64" spans="3:10" x14ac:dyDescent="0.25">
      <c r="C64" t="s">
        <v>575</v>
      </c>
      <c r="D64" t="s">
        <v>576</v>
      </c>
      <c r="E64">
        <v>48.39</v>
      </c>
      <c r="F64" s="9">
        <f t="shared" si="0"/>
        <v>15.0009</v>
      </c>
      <c r="G64" s="3">
        <f t="shared" si="1"/>
        <v>23.378307692307693</v>
      </c>
      <c r="H64" s="5">
        <f t="shared" si="2"/>
        <v>21.729857142857146</v>
      </c>
      <c r="I64" s="7">
        <f t="shared" si="3"/>
        <v>20.301200000000001</v>
      </c>
      <c r="J64">
        <v>12</v>
      </c>
    </row>
    <row r="65" spans="3:10" x14ac:dyDescent="0.25">
      <c r="C65" t="s">
        <v>577</v>
      </c>
      <c r="D65" t="s">
        <v>578</v>
      </c>
      <c r="E65">
        <v>47.56</v>
      </c>
      <c r="F65" s="9">
        <f t="shared" si="0"/>
        <v>14.743600000000001</v>
      </c>
      <c r="G65" s="3">
        <f t="shared" si="1"/>
        <v>22.982461538461539</v>
      </c>
      <c r="H65" s="5">
        <f t="shared" si="2"/>
        <v>21.362285714285719</v>
      </c>
      <c r="I65" s="7">
        <f t="shared" si="3"/>
        <v>19.958133333333336</v>
      </c>
      <c r="J65">
        <v>12</v>
      </c>
    </row>
    <row r="66" spans="3:10" x14ac:dyDescent="0.25">
      <c r="C66" t="s">
        <v>579</v>
      </c>
      <c r="D66" t="s">
        <v>580</v>
      </c>
      <c r="E66">
        <v>50.59</v>
      </c>
      <c r="F66" s="9">
        <f t="shared" si="0"/>
        <v>15.6829</v>
      </c>
      <c r="G66" s="3">
        <f t="shared" si="1"/>
        <v>24.427538461538461</v>
      </c>
      <c r="H66" s="5">
        <f t="shared" si="2"/>
        <v>22.704142857142859</v>
      </c>
      <c r="I66" s="7">
        <f t="shared" si="3"/>
        <v>21.210533333333334</v>
      </c>
      <c r="J66">
        <v>12</v>
      </c>
    </row>
    <row r="67" spans="3:10" x14ac:dyDescent="0.25">
      <c r="C67" t="s">
        <v>581</v>
      </c>
      <c r="D67" t="s">
        <v>582</v>
      </c>
      <c r="E67">
        <v>54.27</v>
      </c>
      <c r="F67" s="9">
        <f t="shared" si="0"/>
        <v>16.823700000000002</v>
      </c>
      <c r="G67" s="3">
        <f t="shared" si="1"/>
        <v>26.182615384615389</v>
      </c>
      <c r="H67" s="5">
        <f t="shared" si="2"/>
        <v>24.333857142857148</v>
      </c>
      <c r="I67" s="7">
        <f t="shared" si="3"/>
        <v>22.731600000000004</v>
      </c>
      <c r="J67">
        <v>12</v>
      </c>
    </row>
    <row r="68" spans="3:10" x14ac:dyDescent="0.25">
      <c r="C68" t="s">
        <v>583</v>
      </c>
      <c r="D68" t="s">
        <v>584</v>
      </c>
      <c r="E68">
        <v>58.07</v>
      </c>
      <c r="F68" s="9">
        <f t="shared" si="0"/>
        <v>18.0017</v>
      </c>
      <c r="G68" s="3">
        <f t="shared" si="1"/>
        <v>27.994923076923076</v>
      </c>
      <c r="H68" s="5">
        <f t="shared" si="2"/>
        <v>26.016714285714286</v>
      </c>
      <c r="I68" s="7">
        <f t="shared" si="3"/>
        <v>24.302266666666668</v>
      </c>
      <c r="J68">
        <v>12</v>
      </c>
    </row>
    <row r="69" spans="3:10" x14ac:dyDescent="0.25">
      <c r="F69" s="9"/>
      <c r="G69" s="3"/>
      <c r="H69" s="5"/>
      <c r="I69" s="7"/>
    </row>
    <row r="70" spans="3:10" x14ac:dyDescent="0.25">
      <c r="C70" t="s">
        <v>63</v>
      </c>
      <c r="D70" t="s">
        <v>1513</v>
      </c>
      <c r="E70" t="s">
        <v>79</v>
      </c>
      <c r="F70" s="9"/>
      <c r="G70" s="3"/>
      <c r="H70" s="5"/>
      <c r="I70" s="7"/>
    </row>
    <row r="71" spans="3:10" x14ac:dyDescent="0.25">
      <c r="C71" t="s">
        <v>64</v>
      </c>
      <c r="D71" t="s">
        <v>86</v>
      </c>
      <c r="E71" t="s">
        <v>75</v>
      </c>
      <c r="F71" s="9"/>
      <c r="G71" s="3"/>
      <c r="H71" s="5"/>
      <c r="I71" s="7"/>
    </row>
    <row r="72" spans="3:10" x14ac:dyDescent="0.25">
      <c r="C72" t="s">
        <v>585</v>
      </c>
      <c r="D72" t="s">
        <v>586</v>
      </c>
      <c r="E72">
        <v>47.02</v>
      </c>
      <c r="F72" s="9">
        <f t="shared" si="0"/>
        <v>14.5762</v>
      </c>
      <c r="G72" s="3">
        <f t="shared" si="1"/>
        <v>22.724923076923076</v>
      </c>
      <c r="H72" s="5">
        <f t="shared" si="2"/>
        <v>21.123142857142859</v>
      </c>
      <c r="I72" s="7">
        <f t="shared" si="3"/>
        <v>19.734933333333334</v>
      </c>
      <c r="J72">
        <v>6</v>
      </c>
    </row>
    <row r="73" spans="3:10" x14ac:dyDescent="0.25">
      <c r="C73" t="s">
        <v>587</v>
      </c>
      <c r="D73" t="s">
        <v>588</v>
      </c>
      <c r="E73">
        <v>49.41</v>
      </c>
      <c r="F73" s="9">
        <f t="shared" si="0"/>
        <v>15.317099999999998</v>
      </c>
      <c r="G73" s="3">
        <f t="shared" si="1"/>
        <v>23.864769230769227</v>
      </c>
      <c r="H73" s="5">
        <f t="shared" si="2"/>
        <v>22.181571428571427</v>
      </c>
      <c r="I73" s="7">
        <f t="shared" si="3"/>
        <v>20.722799999999999</v>
      </c>
      <c r="J73">
        <v>6</v>
      </c>
    </row>
    <row r="74" spans="3:10" x14ac:dyDescent="0.25">
      <c r="C74" t="s">
        <v>589</v>
      </c>
      <c r="D74" t="s">
        <v>590</v>
      </c>
      <c r="E74">
        <v>59.64</v>
      </c>
      <c r="F74" s="9">
        <f t="shared" si="0"/>
        <v>18.488399999999999</v>
      </c>
      <c r="G74" s="3">
        <f t="shared" si="1"/>
        <v>28.743692307692307</v>
      </c>
      <c r="H74" s="5">
        <f t="shared" si="2"/>
        <v>26.712</v>
      </c>
      <c r="I74" s="7">
        <f t="shared" si="3"/>
        <v>24.9512</v>
      </c>
      <c r="J74">
        <v>6</v>
      </c>
    </row>
    <row r="75" spans="3:10" x14ac:dyDescent="0.25">
      <c r="C75" t="s">
        <v>591</v>
      </c>
      <c r="D75" t="s">
        <v>592</v>
      </c>
      <c r="E75">
        <v>64.61</v>
      </c>
      <c r="F75" s="9">
        <f t="shared" ref="F75:F79" si="4">E75*$F$9</f>
        <v>20.0291</v>
      </c>
      <c r="G75" s="3">
        <f t="shared" ref="G75:G79" si="5">(F75/0.65)+0.3</f>
        <v>31.114000000000001</v>
      </c>
      <c r="H75" s="5">
        <f t="shared" ref="H75:H79" si="6">(F75/0.7)+0.3</f>
        <v>28.913000000000004</v>
      </c>
      <c r="I75" s="7">
        <f t="shared" ref="I75:I79" si="7">(F75/0.75)+0.3</f>
        <v>27.005466666666667</v>
      </c>
      <c r="J75">
        <v>6</v>
      </c>
    </row>
    <row r="76" spans="3:10" x14ac:dyDescent="0.25">
      <c r="C76" t="s">
        <v>593</v>
      </c>
      <c r="D76" t="s">
        <v>594</v>
      </c>
      <c r="E76">
        <v>59.64</v>
      </c>
      <c r="F76" s="9">
        <f t="shared" si="4"/>
        <v>18.488399999999999</v>
      </c>
      <c r="G76" s="3">
        <f t="shared" si="5"/>
        <v>28.743692307692307</v>
      </c>
      <c r="H76" s="5">
        <f t="shared" si="6"/>
        <v>26.712</v>
      </c>
      <c r="I76" s="7">
        <f t="shared" si="7"/>
        <v>24.9512</v>
      </c>
      <c r="J76">
        <v>6</v>
      </c>
    </row>
    <row r="77" spans="3:10" x14ac:dyDescent="0.25">
      <c r="C77" t="s">
        <v>595</v>
      </c>
      <c r="D77" t="s">
        <v>596</v>
      </c>
      <c r="E77">
        <v>72.430000000000007</v>
      </c>
      <c r="F77" s="9">
        <f t="shared" si="4"/>
        <v>22.453300000000002</v>
      </c>
      <c r="G77" s="3">
        <f t="shared" si="5"/>
        <v>34.843538461538458</v>
      </c>
      <c r="H77" s="5">
        <f t="shared" si="6"/>
        <v>32.37614285714286</v>
      </c>
      <c r="I77" s="7">
        <f t="shared" si="7"/>
        <v>30.237733333333338</v>
      </c>
      <c r="J77">
        <v>6</v>
      </c>
    </row>
    <row r="78" spans="3:10" x14ac:dyDescent="0.25">
      <c r="C78" t="s">
        <v>597</v>
      </c>
      <c r="D78" t="s">
        <v>598</v>
      </c>
      <c r="E78">
        <v>71.83</v>
      </c>
      <c r="F78" s="9">
        <f t="shared" si="4"/>
        <v>22.267299999999999</v>
      </c>
      <c r="G78" s="3">
        <f t="shared" si="5"/>
        <v>34.557384615384606</v>
      </c>
      <c r="H78" s="5">
        <f t="shared" si="6"/>
        <v>32.110428571428571</v>
      </c>
      <c r="I78" s="7">
        <f t="shared" si="7"/>
        <v>29.989733333333334</v>
      </c>
      <c r="J78">
        <v>6</v>
      </c>
    </row>
    <row r="79" spans="3:10" x14ac:dyDescent="0.25">
      <c r="C79" t="s">
        <v>599</v>
      </c>
      <c r="D79" t="s">
        <v>600</v>
      </c>
      <c r="E79">
        <v>81.55</v>
      </c>
      <c r="F79" s="9">
        <f t="shared" si="4"/>
        <v>25.2805</v>
      </c>
      <c r="G79" s="3">
        <f t="shared" si="5"/>
        <v>39.193076923076916</v>
      </c>
      <c r="H79" s="5">
        <f t="shared" si="6"/>
        <v>36.414999999999999</v>
      </c>
      <c r="I79" s="7">
        <f t="shared" si="7"/>
        <v>34.007333333333328</v>
      </c>
      <c r="J79">
        <v>6</v>
      </c>
    </row>
    <row r="2276" spans="1:5" x14ac:dyDescent="0.25">
      <c r="A2276" t="s">
        <v>601</v>
      </c>
      <c r="B2276">
        <v>6</v>
      </c>
      <c r="E2276">
        <v>32.94</v>
      </c>
    </row>
    <row r="2277" spans="1:5" x14ac:dyDescent="0.25">
      <c r="A2277" t="s">
        <v>601</v>
      </c>
      <c r="B2277">
        <v>6</v>
      </c>
      <c r="E2277" t="s">
        <v>90</v>
      </c>
    </row>
    <row r="2278" spans="1:5" x14ac:dyDescent="0.25">
      <c r="A2278" t="s">
        <v>601</v>
      </c>
      <c r="B2278">
        <v>6</v>
      </c>
      <c r="E2278" t="s">
        <v>91</v>
      </c>
    </row>
    <row r="2279" spans="1:5" x14ac:dyDescent="0.25">
      <c r="A2279" t="s">
        <v>601</v>
      </c>
      <c r="B2279">
        <v>6</v>
      </c>
    </row>
    <row r="2280" spans="1:5" x14ac:dyDescent="0.25">
      <c r="A2280" t="s">
        <v>601</v>
      </c>
      <c r="B2280">
        <v>6</v>
      </c>
      <c r="E2280" t="s">
        <v>93</v>
      </c>
    </row>
    <row r="2281" spans="1:5" x14ac:dyDescent="0.25">
      <c r="A2281" t="s">
        <v>601</v>
      </c>
      <c r="B2281">
        <v>6</v>
      </c>
      <c r="E2281" t="s">
        <v>94</v>
      </c>
    </row>
    <row r="2282" spans="1:5" x14ac:dyDescent="0.25">
      <c r="A2282" t="s">
        <v>601</v>
      </c>
      <c r="B2282">
        <v>6</v>
      </c>
      <c r="E2282" t="s">
        <v>95</v>
      </c>
    </row>
    <row r="2283" spans="1:5" x14ac:dyDescent="0.25">
      <c r="A2283" t="s">
        <v>601</v>
      </c>
      <c r="B2283">
        <v>6</v>
      </c>
      <c r="E2283" t="s">
        <v>96</v>
      </c>
    </row>
    <row r="2284" spans="1:5" x14ac:dyDescent="0.25">
      <c r="A2284" t="s">
        <v>601</v>
      </c>
      <c r="B2284">
        <v>6</v>
      </c>
      <c r="E2284" t="s">
        <v>97</v>
      </c>
    </row>
    <row r="2285" spans="1:5" x14ac:dyDescent="0.25">
      <c r="A2285" t="s">
        <v>601</v>
      </c>
      <c r="B2285">
        <v>6</v>
      </c>
      <c r="E2285" t="s">
        <v>98</v>
      </c>
    </row>
    <row r="2286" spans="1:5" x14ac:dyDescent="0.25">
      <c r="A2286" t="s">
        <v>601</v>
      </c>
      <c r="B2286">
        <v>6</v>
      </c>
      <c r="E2286" t="s">
        <v>99</v>
      </c>
    </row>
    <row r="2287" spans="1:5" x14ac:dyDescent="0.25">
      <c r="A2287" t="s">
        <v>601</v>
      </c>
      <c r="B2287">
        <v>6</v>
      </c>
    </row>
    <row r="2288" spans="1:5" x14ac:dyDescent="0.25">
      <c r="A2288" t="s">
        <v>601</v>
      </c>
      <c r="B2288">
        <v>6</v>
      </c>
    </row>
    <row r="2289" spans="1:5" x14ac:dyDescent="0.25">
      <c r="A2289" t="s">
        <v>601</v>
      </c>
      <c r="B2289">
        <v>6</v>
      </c>
    </row>
    <row r="2290" spans="1:5" x14ac:dyDescent="0.25">
      <c r="A2290" t="s">
        <v>601</v>
      </c>
      <c r="B2290">
        <v>6</v>
      </c>
    </row>
    <row r="2291" spans="1:5" x14ac:dyDescent="0.25">
      <c r="A2291" t="s">
        <v>601</v>
      </c>
      <c r="B2291">
        <v>6</v>
      </c>
      <c r="E2291" t="s">
        <v>87</v>
      </c>
    </row>
    <row r="2292" spans="1:5" x14ac:dyDescent="0.25">
      <c r="A2292" t="s">
        <v>601</v>
      </c>
      <c r="B2292">
        <v>6</v>
      </c>
      <c r="E2292" t="s">
        <v>100</v>
      </c>
    </row>
    <row r="2293" spans="1:5" x14ac:dyDescent="0.25">
      <c r="A2293" t="s">
        <v>601</v>
      </c>
      <c r="B2293">
        <v>6</v>
      </c>
      <c r="E2293" t="s">
        <v>101</v>
      </c>
    </row>
    <row r="2294" spans="1:5" x14ac:dyDescent="0.25">
      <c r="A2294" t="s">
        <v>601</v>
      </c>
      <c r="B2294">
        <v>6</v>
      </c>
      <c r="E2294" t="s">
        <v>102</v>
      </c>
    </row>
    <row r="2295" spans="1:5" x14ac:dyDescent="0.25">
      <c r="A2295" t="s">
        <v>601</v>
      </c>
      <c r="B2295">
        <v>6</v>
      </c>
      <c r="E2295" t="s">
        <v>103</v>
      </c>
    </row>
    <row r="2296" spans="1:5" x14ac:dyDescent="0.25">
      <c r="A2296" t="s">
        <v>601</v>
      </c>
      <c r="B2296">
        <v>6</v>
      </c>
      <c r="E2296" t="s">
        <v>104</v>
      </c>
    </row>
    <row r="2297" spans="1:5" x14ac:dyDescent="0.25">
      <c r="A2297" t="s">
        <v>601</v>
      </c>
      <c r="B2297">
        <v>6</v>
      </c>
      <c r="E2297" t="s">
        <v>105</v>
      </c>
    </row>
    <row r="2298" spans="1:5" x14ac:dyDescent="0.25">
      <c r="A2298" t="s">
        <v>601</v>
      </c>
      <c r="B2298">
        <v>6</v>
      </c>
      <c r="E2298" t="s">
        <v>106</v>
      </c>
    </row>
    <row r="2299" spans="1:5" x14ac:dyDescent="0.25">
      <c r="A2299" t="s">
        <v>601</v>
      </c>
      <c r="B2299">
        <v>6</v>
      </c>
      <c r="E2299" t="s">
        <v>107</v>
      </c>
    </row>
    <row r="2300" spans="1:5" x14ac:dyDescent="0.25">
      <c r="A2300" t="s">
        <v>601</v>
      </c>
      <c r="B2300">
        <v>6</v>
      </c>
      <c r="E2300" t="s">
        <v>108</v>
      </c>
    </row>
    <row r="2301" spans="1:5" x14ac:dyDescent="0.25">
      <c r="A2301" t="s">
        <v>601</v>
      </c>
      <c r="B2301">
        <v>6</v>
      </c>
      <c r="E2301" t="s">
        <v>109</v>
      </c>
    </row>
    <row r="2302" spans="1:5" x14ac:dyDescent="0.25">
      <c r="A2302" t="s">
        <v>601</v>
      </c>
      <c r="B2302">
        <v>6</v>
      </c>
      <c r="E2302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30A2-E537-49A6-9D97-93C3977647C8}">
  <sheetPr>
    <tabColor theme="9" tint="0.39997558519241921"/>
  </sheetPr>
  <dimension ref="A2:Y30"/>
  <sheetViews>
    <sheetView workbookViewId="0">
      <selection activeCell="A16" sqref="A16:F16"/>
    </sheetView>
  </sheetViews>
  <sheetFormatPr defaultRowHeight="15" x14ac:dyDescent="0.25"/>
  <cols>
    <col min="1" max="1" width="21.42578125" customWidth="1"/>
    <col min="2" max="3" width="10.28515625" bestFit="1" customWidth="1"/>
    <col min="4" max="4" width="11.5703125" bestFit="1" customWidth="1"/>
  </cols>
  <sheetData>
    <row r="2" spans="1:25" x14ac:dyDescent="0.25">
      <c r="A2" s="8"/>
      <c r="B2" s="2"/>
      <c r="C2" s="4"/>
      <c r="D2" s="6"/>
      <c r="G2" s="11" t="s">
        <v>86</v>
      </c>
      <c r="H2" s="11" t="s">
        <v>1476</v>
      </c>
      <c r="I2" s="11" t="s">
        <v>1663</v>
      </c>
      <c r="J2" s="11" t="s">
        <v>1477</v>
      </c>
      <c r="K2" s="11" t="s">
        <v>1478</v>
      </c>
      <c r="L2" s="12" t="s">
        <v>1668</v>
      </c>
      <c r="M2" s="12" t="s">
        <v>1669</v>
      </c>
      <c r="N2" s="12" t="s">
        <v>1675</v>
      </c>
      <c r="Q2" s="19" t="s">
        <v>1668</v>
      </c>
      <c r="R2" s="19" t="s">
        <v>1669</v>
      </c>
      <c r="S2" s="19" t="s">
        <v>1675</v>
      </c>
    </row>
    <row r="3" spans="1:25" x14ac:dyDescent="0.25">
      <c r="A3" t="s">
        <v>1673</v>
      </c>
      <c r="B3" t="s">
        <v>1378</v>
      </c>
      <c r="C3" t="s">
        <v>1379</v>
      </c>
      <c r="D3" t="s">
        <v>1380</v>
      </c>
      <c r="G3" s="13"/>
      <c r="H3" s="11">
        <v>17</v>
      </c>
      <c r="I3" s="11">
        <v>22</v>
      </c>
      <c r="J3" s="11">
        <v>1</v>
      </c>
      <c r="K3" s="11">
        <f>H3*I3</f>
        <v>374</v>
      </c>
      <c r="L3" s="17">
        <f>_xlfn.XLOOKUP($H$3*$I$3, $B$12:$B$20, $G$12:$G$20, $G$12, -1)</f>
        <v>39.48950769230769</v>
      </c>
      <c r="M3" s="16">
        <f>_xlfn.XLOOKUP($H$3*$I$3, $B$12:$B$20, $O$12:$O$20, $O$12, -1)</f>
        <v>41.669046153846153</v>
      </c>
      <c r="N3" s="16">
        <f>_xlfn.XLOOKUP($H$3*$I$3, $B$12:$B$20, $W$12:$W$20, $W$12, -1)</f>
        <v>82.855292307692309</v>
      </c>
      <c r="O3" s="14">
        <v>0.35</v>
      </c>
      <c r="Q3" s="16" t="str">
        <f>IF(OR(AND($H$3&gt;28, $I$3&gt;28), $H$3&gt;35, $I$3&gt;35),_xlfn.XLOOKUP(($H$3*$I$3)/2, $B$12:$B$20, $G$12:$G$20, $G$12, -1) * 2,"N/A")</f>
        <v>N/A</v>
      </c>
      <c r="R3" s="16" t="str">
        <f>IF(OR(AND($H$3&gt;28, $I$3&gt;28), $H$3&gt;35, $I$3&gt;35),_xlfn.XLOOKUP(($H$3*$I$3)/2, $B$12:$B$20, $O$12:$O$20, $O$12, -1) * 2,"N/A")</f>
        <v>N/A</v>
      </c>
      <c r="S3" s="16" t="str">
        <f>IF(OR(AND($H$3&gt;28, $I$3&gt;28), $H$3&gt;35, $I$3&gt;35),_xlfn.XLOOKUP(($H$3*$I$3)/2, $B$12:$B$20, $W$12:$W$20, $W$12, -1) * 2,"N/A")</f>
        <v>N/A</v>
      </c>
      <c r="T3" s="14">
        <v>0.35</v>
      </c>
    </row>
    <row r="4" spans="1:25" x14ac:dyDescent="0.25">
      <c r="L4" s="17">
        <f>_xlfn.XLOOKUP($H$3*$I$3, $B$12:$B$20, $H$12:$H$20, $H$12, -1)</f>
        <v>36.690257142857149</v>
      </c>
      <c r="M4" s="16">
        <f>_xlfn.XLOOKUP($H$3*$I$3, $B$12:$B$20, $P$12:$P$20, $P$12, -1)</f>
        <v>38.714114285714288</v>
      </c>
      <c r="N4" s="16">
        <f>_xlfn.XLOOKUP($H$3*$I$3, $B$12:$B$20, $X$12:$X$20, $XX12, -1)</f>
        <v>76.958485714285715</v>
      </c>
      <c r="O4" s="14">
        <v>0.3</v>
      </c>
      <c r="Q4" s="16" t="str">
        <f>IF(OR(AND($H$3&gt;28, $I$3&gt;28), $H$3&gt;35, $I$3&gt;35),_xlfn.XLOOKUP(($H$3*$I$3)/2, $B$12:$B$20, $H$12:$H$20, $H$12, -1) * 2,"N/A")</f>
        <v>N/A</v>
      </c>
      <c r="R4" s="16" t="str">
        <f>IF(OR(AND($H$3&gt;28, $I$3&gt;28), $H$3&gt;35, $I$3&gt;35),_xlfn.XLOOKUP(($H$3*$I$3)/2, $B$12:$B$20, $P$12:$P$20, $P$12, -1) * 2,"N/A")</f>
        <v>N/A</v>
      </c>
      <c r="S4" s="16" t="str">
        <f>IF(OR(AND($H$3&gt;28, $I$3&gt;28), $H$3&gt;35, $I$3&gt;35),_xlfn.XLOOKUP(($H$3*$I$3)/2, $B$12:$B$20, $X$12:$X$20, $X$12, -1) * 2,"N/A")</f>
        <v>N/A</v>
      </c>
      <c r="T4" s="14">
        <v>0.3</v>
      </c>
    </row>
    <row r="5" spans="1:25" x14ac:dyDescent="0.25">
      <c r="L5" s="17">
        <f>_xlfn.XLOOKUP($H$3*$I$3, $B$12:$B$20, $I$12:$I$20, $I$12, -1)</f>
        <v>34.264240000000001</v>
      </c>
      <c r="M5" s="16">
        <f>_xlfn.XLOOKUP($H$3*$I$3, $B$12:$B$20, $Q$12:$Q$20, $Q$12, -1)</f>
        <v>36.153173333333335</v>
      </c>
      <c r="N5" s="16">
        <f>_xlfn.XLOOKUP($H$3*$I$3, $B$12:$B$20, $Y$12:$Y$20, $Y$12, -1)</f>
        <v>71.847920000000002</v>
      </c>
      <c r="O5" s="14">
        <v>0.25</v>
      </c>
      <c r="Q5" s="16" t="str">
        <f>IF(OR(AND($H$3&gt;28, $I$3&gt;28), $H$3&gt;35, $I$3&gt;35),_xlfn.XLOOKUP(($H$3*$I$3)/2, $B$12:$B$20, $I$12:$I$20, $I$12, -1) * 2,"N/A")</f>
        <v>N/A</v>
      </c>
      <c r="R5" s="16" t="str">
        <f>IF(OR(AND($H$3&gt;28, $I$3&gt;28), $H$3&gt;35, $I$3&gt;35),_xlfn.XLOOKUP(($H$3*$I$3)/2, $B$12:$B$20, $Q$12:$Q$20, $Q$12, -1) * 2,"N/A")</f>
        <v>N/A</v>
      </c>
      <c r="S5" s="16" t="str">
        <f>IF(OR(AND($H$3&gt;28, $I$3&gt;28), $H$3&gt;35, $I$3&gt;35),_xlfn.XLOOKUP(($H$3*$I$3)/2, $B$12:$B$20, $Y$12:$Y$20, $Y$12, -1) * 2,"N/A")</f>
        <v>N/A</v>
      </c>
      <c r="T5" s="14">
        <v>0.25</v>
      </c>
    </row>
    <row r="6" spans="1:25" x14ac:dyDescent="0.25">
      <c r="A6" t="s">
        <v>1381</v>
      </c>
      <c r="Q6" s="77" t="s">
        <v>1676</v>
      </c>
      <c r="R6" s="77"/>
      <c r="S6" s="77"/>
    </row>
    <row r="7" spans="1:25" x14ac:dyDescent="0.25">
      <c r="A7" t="s">
        <v>1382</v>
      </c>
    </row>
    <row r="8" spans="1:25" x14ac:dyDescent="0.25">
      <c r="V8" s="10"/>
      <c r="W8" s="10"/>
      <c r="X8" s="10"/>
      <c r="Y8" s="10"/>
    </row>
    <row r="9" spans="1:25" x14ac:dyDescent="0.25">
      <c r="A9" t="s">
        <v>1623</v>
      </c>
      <c r="K9" t="s">
        <v>1638</v>
      </c>
      <c r="N9" s="10"/>
      <c r="O9" s="10"/>
      <c r="P9" s="10"/>
      <c r="Q9" s="10"/>
      <c r="S9" t="s">
        <v>1648</v>
      </c>
      <c r="V9" s="10"/>
      <c r="W9" s="10"/>
      <c r="X9" s="10"/>
      <c r="Y9" s="10"/>
    </row>
    <row r="10" spans="1:25" x14ac:dyDescent="0.25">
      <c r="A10" t="s">
        <v>1624</v>
      </c>
      <c r="D10" t="s">
        <v>1625</v>
      </c>
      <c r="E10" t="s">
        <v>1439</v>
      </c>
      <c r="F10" t="s">
        <v>0</v>
      </c>
      <c r="K10" t="s">
        <v>1624</v>
      </c>
      <c r="L10" t="s">
        <v>1625</v>
      </c>
      <c r="M10" t="s">
        <v>1439</v>
      </c>
      <c r="N10" s="10"/>
      <c r="O10" s="10"/>
      <c r="P10" s="10"/>
      <c r="Q10" s="10"/>
      <c r="S10" t="s">
        <v>1624</v>
      </c>
      <c r="T10" t="s">
        <v>1625</v>
      </c>
      <c r="U10" t="s">
        <v>1439</v>
      </c>
      <c r="V10" s="10"/>
      <c r="W10" s="10"/>
      <c r="X10" s="10"/>
      <c r="Y10" s="10"/>
    </row>
    <row r="11" spans="1:25" x14ac:dyDescent="0.25">
      <c r="A11" t="s">
        <v>1626</v>
      </c>
      <c r="D11" t="s">
        <v>57</v>
      </c>
      <c r="E11" t="s">
        <v>1387</v>
      </c>
      <c r="F11" s="1">
        <v>0.45700000000000002</v>
      </c>
      <c r="K11" t="s">
        <v>1626</v>
      </c>
      <c r="L11" t="s">
        <v>57</v>
      </c>
      <c r="M11" t="s">
        <v>1387</v>
      </c>
      <c r="N11" s="10"/>
      <c r="O11" s="10"/>
      <c r="P11" s="10"/>
      <c r="Q11" s="10"/>
      <c r="S11" t="s">
        <v>1626</v>
      </c>
      <c r="T11" t="s">
        <v>57</v>
      </c>
      <c r="U11" t="s">
        <v>1387</v>
      </c>
      <c r="V11" s="10"/>
      <c r="W11" s="10"/>
      <c r="X11" s="10"/>
      <c r="Y11" s="10"/>
    </row>
    <row r="12" spans="1:25" x14ac:dyDescent="0.25">
      <c r="A12" t="s">
        <v>1627</v>
      </c>
      <c r="B12">
        <v>0</v>
      </c>
      <c r="C12">
        <v>150</v>
      </c>
      <c r="D12" t="s">
        <v>1628</v>
      </c>
      <c r="E12">
        <v>35.299999999999997</v>
      </c>
      <c r="F12" s="9">
        <f t="shared" ref="F12:F20" si="0">E12*$F$11</f>
        <v>16.132099999999998</v>
      </c>
      <c r="G12" s="3">
        <f>(F12/0.65)+0.3</f>
        <v>25.118615384615381</v>
      </c>
      <c r="H12" s="5">
        <f>(F12/0.7)+0.3</f>
        <v>23.345857142857142</v>
      </c>
      <c r="I12" s="7">
        <f>(F12/0.75)+0.3</f>
        <v>21.809466666666665</v>
      </c>
      <c r="K12" t="s">
        <v>1627</v>
      </c>
      <c r="L12" t="s">
        <v>1639</v>
      </c>
      <c r="M12">
        <v>37.24</v>
      </c>
      <c r="N12" s="9">
        <f t="shared" ref="N12:N20" si="1">M12*$F$11</f>
        <v>17.01868</v>
      </c>
      <c r="O12" s="3">
        <f t="shared" ref="O12:O20" si="2">(N12/0.65)+0.3</f>
        <v>26.482584615384614</v>
      </c>
      <c r="P12" s="5">
        <f t="shared" ref="P12:P20" si="3">(N12/0.7)+0.3</f>
        <v>24.612400000000001</v>
      </c>
      <c r="Q12" s="7">
        <f t="shared" ref="Q12:Q20" si="4">(N12/0.75)+0.3</f>
        <v>22.991573333333335</v>
      </c>
      <c r="S12" t="s">
        <v>1627</v>
      </c>
      <c r="T12" t="s">
        <v>1649</v>
      </c>
      <c r="U12">
        <v>74.849999999999994</v>
      </c>
      <c r="V12" s="9">
        <f t="shared" ref="V12:V20" si="5">U12*$F$11</f>
        <v>34.206449999999997</v>
      </c>
      <c r="W12" s="3">
        <f t="shared" ref="W12:W20" si="6">(V12/0.65)+0.3</f>
        <v>52.925307692307683</v>
      </c>
      <c r="X12" s="5">
        <f t="shared" ref="X12:X20" si="7">(V12/0.7)+0.3</f>
        <v>49.166357142857137</v>
      </c>
      <c r="Y12" s="7">
        <f t="shared" ref="Y12:Y20" si="8">(V12/0.75)+0.3</f>
        <v>45.908599999999993</v>
      </c>
    </row>
    <row r="13" spans="1:25" x14ac:dyDescent="0.25">
      <c r="A13" t="s">
        <v>1484</v>
      </c>
      <c r="B13">
        <v>150</v>
      </c>
      <c r="C13">
        <v>199</v>
      </c>
      <c r="D13" t="s">
        <v>1629</v>
      </c>
      <c r="E13">
        <v>39.82</v>
      </c>
      <c r="F13" s="9">
        <f t="shared" si="0"/>
        <v>18.19774</v>
      </c>
      <c r="G13" s="3">
        <f t="shared" ref="G13:G20" si="9">(F13/0.65)+0.3</f>
        <v>28.296523076923076</v>
      </c>
      <c r="H13" s="5">
        <f t="shared" ref="H13:H20" si="10">(F13/0.7)+0.3</f>
        <v>26.296771428571429</v>
      </c>
      <c r="I13" s="7">
        <f t="shared" ref="I13:I20" si="11">(F13/0.75)+0.3</f>
        <v>24.563653333333335</v>
      </c>
      <c r="K13" t="s">
        <v>1484</v>
      </c>
      <c r="L13" t="s">
        <v>1640</v>
      </c>
      <c r="M13">
        <v>42.06</v>
      </c>
      <c r="N13" s="9">
        <f t="shared" si="1"/>
        <v>19.221420000000002</v>
      </c>
      <c r="O13" s="3">
        <f t="shared" si="2"/>
        <v>29.871415384615386</v>
      </c>
      <c r="P13" s="5">
        <f t="shared" si="3"/>
        <v>27.759171428571435</v>
      </c>
      <c r="Q13" s="7">
        <f t="shared" si="4"/>
        <v>25.928560000000004</v>
      </c>
      <c r="S13" t="s">
        <v>1484</v>
      </c>
      <c r="T13" t="s">
        <v>1650</v>
      </c>
      <c r="U13">
        <v>84.72</v>
      </c>
      <c r="V13" s="9">
        <f t="shared" si="5"/>
        <v>38.717040000000004</v>
      </c>
      <c r="W13" s="3">
        <f t="shared" si="6"/>
        <v>59.864676923076928</v>
      </c>
      <c r="X13" s="5">
        <f t="shared" si="7"/>
        <v>55.610057142857151</v>
      </c>
      <c r="Y13" s="7">
        <f t="shared" si="8"/>
        <v>51.922720000000005</v>
      </c>
    </row>
    <row r="14" spans="1:25" x14ac:dyDescent="0.25">
      <c r="A14" t="s">
        <v>1485</v>
      </c>
      <c r="B14">
        <v>200</v>
      </c>
      <c r="C14">
        <v>249</v>
      </c>
      <c r="D14" t="s">
        <v>1630</v>
      </c>
      <c r="E14">
        <v>44.85</v>
      </c>
      <c r="F14" s="9">
        <f t="shared" si="0"/>
        <v>20.496450000000003</v>
      </c>
      <c r="G14" s="3">
        <f t="shared" si="9"/>
        <v>31.833000000000006</v>
      </c>
      <c r="H14" s="5">
        <f t="shared" si="10"/>
        <v>29.580642857142863</v>
      </c>
      <c r="I14" s="7">
        <f t="shared" si="11"/>
        <v>27.628600000000006</v>
      </c>
      <c r="K14" t="s">
        <v>1485</v>
      </c>
      <c r="L14" t="s">
        <v>1641</v>
      </c>
      <c r="M14">
        <v>47.35</v>
      </c>
      <c r="N14" s="9">
        <f t="shared" si="1"/>
        <v>21.638950000000001</v>
      </c>
      <c r="O14" s="3">
        <f t="shared" si="2"/>
        <v>33.590692307692308</v>
      </c>
      <c r="P14" s="5">
        <f t="shared" si="3"/>
        <v>31.212785714285719</v>
      </c>
      <c r="Q14" s="7">
        <f t="shared" si="4"/>
        <v>29.151933333333336</v>
      </c>
      <c r="S14" t="s">
        <v>1485</v>
      </c>
      <c r="T14" t="s">
        <v>1651</v>
      </c>
      <c r="U14">
        <v>94.39</v>
      </c>
      <c r="V14" s="9">
        <f t="shared" si="5"/>
        <v>43.136230000000005</v>
      </c>
      <c r="W14" s="3">
        <f t="shared" si="6"/>
        <v>66.663430769230771</v>
      </c>
      <c r="X14" s="5">
        <f t="shared" si="7"/>
        <v>61.923185714285722</v>
      </c>
      <c r="Y14" s="7">
        <f t="shared" si="8"/>
        <v>57.814973333333334</v>
      </c>
    </row>
    <row r="15" spans="1:25" x14ac:dyDescent="0.25">
      <c r="A15" t="s">
        <v>1486</v>
      </c>
      <c r="B15">
        <v>250</v>
      </c>
      <c r="C15">
        <v>299</v>
      </c>
      <c r="D15" t="s">
        <v>1631</v>
      </c>
      <c r="E15">
        <v>49.34</v>
      </c>
      <c r="F15" s="9">
        <f t="shared" si="0"/>
        <v>22.548380000000002</v>
      </c>
      <c r="G15" s="3">
        <f t="shared" si="9"/>
        <v>34.989815384615383</v>
      </c>
      <c r="H15" s="5">
        <f t="shared" si="10"/>
        <v>32.511971428571428</v>
      </c>
      <c r="I15" s="7">
        <f t="shared" si="11"/>
        <v>30.364506666666671</v>
      </c>
      <c r="K15" t="s">
        <v>1486</v>
      </c>
      <c r="L15" t="s">
        <v>1642</v>
      </c>
      <c r="M15">
        <v>52.11</v>
      </c>
      <c r="N15" s="9">
        <f t="shared" si="1"/>
        <v>23.81427</v>
      </c>
      <c r="O15" s="3">
        <f t="shared" si="2"/>
        <v>36.937338461538459</v>
      </c>
      <c r="P15" s="5">
        <f t="shared" si="3"/>
        <v>34.320385714285713</v>
      </c>
      <c r="Q15" s="7">
        <f t="shared" si="4"/>
        <v>32.05236</v>
      </c>
      <c r="S15" t="s">
        <v>1486</v>
      </c>
      <c r="T15" t="s">
        <v>1652</v>
      </c>
      <c r="U15">
        <v>104.15</v>
      </c>
      <c r="V15" s="9">
        <f t="shared" si="5"/>
        <v>47.596550000000008</v>
      </c>
      <c r="W15" s="3">
        <f t="shared" si="6"/>
        <v>73.525461538461542</v>
      </c>
      <c r="X15" s="5">
        <f t="shared" si="7"/>
        <v>68.295071428571447</v>
      </c>
      <c r="Y15" s="7">
        <f t="shared" si="8"/>
        <v>63.762066666666676</v>
      </c>
    </row>
    <row r="16" spans="1:25" x14ac:dyDescent="0.25">
      <c r="A16" t="s">
        <v>1487</v>
      </c>
      <c r="B16">
        <v>300</v>
      </c>
      <c r="C16">
        <v>399</v>
      </c>
      <c r="D16" t="s">
        <v>1632</v>
      </c>
      <c r="E16">
        <v>55.74</v>
      </c>
      <c r="F16" s="9">
        <f t="shared" si="0"/>
        <v>25.473180000000003</v>
      </c>
      <c r="G16" s="3">
        <f t="shared" si="9"/>
        <v>39.48950769230769</v>
      </c>
      <c r="H16" s="5">
        <f t="shared" si="10"/>
        <v>36.690257142857149</v>
      </c>
      <c r="I16" s="7">
        <f t="shared" si="11"/>
        <v>34.264240000000001</v>
      </c>
      <c r="K16" t="s">
        <v>1487</v>
      </c>
      <c r="L16" t="s">
        <v>1643</v>
      </c>
      <c r="M16">
        <v>58.84</v>
      </c>
      <c r="N16" s="9">
        <f t="shared" si="1"/>
        <v>26.889880000000002</v>
      </c>
      <c r="O16" s="3">
        <f t="shared" si="2"/>
        <v>41.669046153846153</v>
      </c>
      <c r="P16" s="5">
        <f t="shared" si="3"/>
        <v>38.714114285714288</v>
      </c>
      <c r="Q16" s="7">
        <f t="shared" si="4"/>
        <v>36.153173333333335</v>
      </c>
      <c r="S16" t="s">
        <v>1487</v>
      </c>
      <c r="T16" t="s">
        <v>1653</v>
      </c>
      <c r="U16">
        <v>117.42</v>
      </c>
      <c r="V16" s="9">
        <f t="shared" si="5"/>
        <v>53.660940000000004</v>
      </c>
      <c r="W16" s="3">
        <f t="shared" si="6"/>
        <v>82.855292307692309</v>
      </c>
      <c r="X16" s="5">
        <f t="shared" si="7"/>
        <v>76.958485714285715</v>
      </c>
      <c r="Y16" s="7">
        <f t="shared" si="8"/>
        <v>71.847920000000002</v>
      </c>
    </row>
    <row r="17" spans="1:25" x14ac:dyDescent="0.25">
      <c r="A17" t="s">
        <v>1488</v>
      </c>
      <c r="B17">
        <v>400</v>
      </c>
      <c r="C17">
        <v>499</v>
      </c>
      <c r="D17" t="s">
        <v>1633</v>
      </c>
      <c r="E17">
        <v>61.93</v>
      </c>
      <c r="F17" s="9">
        <f t="shared" si="0"/>
        <v>28.302009999999999</v>
      </c>
      <c r="G17" s="3">
        <f t="shared" si="9"/>
        <v>43.841553846153843</v>
      </c>
      <c r="H17" s="5">
        <f t="shared" si="10"/>
        <v>40.731442857142859</v>
      </c>
      <c r="I17" s="7">
        <f t="shared" si="11"/>
        <v>38.036013333333329</v>
      </c>
      <c r="K17" t="s">
        <v>1488</v>
      </c>
      <c r="L17" t="s">
        <v>1644</v>
      </c>
      <c r="M17">
        <v>65.38</v>
      </c>
      <c r="N17" s="9">
        <f t="shared" si="1"/>
        <v>29.87866</v>
      </c>
      <c r="O17" s="3">
        <f t="shared" si="2"/>
        <v>46.267169230769227</v>
      </c>
      <c r="P17" s="5">
        <f t="shared" si="3"/>
        <v>42.983800000000002</v>
      </c>
      <c r="Q17" s="7">
        <f t="shared" si="4"/>
        <v>40.138213333333333</v>
      </c>
      <c r="S17" t="s">
        <v>1488</v>
      </c>
      <c r="T17" t="s">
        <v>1654</v>
      </c>
      <c r="U17">
        <v>130.32</v>
      </c>
      <c r="V17" s="9">
        <f t="shared" si="5"/>
        <v>59.556240000000003</v>
      </c>
      <c r="W17" s="3">
        <f t="shared" si="6"/>
        <v>91.924984615384616</v>
      </c>
      <c r="X17" s="5">
        <f t="shared" si="7"/>
        <v>85.380342857142864</v>
      </c>
      <c r="Y17" s="7">
        <f t="shared" si="8"/>
        <v>79.708320000000001</v>
      </c>
    </row>
    <row r="18" spans="1:25" x14ac:dyDescent="0.25">
      <c r="A18" t="s">
        <v>1489</v>
      </c>
      <c r="B18">
        <v>500</v>
      </c>
      <c r="C18">
        <v>599</v>
      </c>
      <c r="D18" t="s">
        <v>1634</v>
      </c>
      <c r="E18">
        <v>66.52</v>
      </c>
      <c r="F18" s="9">
        <f t="shared" si="0"/>
        <v>30.399639999999998</v>
      </c>
      <c r="G18" s="3">
        <f t="shared" si="9"/>
        <v>47.068676923076914</v>
      </c>
      <c r="H18" s="5">
        <f t="shared" si="10"/>
        <v>43.728057142857139</v>
      </c>
      <c r="I18" s="7">
        <f t="shared" si="11"/>
        <v>40.832853333333325</v>
      </c>
      <c r="K18" t="s">
        <v>1489</v>
      </c>
      <c r="L18" t="s">
        <v>1645</v>
      </c>
      <c r="M18">
        <v>70.22</v>
      </c>
      <c r="N18" s="9">
        <f t="shared" si="1"/>
        <v>32.090539999999997</v>
      </c>
      <c r="O18" s="3">
        <f t="shared" si="2"/>
        <v>49.670061538461532</v>
      </c>
      <c r="P18" s="5">
        <f t="shared" si="3"/>
        <v>46.143628571428565</v>
      </c>
      <c r="Q18" s="7">
        <f t="shared" si="4"/>
        <v>43.08738666666666</v>
      </c>
      <c r="S18" t="s">
        <v>1489</v>
      </c>
      <c r="T18" t="s">
        <v>1655</v>
      </c>
      <c r="U18">
        <v>140.07</v>
      </c>
      <c r="V18" s="9">
        <f t="shared" si="5"/>
        <v>64.011989999999997</v>
      </c>
      <c r="W18" s="3">
        <f t="shared" si="6"/>
        <v>98.779984615384606</v>
      </c>
      <c r="X18" s="5">
        <f t="shared" si="7"/>
        <v>91.745699999999999</v>
      </c>
      <c r="Y18" s="7">
        <f t="shared" si="8"/>
        <v>85.649319999999989</v>
      </c>
    </row>
    <row r="19" spans="1:25" x14ac:dyDescent="0.25">
      <c r="A19" t="s">
        <v>1490</v>
      </c>
      <c r="B19">
        <v>600</v>
      </c>
      <c r="C19">
        <v>699</v>
      </c>
      <c r="D19" t="s">
        <v>1635</v>
      </c>
      <c r="E19">
        <v>71.41</v>
      </c>
      <c r="F19" s="9">
        <f t="shared" si="0"/>
        <v>32.634369999999997</v>
      </c>
      <c r="G19" s="3">
        <f t="shared" si="9"/>
        <v>50.506723076923066</v>
      </c>
      <c r="H19" s="5">
        <f t="shared" si="10"/>
        <v>46.920528571428569</v>
      </c>
      <c r="I19" s="7">
        <f t="shared" si="11"/>
        <v>43.812493333333329</v>
      </c>
      <c r="K19" t="s">
        <v>1490</v>
      </c>
      <c r="L19" t="s">
        <v>1646</v>
      </c>
      <c r="M19">
        <v>75.41</v>
      </c>
      <c r="N19" s="9">
        <f t="shared" si="1"/>
        <v>34.46237</v>
      </c>
      <c r="O19" s="3">
        <f t="shared" si="2"/>
        <v>53.319030769230764</v>
      </c>
      <c r="P19" s="5">
        <f t="shared" si="3"/>
        <v>49.531957142857145</v>
      </c>
      <c r="Q19" s="7">
        <f t="shared" si="4"/>
        <v>46.249826666666664</v>
      </c>
      <c r="S19" t="s">
        <v>1490</v>
      </c>
      <c r="T19" t="s">
        <v>1656</v>
      </c>
      <c r="U19">
        <v>149.78</v>
      </c>
      <c r="V19" s="9">
        <f t="shared" si="5"/>
        <v>68.449460000000002</v>
      </c>
      <c r="W19" s="3">
        <f t="shared" si="6"/>
        <v>105.60686153846153</v>
      </c>
      <c r="X19" s="5">
        <f t="shared" si="7"/>
        <v>98.084942857142863</v>
      </c>
      <c r="Y19" s="7">
        <f t="shared" si="8"/>
        <v>91.565946666666662</v>
      </c>
    </row>
    <row r="20" spans="1:25" x14ac:dyDescent="0.25">
      <c r="A20" t="s">
        <v>1636</v>
      </c>
      <c r="B20">
        <v>700</v>
      </c>
      <c r="C20">
        <v>88</v>
      </c>
      <c r="D20" t="s">
        <v>1637</v>
      </c>
      <c r="E20">
        <v>75.56</v>
      </c>
      <c r="F20" s="9">
        <f t="shared" si="0"/>
        <v>34.530920000000002</v>
      </c>
      <c r="G20" s="3">
        <f t="shared" si="9"/>
        <v>53.424492307692304</v>
      </c>
      <c r="H20" s="5">
        <f t="shared" si="10"/>
        <v>49.62988571428572</v>
      </c>
      <c r="I20" s="7">
        <f t="shared" si="11"/>
        <v>46.341226666666664</v>
      </c>
      <c r="K20" t="s">
        <v>1636</v>
      </c>
      <c r="L20" t="s">
        <v>1647</v>
      </c>
      <c r="M20">
        <v>79.72</v>
      </c>
      <c r="N20" s="9">
        <f t="shared" si="1"/>
        <v>36.432040000000001</v>
      </c>
      <c r="O20" s="3">
        <f t="shared" si="2"/>
        <v>56.349292307692302</v>
      </c>
      <c r="P20" s="5">
        <f t="shared" si="3"/>
        <v>52.345771428571432</v>
      </c>
      <c r="Q20" s="7">
        <f t="shared" si="4"/>
        <v>48.876053333333331</v>
      </c>
      <c r="S20" t="s">
        <v>1636</v>
      </c>
      <c r="T20" t="s">
        <v>1657</v>
      </c>
      <c r="U20">
        <v>160.09</v>
      </c>
      <c r="V20" s="9">
        <f t="shared" si="5"/>
        <v>73.16113</v>
      </c>
      <c r="W20" s="3">
        <f t="shared" si="6"/>
        <v>112.85558461538461</v>
      </c>
      <c r="X20" s="5">
        <f t="shared" si="7"/>
        <v>104.8159</v>
      </c>
      <c r="Y20" s="7">
        <f t="shared" si="8"/>
        <v>97.848173333333335</v>
      </c>
    </row>
    <row r="21" spans="1:25" x14ac:dyDescent="0.25">
      <c r="F21" s="10"/>
      <c r="G21" s="10"/>
      <c r="H21" s="10"/>
      <c r="I21" s="10"/>
    </row>
    <row r="23" spans="1:25" x14ac:dyDescent="0.25">
      <c r="A23" t="s">
        <v>1658</v>
      </c>
    </row>
    <row r="25" spans="1:25" x14ac:dyDescent="0.25">
      <c r="A25" t="s">
        <v>1659</v>
      </c>
    </row>
    <row r="26" spans="1:25" x14ac:dyDescent="0.25">
      <c r="A26" t="s">
        <v>1660</v>
      </c>
    </row>
    <row r="27" spans="1:25" x14ac:dyDescent="0.25">
      <c r="A27" t="s">
        <v>1661</v>
      </c>
    </row>
    <row r="28" spans="1:25" x14ac:dyDescent="0.25">
      <c r="A28" t="s">
        <v>1662</v>
      </c>
    </row>
    <row r="29" spans="1:25" x14ac:dyDescent="0.25">
      <c r="A29" t="s">
        <v>1582</v>
      </c>
    </row>
    <row r="30" spans="1:25" x14ac:dyDescent="0.25">
      <c r="A30" t="s">
        <v>1583</v>
      </c>
    </row>
  </sheetData>
  <mergeCells count="1">
    <mergeCell ref="Q6:S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56DB-7F99-4C73-A5FC-FDBC9438CBE9}">
  <sheetPr>
    <tabColor theme="5" tint="-0.499984740745262"/>
  </sheetPr>
  <dimension ref="B1:T86"/>
  <sheetViews>
    <sheetView topLeftCell="A52" workbookViewId="0">
      <selection activeCell="O66" sqref="O66"/>
    </sheetView>
  </sheetViews>
  <sheetFormatPr defaultRowHeight="15" x14ac:dyDescent="0.25"/>
  <cols>
    <col min="2" max="2" width="31.28515625" bestFit="1" customWidth="1"/>
    <col min="3" max="3" width="10.85546875" bestFit="1" customWidth="1"/>
    <col min="4" max="6" width="10.28515625" bestFit="1" customWidth="1"/>
    <col min="12" max="12" width="9" customWidth="1"/>
  </cols>
  <sheetData>
    <row r="1" spans="2:20" ht="14.25" x14ac:dyDescent="0.25">
      <c r="T1" t="s">
        <v>602</v>
      </c>
    </row>
    <row r="2" spans="2:20" ht="14.25" x14ac:dyDescent="0.25">
      <c r="C2" s="21"/>
      <c r="D2" s="22"/>
      <c r="E2" s="23"/>
      <c r="F2" s="24"/>
      <c r="S2">
        <v>46143</v>
      </c>
    </row>
    <row r="3" spans="2:20" ht="14.25" x14ac:dyDescent="0.25">
      <c r="C3" s="11" t="s">
        <v>1673</v>
      </c>
      <c r="D3" s="11" t="s">
        <v>1378</v>
      </c>
      <c r="E3" s="11" t="s">
        <v>1379</v>
      </c>
      <c r="F3" s="11" t="s">
        <v>1380</v>
      </c>
      <c r="T3" t="s">
        <v>112</v>
      </c>
    </row>
    <row r="4" spans="2:20" ht="14.25" x14ac:dyDescent="0.25">
      <c r="T4" t="s">
        <v>113</v>
      </c>
    </row>
    <row r="6" spans="2:20" ht="14.25" x14ac:dyDescent="0.25">
      <c r="B6" t="s">
        <v>1514</v>
      </c>
    </row>
    <row r="7" spans="2:20" ht="14.25" x14ac:dyDescent="0.25">
      <c r="B7" t="s">
        <v>603</v>
      </c>
      <c r="L7" t="s">
        <v>604</v>
      </c>
    </row>
    <row r="8" spans="2:20" ht="14.25" x14ac:dyDescent="0.25">
      <c r="B8" t="s">
        <v>210</v>
      </c>
      <c r="C8" t="s">
        <v>1515</v>
      </c>
      <c r="D8" t="s">
        <v>605</v>
      </c>
      <c r="E8">
        <v>0.34</v>
      </c>
      <c r="I8" t="s">
        <v>606</v>
      </c>
      <c r="J8" t="s">
        <v>607</v>
      </c>
      <c r="L8" t="s">
        <v>210</v>
      </c>
      <c r="M8" t="s">
        <v>1515</v>
      </c>
      <c r="N8" t="s">
        <v>605</v>
      </c>
      <c r="O8">
        <v>0.34</v>
      </c>
      <c r="S8" t="s">
        <v>606</v>
      </c>
      <c r="T8" t="s">
        <v>607</v>
      </c>
    </row>
    <row r="9" spans="2:20" ht="14.25" x14ac:dyDescent="0.25">
      <c r="B9" t="s">
        <v>608</v>
      </c>
      <c r="C9" t="s">
        <v>10</v>
      </c>
      <c r="D9">
        <v>9.6</v>
      </c>
      <c r="E9" s="9">
        <f>D9*$E$8</f>
        <v>3.2640000000000002</v>
      </c>
      <c r="F9" s="3">
        <f>(E9/0.65)+0.3</f>
        <v>5.3215384615384611</v>
      </c>
      <c r="G9" s="5">
        <f>(E9/0.7)+0.3</f>
        <v>4.9628571428571435</v>
      </c>
      <c r="H9" s="7">
        <f>(E9/0.75)+0.3</f>
        <v>4.6520000000000001</v>
      </c>
      <c r="I9">
        <v>12</v>
      </c>
      <c r="J9" t="s">
        <v>35</v>
      </c>
      <c r="L9" t="s">
        <v>609</v>
      </c>
      <c r="M9" t="s">
        <v>10</v>
      </c>
      <c r="N9">
        <v>14.34</v>
      </c>
      <c r="O9" s="9">
        <f>N9*$O$8</f>
        <v>4.8756000000000004</v>
      </c>
      <c r="P9" s="3">
        <f>(O9/0.65)+0.3</f>
        <v>7.8009230769230768</v>
      </c>
      <c r="Q9" s="5">
        <f>(O9/0.7)+0.3</f>
        <v>7.265142857142858</v>
      </c>
      <c r="R9" s="7">
        <f>(O9/0.75)+0.3</f>
        <v>6.8008000000000006</v>
      </c>
      <c r="S9">
        <v>12</v>
      </c>
      <c r="T9" t="s">
        <v>35</v>
      </c>
    </row>
    <row r="10" spans="2:20" ht="14.25" x14ac:dyDescent="0.25">
      <c r="B10" t="s">
        <v>610</v>
      </c>
      <c r="C10" t="s">
        <v>12</v>
      </c>
      <c r="D10">
        <v>10.11</v>
      </c>
      <c r="E10" s="9">
        <f t="shared" ref="E10:E43" si="0">D10*$E$8</f>
        <v>3.4374000000000002</v>
      </c>
      <c r="F10" s="3">
        <f t="shared" ref="F10:F43" si="1">(E10/0.65)+0.3</f>
        <v>5.5883076923076924</v>
      </c>
      <c r="G10" s="5">
        <f t="shared" ref="G10:G43" si="2">(E10/0.7)+0.3</f>
        <v>5.2105714285714289</v>
      </c>
      <c r="H10" s="7">
        <f t="shared" ref="H10:H43" si="3">(E10/0.75)+0.3</f>
        <v>4.8832000000000004</v>
      </c>
      <c r="I10">
        <v>12</v>
      </c>
      <c r="J10" t="s">
        <v>56</v>
      </c>
      <c r="L10" t="s">
        <v>611</v>
      </c>
      <c r="M10" t="s">
        <v>12</v>
      </c>
      <c r="N10">
        <v>15.09</v>
      </c>
      <c r="O10" s="9">
        <f t="shared" ref="O10:O43" si="4">N10*$O$8</f>
        <v>5.1306000000000003</v>
      </c>
      <c r="P10" s="3">
        <f t="shared" ref="P10:P43" si="5">(O10/0.65)+0.3</f>
        <v>8.1932307692307695</v>
      </c>
      <c r="Q10" s="5">
        <f t="shared" ref="Q10:Q43" si="6">(O10/0.7)+0.3</f>
        <v>7.6294285714285719</v>
      </c>
      <c r="R10" s="7">
        <f t="shared" ref="R10:R43" si="7">(O10/0.75)+0.3</f>
        <v>7.1408000000000005</v>
      </c>
      <c r="S10">
        <v>12</v>
      </c>
      <c r="T10" t="s">
        <v>56</v>
      </c>
    </row>
    <row r="11" spans="2:20" ht="14.25" x14ac:dyDescent="0.25">
      <c r="B11" t="s">
        <v>612</v>
      </c>
      <c r="C11" t="s">
        <v>13</v>
      </c>
      <c r="D11">
        <v>17.309999999999999</v>
      </c>
      <c r="E11" s="9">
        <f t="shared" si="0"/>
        <v>5.8853999999999997</v>
      </c>
      <c r="F11" s="3">
        <f t="shared" si="1"/>
        <v>9.354461538461539</v>
      </c>
      <c r="G11" s="5">
        <f t="shared" si="2"/>
        <v>8.7077142857142871</v>
      </c>
      <c r="H11" s="7">
        <f t="shared" si="3"/>
        <v>8.1471999999999998</v>
      </c>
      <c r="I11">
        <v>12</v>
      </c>
      <c r="J11" t="s">
        <v>88</v>
      </c>
      <c r="L11" t="s">
        <v>613</v>
      </c>
      <c r="M11" t="s">
        <v>13</v>
      </c>
      <c r="N11">
        <v>22.04</v>
      </c>
      <c r="O11" s="9">
        <f t="shared" si="4"/>
        <v>7.4935999999999998</v>
      </c>
      <c r="P11" s="3">
        <f t="shared" si="5"/>
        <v>11.828615384615384</v>
      </c>
      <c r="Q11" s="5">
        <f t="shared" si="6"/>
        <v>11.005142857142859</v>
      </c>
      <c r="R11" s="7">
        <f t="shared" si="7"/>
        <v>10.291466666666667</v>
      </c>
      <c r="S11">
        <v>12</v>
      </c>
      <c r="T11" t="s">
        <v>88</v>
      </c>
    </row>
    <row r="12" spans="2:20" ht="14.25" x14ac:dyDescent="0.25">
      <c r="B12" t="s">
        <v>614</v>
      </c>
      <c r="C12" t="s">
        <v>15</v>
      </c>
      <c r="D12">
        <v>17.690000000000001</v>
      </c>
      <c r="E12" s="9">
        <f t="shared" si="0"/>
        <v>6.0146000000000006</v>
      </c>
      <c r="F12" s="3">
        <f t="shared" si="1"/>
        <v>9.5532307692307707</v>
      </c>
      <c r="G12" s="5">
        <f t="shared" si="2"/>
        <v>8.8922857142857161</v>
      </c>
      <c r="H12" s="7">
        <f t="shared" si="3"/>
        <v>8.3194666666666688</v>
      </c>
      <c r="I12">
        <v>12</v>
      </c>
      <c r="J12" t="s">
        <v>88</v>
      </c>
      <c r="L12" t="s">
        <v>615</v>
      </c>
      <c r="M12" t="s">
        <v>15</v>
      </c>
      <c r="N12">
        <v>22.52</v>
      </c>
      <c r="O12" s="9">
        <f t="shared" si="4"/>
        <v>7.6568000000000005</v>
      </c>
      <c r="P12" s="3">
        <f t="shared" si="5"/>
        <v>12.079692307692309</v>
      </c>
      <c r="Q12" s="5">
        <f t="shared" si="6"/>
        <v>11.238285714285716</v>
      </c>
      <c r="R12" s="7">
        <f t="shared" si="7"/>
        <v>10.509066666666667</v>
      </c>
      <c r="S12">
        <v>12</v>
      </c>
      <c r="T12" t="s">
        <v>88</v>
      </c>
    </row>
    <row r="13" spans="2:20" ht="14.25" x14ac:dyDescent="0.25">
      <c r="B13" t="s">
        <v>616</v>
      </c>
      <c r="C13" t="s">
        <v>16</v>
      </c>
      <c r="D13">
        <v>12.26</v>
      </c>
      <c r="E13" s="9">
        <f t="shared" si="0"/>
        <v>4.1684000000000001</v>
      </c>
      <c r="F13" s="3">
        <f t="shared" si="1"/>
        <v>6.7129230769230768</v>
      </c>
      <c r="G13" s="5">
        <f t="shared" si="2"/>
        <v>6.2548571428571433</v>
      </c>
      <c r="H13" s="7">
        <f t="shared" si="3"/>
        <v>5.8578666666666663</v>
      </c>
      <c r="I13">
        <v>12</v>
      </c>
      <c r="J13" t="s">
        <v>35</v>
      </c>
      <c r="L13" t="s">
        <v>617</v>
      </c>
      <c r="M13" t="s">
        <v>16</v>
      </c>
      <c r="N13">
        <v>16.309999999999999</v>
      </c>
      <c r="O13" s="9">
        <f t="shared" si="4"/>
        <v>5.5453999999999999</v>
      </c>
      <c r="P13" s="3">
        <f t="shared" si="5"/>
        <v>8.8313846153846161</v>
      </c>
      <c r="Q13" s="5">
        <f t="shared" si="6"/>
        <v>8.2220000000000013</v>
      </c>
      <c r="R13" s="7">
        <f t="shared" si="7"/>
        <v>7.6938666666666666</v>
      </c>
      <c r="S13">
        <v>12</v>
      </c>
      <c r="T13" t="s">
        <v>35</v>
      </c>
    </row>
    <row r="14" spans="2:20" ht="14.25" x14ac:dyDescent="0.25">
      <c r="B14" t="s">
        <v>618</v>
      </c>
      <c r="C14" t="s">
        <v>17</v>
      </c>
      <c r="D14">
        <v>10.37</v>
      </c>
      <c r="E14" s="9">
        <f t="shared" si="0"/>
        <v>3.5257999999999998</v>
      </c>
      <c r="F14" s="3">
        <f t="shared" si="1"/>
        <v>5.7243076923076917</v>
      </c>
      <c r="G14" s="5">
        <f t="shared" si="2"/>
        <v>5.3368571428571432</v>
      </c>
      <c r="H14" s="7">
        <f t="shared" si="3"/>
        <v>5.0010666666666665</v>
      </c>
      <c r="I14">
        <v>12</v>
      </c>
      <c r="J14" t="s">
        <v>88</v>
      </c>
      <c r="L14" t="s">
        <v>619</v>
      </c>
      <c r="M14" t="s">
        <v>17</v>
      </c>
      <c r="N14">
        <v>15.58</v>
      </c>
      <c r="O14" s="9">
        <f t="shared" si="4"/>
        <v>5.2972000000000001</v>
      </c>
      <c r="P14" s="3">
        <f t="shared" si="5"/>
        <v>8.449538461538463</v>
      </c>
      <c r="Q14" s="5">
        <f t="shared" si="6"/>
        <v>7.8674285714285723</v>
      </c>
      <c r="R14" s="7">
        <f t="shared" si="7"/>
        <v>7.3629333333333333</v>
      </c>
      <c r="S14">
        <v>12</v>
      </c>
      <c r="T14" t="s">
        <v>88</v>
      </c>
    </row>
    <row r="15" spans="2:20" ht="14.25" x14ac:dyDescent="0.25">
      <c r="B15" t="s">
        <v>620</v>
      </c>
      <c r="C15" t="s">
        <v>19</v>
      </c>
      <c r="D15">
        <v>10.67</v>
      </c>
      <c r="E15" s="9">
        <f t="shared" si="0"/>
        <v>3.6278000000000001</v>
      </c>
      <c r="F15" s="3">
        <f t="shared" si="1"/>
        <v>5.8812307692307693</v>
      </c>
      <c r="G15" s="5">
        <f t="shared" si="2"/>
        <v>5.4825714285714291</v>
      </c>
      <c r="H15" s="7">
        <f t="shared" si="3"/>
        <v>5.1370666666666667</v>
      </c>
      <c r="I15">
        <v>12</v>
      </c>
      <c r="J15" t="s">
        <v>56</v>
      </c>
      <c r="L15" t="s">
        <v>621</v>
      </c>
      <c r="M15" t="s">
        <v>19</v>
      </c>
      <c r="N15">
        <v>14.18</v>
      </c>
      <c r="O15" s="9">
        <f t="shared" si="4"/>
        <v>4.8212000000000002</v>
      </c>
      <c r="P15" s="3">
        <f t="shared" si="5"/>
        <v>7.7172307692307687</v>
      </c>
      <c r="Q15" s="5">
        <f t="shared" si="6"/>
        <v>7.1874285714285717</v>
      </c>
      <c r="R15" s="7">
        <f t="shared" si="7"/>
        <v>6.7282666666666664</v>
      </c>
      <c r="S15">
        <v>12</v>
      </c>
      <c r="T15" t="s">
        <v>66</v>
      </c>
    </row>
    <row r="16" spans="2:20" ht="14.25" x14ac:dyDescent="0.25">
      <c r="B16" t="s">
        <v>622</v>
      </c>
      <c r="C16" t="s">
        <v>21</v>
      </c>
      <c r="D16">
        <v>11.41</v>
      </c>
      <c r="E16" s="9">
        <f t="shared" si="0"/>
        <v>3.8794000000000004</v>
      </c>
      <c r="F16" s="3">
        <f t="shared" si="1"/>
        <v>6.2683076923076921</v>
      </c>
      <c r="G16" s="5">
        <f t="shared" si="2"/>
        <v>5.8420000000000005</v>
      </c>
      <c r="H16" s="7">
        <f t="shared" si="3"/>
        <v>5.4725333333333337</v>
      </c>
      <c r="I16">
        <v>12</v>
      </c>
      <c r="J16" t="s">
        <v>56</v>
      </c>
      <c r="L16" t="s">
        <v>623</v>
      </c>
      <c r="M16" t="s">
        <v>21</v>
      </c>
      <c r="N16">
        <v>15.2</v>
      </c>
      <c r="O16" s="9">
        <f t="shared" si="4"/>
        <v>5.1680000000000001</v>
      </c>
      <c r="P16" s="3">
        <f t="shared" si="5"/>
        <v>8.2507692307692313</v>
      </c>
      <c r="Q16" s="5">
        <f t="shared" si="6"/>
        <v>7.6828571428571433</v>
      </c>
      <c r="R16" s="7">
        <f t="shared" si="7"/>
        <v>7.190666666666667</v>
      </c>
      <c r="S16">
        <v>12</v>
      </c>
      <c r="T16" t="s">
        <v>66</v>
      </c>
    </row>
    <row r="17" spans="2:20" ht="14.25" x14ac:dyDescent="0.25">
      <c r="B17" t="s">
        <v>624</v>
      </c>
      <c r="C17" t="s">
        <v>23</v>
      </c>
      <c r="D17">
        <v>17.690000000000001</v>
      </c>
      <c r="E17" s="9">
        <f t="shared" si="0"/>
        <v>6.0146000000000006</v>
      </c>
      <c r="F17" s="3">
        <f t="shared" si="1"/>
        <v>9.5532307692307707</v>
      </c>
      <c r="G17" s="5">
        <f t="shared" si="2"/>
        <v>8.8922857142857161</v>
      </c>
      <c r="H17" s="7">
        <f t="shared" si="3"/>
        <v>8.3194666666666688</v>
      </c>
      <c r="I17">
        <v>12</v>
      </c>
      <c r="J17" t="s">
        <v>88</v>
      </c>
      <c r="L17" t="s">
        <v>625</v>
      </c>
      <c r="M17" t="s">
        <v>23</v>
      </c>
      <c r="N17">
        <v>22.52</v>
      </c>
      <c r="O17" s="9">
        <f t="shared" si="4"/>
        <v>7.6568000000000005</v>
      </c>
      <c r="P17" s="3">
        <f t="shared" si="5"/>
        <v>12.079692307692309</v>
      </c>
      <c r="Q17" s="5">
        <f t="shared" si="6"/>
        <v>11.238285714285716</v>
      </c>
      <c r="R17" s="7">
        <f t="shared" si="7"/>
        <v>10.509066666666667</v>
      </c>
      <c r="S17">
        <v>12</v>
      </c>
      <c r="T17" t="s">
        <v>92</v>
      </c>
    </row>
    <row r="18" spans="2:20" ht="14.25" x14ac:dyDescent="0.25">
      <c r="B18" t="s">
        <v>626</v>
      </c>
      <c r="C18" t="s">
        <v>11</v>
      </c>
      <c r="D18">
        <v>12.67</v>
      </c>
      <c r="E18" s="9">
        <f t="shared" si="0"/>
        <v>4.3078000000000003</v>
      </c>
      <c r="F18" s="3">
        <f t="shared" si="1"/>
        <v>6.9273846153846153</v>
      </c>
      <c r="G18" s="5">
        <f t="shared" si="2"/>
        <v>6.4540000000000006</v>
      </c>
      <c r="H18" s="7">
        <f t="shared" si="3"/>
        <v>6.0437333333333338</v>
      </c>
      <c r="I18">
        <v>12</v>
      </c>
      <c r="J18" t="s">
        <v>59</v>
      </c>
      <c r="L18" t="s">
        <v>627</v>
      </c>
      <c r="M18" t="s">
        <v>11</v>
      </c>
      <c r="N18">
        <v>16.18</v>
      </c>
      <c r="O18" s="9">
        <f t="shared" si="4"/>
        <v>5.5011999999999999</v>
      </c>
      <c r="P18" s="3">
        <f t="shared" si="5"/>
        <v>8.7633846153846164</v>
      </c>
      <c r="Q18" s="5">
        <f t="shared" si="6"/>
        <v>8.1588571428571441</v>
      </c>
      <c r="R18" s="7">
        <f t="shared" si="7"/>
        <v>7.6349333333333327</v>
      </c>
      <c r="S18">
        <v>12</v>
      </c>
      <c r="T18" t="s">
        <v>59</v>
      </c>
    </row>
    <row r="19" spans="2:20" ht="14.25" x14ac:dyDescent="0.25">
      <c r="B19" t="s">
        <v>628</v>
      </c>
      <c r="C19" t="s">
        <v>25</v>
      </c>
      <c r="D19">
        <v>10.83</v>
      </c>
      <c r="E19" s="9">
        <f t="shared" si="0"/>
        <v>3.6822000000000004</v>
      </c>
      <c r="F19" s="3">
        <f t="shared" si="1"/>
        <v>5.9649230769230774</v>
      </c>
      <c r="G19" s="5">
        <f t="shared" si="2"/>
        <v>5.5602857142857154</v>
      </c>
      <c r="H19" s="7">
        <f t="shared" si="3"/>
        <v>5.2096</v>
      </c>
      <c r="I19">
        <v>12</v>
      </c>
      <c r="J19" t="s">
        <v>56</v>
      </c>
      <c r="L19" t="s">
        <v>629</v>
      </c>
      <c r="M19" t="s">
        <v>25</v>
      </c>
      <c r="N19">
        <v>14.51</v>
      </c>
      <c r="O19" s="9">
        <f t="shared" si="4"/>
        <v>4.9334000000000007</v>
      </c>
      <c r="P19" s="3">
        <f t="shared" si="5"/>
        <v>7.8898461538461548</v>
      </c>
      <c r="Q19" s="5">
        <f t="shared" si="6"/>
        <v>7.3477142857142868</v>
      </c>
      <c r="R19" s="7">
        <f t="shared" si="7"/>
        <v>6.8778666666666677</v>
      </c>
      <c r="S19">
        <v>12</v>
      </c>
      <c r="T19" t="s">
        <v>88</v>
      </c>
    </row>
    <row r="20" spans="2:20" ht="14.25" x14ac:dyDescent="0.25">
      <c r="B20" t="s">
        <v>630</v>
      </c>
      <c r="C20" t="s">
        <v>14</v>
      </c>
      <c r="D20">
        <v>17.55</v>
      </c>
      <c r="E20" s="9">
        <f t="shared" si="0"/>
        <v>5.9670000000000005</v>
      </c>
      <c r="F20" s="3">
        <f t="shared" si="1"/>
        <v>9.48</v>
      </c>
      <c r="G20" s="5">
        <f t="shared" si="2"/>
        <v>8.8242857142857165</v>
      </c>
      <c r="H20" s="7">
        <f t="shared" si="3"/>
        <v>8.2560000000000002</v>
      </c>
      <c r="I20">
        <v>12</v>
      </c>
      <c r="J20" t="s">
        <v>88</v>
      </c>
      <c r="L20" t="s">
        <v>631</v>
      </c>
      <c r="M20" t="s">
        <v>14</v>
      </c>
      <c r="N20">
        <v>23.35</v>
      </c>
      <c r="O20" s="9">
        <f t="shared" si="4"/>
        <v>7.9390000000000009</v>
      </c>
      <c r="P20" s="3">
        <f t="shared" si="5"/>
        <v>12.513846153846156</v>
      </c>
      <c r="Q20" s="5">
        <f t="shared" si="6"/>
        <v>11.641428571428575</v>
      </c>
      <c r="R20" s="7">
        <f t="shared" si="7"/>
        <v>10.885333333333335</v>
      </c>
      <c r="S20">
        <v>12</v>
      </c>
      <c r="T20" t="s">
        <v>88</v>
      </c>
    </row>
    <row r="21" spans="2:20" ht="14.25" x14ac:dyDescent="0.25">
      <c r="B21" t="s">
        <v>632</v>
      </c>
      <c r="C21" t="s">
        <v>27</v>
      </c>
      <c r="D21">
        <v>11.68</v>
      </c>
      <c r="E21" s="9">
        <f t="shared" si="0"/>
        <v>3.9712000000000001</v>
      </c>
      <c r="F21" s="3">
        <f t="shared" si="1"/>
        <v>6.4095384615384612</v>
      </c>
      <c r="G21" s="5">
        <f t="shared" si="2"/>
        <v>5.9731428571428573</v>
      </c>
      <c r="H21" s="7">
        <f t="shared" si="3"/>
        <v>5.5949333333333335</v>
      </c>
      <c r="I21">
        <v>12</v>
      </c>
      <c r="J21" t="s">
        <v>88</v>
      </c>
      <c r="L21" t="s">
        <v>633</v>
      </c>
      <c r="M21" t="s">
        <v>27</v>
      </c>
      <c r="N21">
        <v>15.58</v>
      </c>
      <c r="O21" s="9">
        <f t="shared" si="4"/>
        <v>5.2972000000000001</v>
      </c>
      <c r="P21" s="3">
        <f t="shared" si="5"/>
        <v>8.449538461538463</v>
      </c>
      <c r="Q21" s="5">
        <f t="shared" si="6"/>
        <v>7.8674285714285723</v>
      </c>
      <c r="R21" s="7">
        <f t="shared" si="7"/>
        <v>7.3629333333333333</v>
      </c>
      <c r="S21">
        <v>12</v>
      </c>
      <c r="T21" t="s">
        <v>67</v>
      </c>
    </row>
    <row r="22" spans="2:20" ht="14.25" x14ac:dyDescent="0.25">
      <c r="B22" t="s">
        <v>634</v>
      </c>
      <c r="C22" t="s">
        <v>29</v>
      </c>
      <c r="D22">
        <v>19.13</v>
      </c>
      <c r="E22" s="9">
        <f t="shared" si="0"/>
        <v>6.5042</v>
      </c>
      <c r="F22" s="3">
        <f t="shared" si="1"/>
        <v>10.306461538461539</v>
      </c>
      <c r="G22" s="5">
        <f t="shared" si="2"/>
        <v>9.5917142857142874</v>
      </c>
      <c r="H22" s="7">
        <f t="shared" si="3"/>
        <v>8.9722666666666679</v>
      </c>
      <c r="I22">
        <v>12</v>
      </c>
      <c r="J22" t="s">
        <v>88</v>
      </c>
      <c r="L22" t="s">
        <v>635</v>
      </c>
      <c r="M22" t="s">
        <v>29</v>
      </c>
      <c r="N22">
        <v>24.37</v>
      </c>
      <c r="O22" s="9">
        <f t="shared" si="4"/>
        <v>8.2858000000000001</v>
      </c>
      <c r="P22" s="3">
        <f t="shared" si="5"/>
        <v>13.047384615384615</v>
      </c>
      <c r="Q22" s="5">
        <f t="shared" si="6"/>
        <v>12.136857142857144</v>
      </c>
      <c r="R22" s="7">
        <f t="shared" si="7"/>
        <v>11.347733333333334</v>
      </c>
      <c r="S22">
        <v>12</v>
      </c>
      <c r="T22" t="s">
        <v>67</v>
      </c>
    </row>
    <row r="23" spans="2:20" ht="14.25" x14ac:dyDescent="0.25">
      <c r="B23" t="s">
        <v>636</v>
      </c>
      <c r="C23" t="s">
        <v>31</v>
      </c>
      <c r="D23">
        <v>10.76</v>
      </c>
      <c r="E23" s="9">
        <f t="shared" si="0"/>
        <v>3.6584000000000003</v>
      </c>
      <c r="F23" s="3">
        <f t="shared" si="1"/>
        <v>5.9283076923076923</v>
      </c>
      <c r="G23" s="5">
        <f t="shared" si="2"/>
        <v>5.5262857142857147</v>
      </c>
      <c r="H23" s="7">
        <f t="shared" si="3"/>
        <v>5.1778666666666666</v>
      </c>
      <c r="I23">
        <v>12</v>
      </c>
      <c r="J23" t="s">
        <v>56</v>
      </c>
      <c r="L23" t="s">
        <v>637</v>
      </c>
      <c r="M23" t="s">
        <v>31</v>
      </c>
      <c r="N23">
        <v>14.32</v>
      </c>
      <c r="O23" s="9">
        <f t="shared" si="4"/>
        <v>4.8688000000000002</v>
      </c>
      <c r="P23" s="3">
        <f t="shared" si="5"/>
        <v>7.7904615384615381</v>
      </c>
      <c r="Q23" s="5">
        <f t="shared" si="6"/>
        <v>7.2554285714285722</v>
      </c>
      <c r="R23" s="7">
        <f t="shared" si="7"/>
        <v>6.7917333333333332</v>
      </c>
      <c r="S23">
        <v>12</v>
      </c>
      <c r="T23" t="s">
        <v>88</v>
      </c>
    </row>
    <row r="24" spans="2:20" ht="14.25" x14ac:dyDescent="0.25">
      <c r="B24" t="s">
        <v>638</v>
      </c>
      <c r="C24" t="s">
        <v>341</v>
      </c>
      <c r="D24">
        <v>19.13</v>
      </c>
      <c r="E24" s="9">
        <f t="shared" si="0"/>
        <v>6.5042</v>
      </c>
      <c r="F24" s="3">
        <f t="shared" si="1"/>
        <v>10.306461538461539</v>
      </c>
      <c r="G24" s="5">
        <f t="shared" si="2"/>
        <v>9.5917142857142874</v>
      </c>
      <c r="H24" s="7">
        <f t="shared" si="3"/>
        <v>8.9722666666666679</v>
      </c>
      <c r="I24">
        <v>12</v>
      </c>
      <c r="J24" t="s">
        <v>67</v>
      </c>
      <c r="L24" t="s">
        <v>639</v>
      </c>
      <c r="M24" t="s">
        <v>341</v>
      </c>
      <c r="N24">
        <v>24.37</v>
      </c>
      <c r="O24" s="9">
        <f t="shared" si="4"/>
        <v>8.2858000000000001</v>
      </c>
      <c r="P24" s="3">
        <f t="shared" si="5"/>
        <v>13.047384615384615</v>
      </c>
      <c r="Q24" s="5">
        <f t="shared" si="6"/>
        <v>12.136857142857144</v>
      </c>
      <c r="R24" s="7">
        <f t="shared" si="7"/>
        <v>11.347733333333334</v>
      </c>
      <c r="S24">
        <v>12</v>
      </c>
      <c r="T24" t="s">
        <v>69</v>
      </c>
    </row>
    <row r="25" spans="2:20" ht="14.25" x14ac:dyDescent="0.25">
      <c r="B25" t="s">
        <v>640</v>
      </c>
      <c r="C25" t="s">
        <v>32</v>
      </c>
      <c r="D25">
        <v>15.72</v>
      </c>
      <c r="E25" s="9">
        <f t="shared" si="0"/>
        <v>5.3448000000000002</v>
      </c>
      <c r="F25" s="3">
        <f t="shared" si="1"/>
        <v>8.5227692307692315</v>
      </c>
      <c r="G25" s="5">
        <f t="shared" si="2"/>
        <v>7.9354285714285719</v>
      </c>
      <c r="H25" s="7">
        <f t="shared" si="3"/>
        <v>7.4264000000000001</v>
      </c>
      <c r="I25">
        <v>12</v>
      </c>
      <c r="J25" t="s">
        <v>56</v>
      </c>
      <c r="L25" t="s">
        <v>641</v>
      </c>
      <c r="M25" t="s">
        <v>32</v>
      </c>
      <c r="N25">
        <v>21.18</v>
      </c>
      <c r="O25" s="9">
        <f t="shared" si="4"/>
        <v>7.2012</v>
      </c>
      <c r="P25" s="3">
        <f t="shared" si="5"/>
        <v>11.378769230769231</v>
      </c>
      <c r="Q25" s="5">
        <f t="shared" si="6"/>
        <v>10.587428571428573</v>
      </c>
      <c r="R25" s="7">
        <f t="shared" si="7"/>
        <v>9.9016000000000002</v>
      </c>
      <c r="S25">
        <v>12</v>
      </c>
      <c r="T25" t="s">
        <v>59</v>
      </c>
    </row>
    <row r="26" spans="2:20" ht="14.25" x14ac:dyDescent="0.25">
      <c r="B26" t="s">
        <v>642</v>
      </c>
      <c r="C26" t="s">
        <v>2</v>
      </c>
      <c r="D26">
        <v>10.34</v>
      </c>
      <c r="E26" s="9">
        <f t="shared" si="0"/>
        <v>3.5156000000000001</v>
      </c>
      <c r="F26" s="3">
        <f t="shared" si="1"/>
        <v>5.708615384615384</v>
      </c>
      <c r="G26" s="5">
        <f t="shared" si="2"/>
        <v>5.322285714285715</v>
      </c>
      <c r="H26" s="7">
        <f t="shared" si="3"/>
        <v>4.9874666666666663</v>
      </c>
      <c r="I26">
        <v>12</v>
      </c>
      <c r="J26" t="s">
        <v>56</v>
      </c>
      <c r="L26" t="s">
        <v>643</v>
      </c>
      <c r="M26" t="s">
        <v>2</v>
      </c>
      <c r="N26">
        <v>13.83</v>
      </c>
      <c r="O26" s="9">
        <f t="shared" si="4"/>
        <v>4.7022000000000004</v>
      </c>
      <c r="P26" s="3">
        <f t="shared" si="5"/>
        <v>7.5341538461538464</v>
      </c>
      <c r="Q26" s="5">
        <f t="shared" si="6"/>
        <v>7.0174285714285718</v>
      </c>
      <c r="R26" s="7">
        <f t="shared" si="7"/>
        <v>6.5696000000000003</v>
      </c>
      <c r="S26">
        <v>12</v>
      </c>
      <c r="T26" t="s">
        <v>88</v>
      </c>
    </row>
    <row r="27" spans="2:20" ht="14.25" x14ac:dyDescent="0.25">
      <c r="B27" t="s">
        <v>644</v>
      </c>
      <c r="C27" t="s">
        <v>18</v>
      </c>
      <c r="D27">
        <v>15.23</v>
      </c>
      <c r="E27" s="9">
        <f t="shared" si="0"/>
        <v>5.1782000000000004</v>
      </c>
      <c r="F27" s="3">
        <f t="shared" si="1"/>
        <v>8.2664615384615399</v>
      </c>
      <c r="G27" s="5">
        <f t="shared" si="2"/>
        <v>7.6974285714285724</v>
      </c>
      <c r="H27" s="7">
        <f t="shared" si="3"/>
        <v>7.2042666666666673</v>
      </c>
      <c r="I27">
        <v>12</v>
      </c>
      <c r="J27" t="s">
        <v>88</v>
      </c>
      <c r="L27" t="s">
        <v>645</v>
      </c>
      <c r="M27" t="s">
        <v>18</v>
      </c>
      <c r="N27">
        <v>19.829999999999998</v>
      </c>
      <c r="O27" s="9">
        <f t="shared" si="4"/>
        <v>6.7421999999999995</v>
      </c>
      <c r="P27" s="3">
        <f t="shared" si="5"/>
        <v>10.672615384615384</v>
      </c>
      <c r="Q27" s="5">
        <f t="shared" si="6"/>
        <v>9.9317142857142855</v>
      </c>
      <c r="R27" s="7">
        <f t="shared" si="7"/>
        <v>9.2896000000000001</v>
      </c>
      <c r="S27">
        <v>12</v>
      </c>
      <c r="T27" t="s">
        <v>88</v>
      </c>
    </row>
    <row r="28" spans="2:20" ht="14.25" x14ac:dyDescent="0.25">
      <c r="B28" t="s">
        <v>646</v>
      </c>
      <c r="C28" t="s">
        <v>4</v>
      </c>
      <c r="D28">
        <v>11.46</v>
      </c>
      <c r="E28" s="9">
        <f t="shared" si="0"/>
        <v>3.8964000000000008</v>
      </c>
      <c r="F28" s="3">
        <f t="shared" si="1"/>
        <v>6.2944615384615394</v>
      </c>
      <c r="G28" s="5">
        <f t="shared" si="2"/>
        <v>5.8662857142857154</v>
      </c>
      <c r="H28" s="7">
        <f t="shared" si="3"/>
        <v>5.4952000000000005</v>
      </c>
      <c r="I28">
        <v>12</v>
      </c>
      <c r="J28" t="s">
        <v>88</v>
      </c>
      <c r="L28" t="s">
        <v>647</v>
      </c>
      <c r="M28" t="s">
        <v>4</v>
      </c>
      <c r="N28">
        <v>15.3</v>
      </c>
      <c r="O28" s="9">
        <f t="shared" si="4"/>
        <v>5.2020000000000008</v>
      </c>
      <c r="P28" s="3">
        <f t="shared" si="5"/>
        <v>8.3030769230769241</v>
      </c>
      <c r="Q28" s="5">
        <f t="shared" si="6"/>
        <v>7.7314285714285731</v>
      </c>
      <c r="R28" s="7">
        <f t="shared" si="7"/>
        <v>7.2360000000000007</v>
      </c>
      <c r="S28">
        <v>12</v>
      </c>
      <c r="T28" t="s">
        <v>67</v>
      </c>
    </row>
    <row r="29" spans="2:20" ht="14.25" x14ac:dyDescent="0.25">
      <c r="B29" t="s">
        <v>648</v>
      </c>
      <c r="C29" t="s">
        <v>20</v>
      </c>
      <c r="D29">
        <v>19.13</v>
      </c>
      <c r="E29" s="9">
        <f t="shared" si="0"/>
        <v>6.5042</v>
      </c>
      <c r="F29" s="3">
        <f t="shared" si="1"/>
        <v>10.306461538461539</v>
      </c>
      <c r="G29" s="5">
        <f t="shared" si="2"/>
        <v>9.5917142857142874</v>
      </c>
      <c r="H29" s="7">
        <f t="shared" si="3"/>
        <v>8.9722666666666679</v>
      </c>
      <c r="I29">
        <v>12</v>
      </c>
      <c r="J29" t="s">
        <v>67</v>
      </c>
      <c r="L29" t="s">
        <v>649</v>
      </c>
      <c r="M29" t="s">
        <v>20</v>
      </c>
      <c r="N29">
        <v>24.37</v>
      </c>
      <c r="O29" s="9">
        <f t="shared" si="4"/>
        <v>8.2858000000000001</v>
      </c>
      <c r="P29" s="3">
        <f t="shared" si="5"/>
        <v>13.047384615384615</v>
      </c>
      <c r="Q29" s="5">
        <f t="shared" si="6"/>
        <v>12.136857142857144</v>
      </c>
      <c r="R29" s="7">
        <f t="shared" si="7"/>
        <v>11.347733333333334</v>
      </c>
      <c r="S29">
        <v>12</v>
      </c>
      <c r="T29" t="s">
        <v>69</v>
      </c>
    </row>
    <row r="30" spans="2:20" ht="14.25" x14ac:dyDescent="0.25">
      <c r="B30" t="s">
        <v>650</v>
      </c>
      <c r="C30" t="s">
        <v>22</v>
      </c>
      <c r="D30">
        <v>17.690000000000001</v>
      </c>
      <c r="E30" s="9">
        <f t="shared" si="0"/>
        <v>6.0146000000000006</v>
      </c>
      <c r="F30" s="3">
        <f t="shared" si="1"/>
        <v>9.5532307692307707</v>
      </c>
      <c r="G30" s="5">
        <f t="shared" si="2"/>
        <v>8.8922857142857161</v>
      </c>
      <c r="H30" s="7">
        <f t="shared" si="3"/>
        <v>8.3194666666666688</v>
      </c>
      <c r="I30">
        <v>12</v>
      </c>
      <c r="J30" t="s">
        <v>56</v>
      </c>
      <c r="L30" t="s">
        <v>651</v>
      </c>
      <c r="M30" t="s">
        <v>22</v>
      </c>
      <c r="N30">
        <v>22.52</v>
      </c>
      <c r="O30" s="9">
        <f t="shared" si="4"/>
        <v>7.6568000000000005</v>
      </c>
      <c r="P30" s="3">
        <f t="shared" si="5"/>
        <v>12.079692307692309</v>
      </c>
      <c r="Q30" s="5">
        <f t="shared" si="6"/>
        <v>11.238285714285716</v>
      </c>
      <c r="R30" s="7">
        <f t="shared" si="7"/>
        <v>10.509066666666667</v>
      </c>
      <c r="S30">
        <v>12</v>
      </c>
      <c r="T30" t="s">
        <v>56</v>
      </c>
    </row>
    <row r="31" spans="2:20" ht="14.25" x14ac:dyDescent="0.25">
      <c r="B31" t="s">
        <v>652</v>
      </c>
      <c r="C31" t="s">
        <v>24</v>
      </c>
      <c r="D31">
        <v>16.18</v>
      </c>
      <c r="E31" s="9">
        <f t="shared" si="0"/>
        <v>5.5011999999999999</v>
      </c>
      <c r="F31" s="3">
        <f t="shared" si="1"/>
        <v>8.7633846153846164</v>
      </c>
      <c r="G31" s="5">
        <f t="shared" si="2"/>
        <v>8.1588571428571441</v>
      </c>
      <c r="H31" s="7">
        <f t="shared" si="3"/>
        <v>7.6349333333333327</v>
      </c>
      <c r="I31">
        <v>12</v>
      </c>
      <c r="J31" t="s">
        <v>69</v>
      </c>
      <c r="L31" t="s">
        <v>653</v>
      </c>
      <c r="M31" t="s">
        <v>24</v>
      </c>
      <c r="N31">
        <v>21.18</v>
      </c>
      <c r="O31" s="9">
        <f t="shared" si="4"/>
        <v>7.2012</v>
      </c>
      <c r="P31" s="3">
        <f t="shared" si="5"/>
        <v>11.378769230769231</v>
      </c>
      <c r="Q31" s="5">
        <f t="shared" si="6"/>
        <v>10.587428571428573</v>
      </c>
      <c r="R31" s="7">
        <f t="shared" si="7"/>
        <v>9.9016000000000002</v>
      </c>
      <c r="S31">
        <v>12</v>
      </c>
      <c r="T31" t="s">
        <v>69</v>
      </c>
    </row>
    <row r="32" spans="2:20" ht="14.25" x14ac:dyDescent="0.25">
      <c r="B32" t="s">
        <v>654</v>
      </c>
      <c r="C32" t="s">
        <v>26</v>
      </c>
      <c r="D32">
        <v>13.3</v>
      </c>
      <c r="E32" s="9">
        <f t="shared" si="0"/>
        <v>4.5220000000000002</v>
      </c>
      <c r="F32" s="3">
        <f t="shared" si="1"/>
        <v>7.2569230769230773</v>
      </c>
      <c r="G32" s="5">
        <f t="shared" si="2"/>
        <v>6.7600000000000007</v>
      </c>
      <c r="H32" s="7">
        <f t="shared" si="3"/>
        <v>6.3293333333333335</v>
      </c>
      <c r="I32">
        <v>12</v>
      </c>
      <c r="J32" t="s">
        <v>67</v>
      </c>
      <c r="L32" t="s">
        <v>655</v>
      </c>
      <c r="M32" t="s">
        <v>26</v>
      </c>
      <c r="N32">
        <v>17.78</v>
      </c>
      <c r="O32" s="9">
        <f t="shared" si="4"/>
        <v>6.0452000000000012</v>
      </c>
      <c r="P32" s="3">
        <f t="shared" si="5"/>
        <v>9.6003076923076947</v>
      </c>
      <c r="Q32" s="5">
        <f t="shared" si="6"/>
        <v>8.9360000000000035</v>
      </c>
      <c r="R32" s="7">
        <f t="shared" si="7"/>
        <v>8.3602666666666696</v>
      </c>
      <c r="S32">
        <v>12</v>
      </c>
      <c r="T32" t="s">
        <v>67</v>
      </c>
    </row>
    <row r="33" spans="2:20" ht="14.25" x14ac:dyDescent="0.25">
      <c r="B33" t="s">
        <v>656</v>
      </c>
      <c r="C33" t="s">
        <v>34</v>
      </c>
      <c r="D33">
        <v>13.28</v>
      </c>
      <c r="E33" s="9">
        <f t="shared" si="0"/>
        <v>4.5152000000000001</v>
      </c>
      <c r="F33" s="3">
        <f t="shared" si="1"/>
        <v>7.2464615384615385</v>
      </c>
      <c r="G33" s="5">
        <f t="shared" si="2"/>
        <v>6.7502857142857149</v>
      </c>
      <c r="H33" s="7">
        <f t="shared" si="3"/>
        <v>6.3202666666666669</v>
      </c>
      <c r="I33">
        <v>12</v>
      </c>
      <c r="J33" t="s">
        <v>66</v>
      </c>
      <c r="L33" t="s">
        <v>657</v>
      </c>
      <c r="M33" t="s">
        <v>34</v>
      </c>
      <c r="N33">
        <v>19.829999999999998</v>
      </c>
      <c r="O33" s="9">
        <f t="shared" si="4"/>
        <v>6.7421999999999995</v>
      </c>
      <c r="P33" s="3">
        <f t="shared" si="5"/>
        <v>10.672615384615384</v>
      </c>
      <c r="Q33" s="5">
        <f t="shared" si="6"/>
        <v>9.9317142857142855</v>
      </c>
      <c r="R33" s="7">
        <f t="shared" si="7"/>
        <v>9.2896000000000001</v>
      </c>
      <c r="S33">
        <v>12</v>
      </c>
      <c r="T33" t="s">
        <v>66</v>
      </c>
    </row>
    <row r="34" spans="2:20" ht="14.25" x14ac:dyDescent="0.25">
      <c r="B34" t="s">
        <v>658</v>
      </c>
      <c r="C34" t="s">
        <v>28</v>
      </c>
      <c r="D34">
        <v>21.13</v>
      </c>
      <c r="E34" s="9">
        <f t="shared" si="0"/>
        <v>7.1842000000000006</v>
      </c>
      <c r="F34" s="3">
        <f t="shared" si="1"/>
        <v>11.352615384615385</v>
      </c>
      <c r="G34" s="5">
        <f t="shared" si="2"/>
        <v>10.563142857142859</v>
      </c>
      <c r="H34" s="7">
        <f t="shared" si="3"/>
        <v>9.8789333333333342</v>
      </c>
      <c r="I34">
        <v>12</v>
      </c>
      <c r="J34" t="s">
        <v>67</v>
      </c>
      <c r="L34" t="s">
        <v>659</v>
      </c>
      <c r="M34" t="s">
        <v>28</v>
      </c>
      <c r="N34">
        <v>26.98</v>
      </c>
      <c r="O34" s="9">
        <f t="shared" si="4"/>
        <v>9.1732000000000014</v>
      </c>
      <c r="P34" s="3">
        <f t="shared" si="5"/>
        <v>14.412615384615387</v>
      </c>
      <c r="Q34" s="5">
        <f t="shared" si="6"/>
        <v>13.404571428571431</v>
      </c>
      <c r="R34" s="7">
        <f t="shared" si="7"/>
        <v>12.530933333333335</v>
      </c>
      <c r="S34">
        <v>12</v>
      </c>
      <c r="T34" t="s">
        <v>66</v>
      </c>
    </row>
    <row r="35" spans="2:20" ht="14.25" x14ac:dyDescent="0.25">
      <c r="B35" t="s">
        <v>660</v>
      </c>
      <c r="C35" t="s">
        <v>7</v>
      </c>
      <c r="D35">
        <v>11.61</v>
      </c>
      <c r="E35" s="9">
        <f t="shared" si="0"/>
        <v>3.9474</v>
      </c>
      <c r="F35" s="3">
        <f t="shared" si="1"/>
        <v>6.3729230769230769</v>
      </c>
      <c r="G35" s="5">
        <f t="shared" si="2"/>
        <v>5.9391428571428575</v>
      </c>
      <c r="H35" s="7">
        <f t="shared" si="3"/>
        <v>5.5632000000000001</v>
      </c>
      <c r="I35">
        <v>12</v>
      </c>
      <c r="J35" t="s">
        <v>88</v>
      </c>
      <c r="L35" t="s">
        <v>661</v>
      </c>
      <c r="M35" t="s">
        <v>7</v>
      </c>
      <c r="N35">
        <v>15.47</v>
      </c>
      <c r="O35" s="9">
        <f t="shared" si="4"/>
        <v>5.2598000000000003</v>
      </c>
      <c r="P35" s="3">
        <f t="shared" si="5"/>
        <v>8.3920000000000012</v>
      </c>
      <c r="Q35" s="5">
        <f t="shared" si="6"/>
        <v>7.8140000000000009</v>
      </c>
      <c r="R35" s="7">
        <f t="shared" si="7"/>
        <v>7.3130666666666668</v>
      </c>
      <c r="S35">
        <v>12</v>
      </c>
      <c r="T35" t="s">
        <v>67</v>
      </c>
    </row>
    <row r="36" spans="2:20" ht="14.25" x14ac:dyDescent="0.25">
      <c r="B36" t="s">
        <v>662</v>
      </c>
      <c r="C36" t="s">
        <v>180</v>
      </c>
      <c r="D36">
        <v>17.690000000000001</v>
      </c>
      <c r="E36" s="9">
        <f t="shared" si="0"/>
        <v>6.0146000000000006</v>
      </c>
      <c r="F36" s="3">
        <f t="shared" si="1"/>
        <v>9.5532307692307707</v>
      </c>
      <c r="G36" s="5">
        <f t="shared" si="2"/>
        <v>8.8922857142857161</v>
      </c>
      <c r="H36" s="7">
        <f t="shared" si="3"/>
        <v>8.3194666666666688</v>
      </c>
      <c r="I36">
        <v>12</v>
      </c>
      <c r="J36" t="s">
        <v>88</v>
      </c>
      <c r="L36" t="s">
        <v>663</v>
      </c>
      <c r="M36" t="s">
        <v>180</v>
      </c>
      <c r="N36">
        <v>21.56</v>
      </c>
      <c r="O36" s="9">
        <f t="shared" si="4"/>
        <v>7.3304</v>
      </c>
      <c r="P36" s="3">
        <f t="shared" si="5"/>
        <v>11.577538461538461</v>
      </c>
      <c r="Q36" s="5">
        <f t="shared" si="6"/>
        <v>10.772000000000002</v>
      </c>
      <c r="R36" s="7">
        <f t="shared" si="7"/>
        <v>10.073866666666667</v>
      </c>
      <c r="S36">
        <v>12</v>
      </c>
      <c r="T36" t="s">
        <v>67</v>
      </c>
    </row>
    <row r="37" spans="2:20" ht="14.25" x14ac:dyDescent="0.25">
      <c r="B37" t="s">
        <v>664</v>
      </c>
      <c r="C37" t="s">
        <v>36</v>
      </c>
      <c r="D37">
        <v>13.2</v>
      </c>
      <c r="E37" s="9">
        <f t="shared" si="0"/>
        <v>4.4880000000000004</v>
      </c>
      <c r="F37" s="3">
        <f t="shared" si="1"/>
        <v>7.2046153846153853</v>
      </c>
      <c r="G37" s="5">
        <f t="shared" si="2"/>
        <v>6.7114285714285726</v>
      </c>
      <c r="H37" s="7">
        <f t="shared" si="3"/>
        <v>6.2840000000000007</v>
      </c>
      <c r="I37">
        <v>12</v>
      </c>
      <c r="J37" t="s">
        <v>67</v>
      </c>
      <c r="L37" t="s">
        <v>665</v>
      </c>
      <c r="M37" t="s">
        <v>36</v>
      </c>
      <c r="N37">
        <v>17.57</v>
      </c>
      <c r="O37" s="9">
        <f t="shared" si="4"/>
        <v>5.9738000000000007</v>
      </c>
      <c r="P37" s="3">
        <f t="shared" si="5"/>
        <v>9.4904615384615401</v>
      </c>
      <c r="Q37" s="5">
        <f t="shared" si="6"/>
        <v>8.8340000000000014</v>
      </c>
      <c r="R37" s="7">
        <f t="shared" si="7"/>
        <v>8.2650666666666677</v>
      </c>
      <c r="S37">
        <v>12</v>
      </c>
      <c r="T37" t="s">
        <v>69</v>
      </c>
    </row>
    <row r="38" spans="2:20" ht="14.25" x14ac:dyDescent="0.25">
      <c r="B38" t="s">
        <v>666</v>
      </c>
      <c r="C38" t="s">
        <v>8</v>
      </c>
      <c r="D38">
        <v>12.91</v>
      </c>
      <c r="E38" s="9">
        <f t="shared" si="0"/>
        <v>4.3894000000000002</v>
      </c>
      <c r="F38" s="3">
        <f t="shared" si="1"/>
        <v>7.0529230769230766</v>
      </c>
      <c r="G38" s="5">
        <f t="shared" si="2"/>
        <v>6.5705714285714292</v>
      </c>
      <c r="H38" s="7">
        <f t="shared" si="3"/>
        <v>6.1525333333333334</v>
      </c>
      <c r="I38">
        <v>12</v>
      </c>
      <c r="J38" t="s">
        <v>67</v>
      </c>
      <c r="L38" t="s">
        <v>667</v>
      </c>
      <c r="M38" t="s">
        <v>8</v>
      </c>
      <c r="N38">
        <v>17.329999999999998</v>
      </c>
      <c r="O38" s="9">
        <f t="shared" si="4"/>
        <v>5.8921999999999999</v>
      </c>
      <c r="P38" s="3">
        <f t="shared" si="5"/>
        <v>9.3649230769230769</v>
      </c>
      <c r="Q38" s="5">
        <f t="shared" si="6"/>
        <v>8.717428571428572</v>
      </c>
      <c r="R38" s="7">
        <f t="shared" si="7"/>
        <v>8.1562666666666672</v>
      </c>
      <c r="S38">
        <v>12</v>
      </c>
      <c r="T38" t="s">
        <v>69</v>
      </c>
    </row>
    <row r="39" spans="2:20" ht="14.25" x14ac:dyDescent="0.25">
      <c r="B39" t="s">
        <v>668</v>
      </c>
      <c r="C39" t="s">
        <v>33</v>
      </c>
      <c r="D39">
        <v>17.399999999999999</v>
      </c>
      <c r="E39" s="9">
        <f t="shared" si="0"/>
        <v>5.9160000000000004</v>
      </c>
      <c r="F39" s="3">
        <f t="shared" si="1"/>
        <v>9.401538461538463</v>
      </c>
      <c r="G39" s="5">
        <f t="shared" si="2"/>
        <v>8.7514285714285727</v>
      </c>
      <c r="H39" s="7">
        <f t="shared" si="3"/>
        <v>8.1880000000000006</v>
      </c>
      <c r="I39">
        <v>12</v>
      </c>
      <c r="J39" t="s">
        <v>92</v>
      </c>
      <c r="L39" t="s">
        <v>669</v>
      </c>
      <c r="M39" t="s">
        <v>33</v>
      </c>
      <c r="N39">
        <v>23.23</v>
      </c>
      <c r="O39" s="9">
        <f t="shared" si="4"/>
        <v>7.898200000000001</v>
      </c>
      <c r="P39" s="3">
        <f t="shared" si="5"/>
        <v>12.451076923076926</v>
      </c>
      <c r="Q39" s="5">
        <f t="shared" si="6"/>
        <v>11.58314285714286</v>
      </c>
      <c r="R39" s="7">
        <f t="shared" si="7"/>
        <v>10.830933333333336</v>
      </c>
      <c r="S39">
        <v>12</v>
      </c>
      <c r="T39" t="s">
        <v>69</v>
      </c>
    </row>
    <row r="40" spans="2:20" ht="14.25" x14ac:dyDescent="0.25">
      <c r="B40" t="s">
        <v>670</v>
      </c>
      <c r="C40" t="s">
        <v>38</v>
      </c>
      <c r="D40">
        <v>19.71</v>
      </c>
      <c r="E40" s="9">
        <f t="shared" si="0"/>
        <v>6.7014000000000005</v>
      </c>
      <c r="F40" s="3">
        <f t="shared" si="1"/>
        <v>10.609846153846155</v>
      </c>
      <c r="G40" s="5">
        <f t="shared" si="2"/>
        <v>9.8734285714285726</v>
      </c>
      <c r="H40" s="7">
        <f t="shared" si="3"/>
        <v>9.2352000000000007</v>
      </c>
      <c r="I40">
        <v>12</v>
      </c>
      <c r="J40" t="s">
        <v>88</v>
      </c>
      <c r="L40" t="s">
        <v>671</v>
      </c>
      <c r="M40" t="s">
        <v>38</v>
      </c>
      <c r="N40">
        <v>25.11</v>
      </c>
      <c r="O40" s="9">
        <f t="shared" si="4"/>
        <v>8.5373999999999999</v>
      </c>
      <c r="P40" s="3">
        <f t="shared" si="5"/>
        <v>13.434461538461539</v>
      </c>
      <c r="Q40" s="5">
        <f t="shared" si="6"/>
        <v>12.496285714285715</v>
      </c>
      <c r="R40" s="7">
        <f t="shared" si="7"/>
        <v>11.683200000000001</v>
      </c>
      <c r="S40">
        <v>12</v>
      </c>
      <c r="T40" t="s">
        <v>67</v>
      </c>
    </row>
    <row r="41" spans="2:20" ht="14.25" x14ac:dyDescent="0.25">
      <c r="B41" t="s">
        <v>672</v>
      </c>
      <c r="C41" t="s">
        <v>39</v>
      </c>
      <c r="D41">
        <v>15.09</v>
      </c>
      <c r="E41" s="9">
        <f t="shared" si="0"/>
        <v>5.1306000000000003</v>
      </c>
      <c r="F41" s="3">
        <f t="shared" si="1"/>
        <v>8.1932307692307695</v>
      </c>
      <c r="G41" s="5">
        <f t="shared" si="2"/>
        <v>7.6294285714285719</v>
      </c>
      <c r="H41" s="7">
        <f t="shared" si="3"/>
        <v>7.1408000000000005</v>
      </c>
      <c r="I41">
        <v>12</v>
      </c>
      <c r="J41" t="s">
        <v>69</v>
      </c>
      <c r="L41" t="s">
        <v>673</v>
      </c>
      <c r="M41" t="s">
        <v>39</v>
      </c>
      <c r="N41">
        <v>20.2</v>
      </c>
      <c r="O41" s="9">
        <f t="shared" si="4"/>
        <v>6.8680000000000003</v>
      </c>
      <c r="P41" s="3">
        <f t="shared" si="5"/>
        <v>10.866153846153846</v>
      </c>
      <c r="Q41" s="5">
        <f t="shared" si="6"/>
        <v>10.111428571428574</v>
      </c>
      <c r="R41" s="7">
        <f t="shared" si="7"/>
        <v>9.4573333333333345</v>
      </c>
      <c r="S41">
        <v>12</v>
      </c>
      <c r="T41" t="s">
        <v>69</v>
      </c>
    </row>
    <row r="42" spans="2:20" ht="14.25" x14ac:dyDescent="0.25">
      <c r="B42" t="s">
        <v>674</v>
      </c>
      <c r="C42" t="s">
        <v>37</v>
      </c>
      <c r="D42">
        <v>23.3</v>
      </c>
      <c r="E42" s="9">
        <f t="shared" si="0"/>
        <v>7.9220000000000006</v>
      </c>
      <c r="F42" s="3">
        <f t="shared" si="1"/>
        <v>12.487692307692308</v>
      </c>
      <c r="G42" s="5">
        <f t="shared" si="2"/>
        <v>11.617142857142859</v>
      </c>
      <c r="H42" s="7">
        <f t="shared" si="3"/>
        <v>10.862666666666668</v>
      </c>
      <c r="I42">
        <v>12</v>
      </c>
      <c r="J42" t="s">
        <v>281</v>
      </c>
      <c r="L42" t="s">
        <v>675</v>
      </c>
      <c r="M42" t="s">
        <v>37</v>
      </c>
      <c r="N42">
        <v>29.74</v>
      </c>
      <c r="O42" s="9">
        <f t="shared" si="4"/>
        <v>10.111600000000001</v>
      </c>
      <c r="P42" s="3">
        <f t="shared" si="5"/>
        <v>15.856307692307695</v>
      </c>
      <c r="Q42" s="5">
        <f t="shared" si="6"/>
        <v>14.745142857142861</v>
      </c>
      <c r="R42" s="7">
        <f t="shared" si="7"/>
        <v>13.782133333333336</v>
      </c>
      <c r="S42">
        <v>12</v>
      </c>
      <c r="T42" t="s">
        <v>281</v>
      </c>
    </row>
    <row r="43" spans="2:20" ht="14.25" x14ac:dyDescent="0.25">
      <c r="B43" t="s">
        <v>676</v>
      </c>
      <c r="C43" t="s">
        <v>40</v>
      </c>
      <c r="D43">
        <v>16.190000000000001</v>
      </c>
      <c r="E43" s="9">
        <f t="shared" si="0"/>
        <v>5.5046000000000008</v>
      </c>
      <c r="F43" s="3">
        <f t="shared" si="1"/>
        <v>8.7686153846153871</v>
      </c>
      <c r="G43" s="5">
        <f t="shared" si="2"/>
        <v>8.1637142857142884</v>
      </c>
      <c r="H43" s="7">
        <f t="shared" si="3"/>
        <v>7.6394666666666673</v>
      </c>
      <c r="I43">
        <v>12</v>
      </c>
      <c r="J43" t="s">
        <v>281</v>
      </c>
      <c r="L43" t="s">
        <v>677</v>
      </c>
      <c r="M43" t="s">
        <v>40</v>
      </c>
      <c r="N43">
        <v>24.15</v>
      </c>
      <c r="O43" s="9">
        <f t="shared" si="4"/>
        <v>8.2110000000000003</v>
      </c>
      <c r="P43" s="3">
        <f t="shared" si="5"/>
        <v>12.932307692307694</v>
      </c>
      <c r="Q43" s="5">
        <f t="shared" si="6"/>
        <v>12.030000000000001</v>
      </c>
      <c r="R43" s="7">
        <f t="shared" si="7"/>
        <v>11.248000000000001</v>
      </c>
      <c r="S43">
        <v>12</v>
      </c>
      <c r="T43" t="s">
        <v>281</v>
      </c>
    </row>
    <row r="45" spans="2:20" ht="14.25" x14ac:dyDescent="0.25">
      <c r="B45" t="s">
        <v>210</v>
      </c>
      <c r="C45" t="s">
        <v>1516</v>
      </c>
      <c r="D45" t="s">
        <v>605</v>
      </c>
      <c r="E45">
        <v>0.34</v>
      </c>
      <c r="I45" t="s">
        <v>606</v>
      </c>
      <c r="J45" t="s">
        <v>607</v>
      </c>
      <c r="L45" t="s">
        <v>210</v>
      </c>
      <c r="M45" t="s">
        <v>1516</v>
      </c>
      <c r="N45" t="s">
        <v>605</v>
      </c>
      <c r="O45">
        <v>0.34</v>
      </c>
      <c r="S45" t="s">
        <v>606</v>
      </c>
      <c r="T45" t="s">
        <v>607</v>
      </c>
    </row>
    <row r="46" spans="2:20" ht="14.25" x14ac:dyDescent="0.25">
      <c r="B46" t="s">
        <v>678</v>
      </c>
      <c r="C46" t="s">
        <v>118</v>
      </c>
      <c r="D46">
        <v>11.9</v>
      </c>
      <c r="E46" s="9">
        <f>D46*$E$45</f>
        <v>4.0460000000000003</v>
      </c>
      <c r="F46" s="3">
        <f t="shared" ref="F46:F66" si="8">(E46/0.65)+0.3</f>
        <v>6.5246153846153847</v>
      </c>
      <c r="G46" s="5">
        <f t="shared" ref="G46:G66" si="9">(E46/0.7)+0.3</f>
        <v>6.080000000000001</v>
      </c>
      <c r="H46" s="7">
        <f t="shared" ref="H46:H66" si="10">(E46/0.75)+0.3</f>
        <v>5.6946666666666665</v>
      </c>
      <c r="I46">
        <v>12</v>
      </c>
      <c r="J46" t="s">
        <v>92</v>
      </c>
      <c r="L46" t="s">
        <v>679</v>
      </c>
      <c r="M46" t="s">
        <v>118</v>
      </c>
      <c r="N46">
        <v>15.54</v>
      </c>
      <c r="O46" s="9">
        <f>N46*$O$45</f>
        <v>5.2835999999999999</v>
      </c>
      <c r="P46" s="3">
        <f t="shared" ref="P46:P66" si="11">(O46/0.65)+0.3</f>
        <v>8.4286153846153855</v>
      </c>
      <c r="Q46" s="5">
        <f t="shared" ref="Q46" si="12">(O46/0.7)+0.3</f>
        <v>7.8479999999999999</v>
      </c>
      <c r="R46" s="7">
        <f t="shared" ref="R46" si="13">(O46/0.75)+0.3</f>
        <v>7.3447999999999993</v>
      </c>
      <c r="S46">
        <v>12</v>
      </c>
      <c r="T46" t="s">
        <v>80</v>
      </c>
    </row>
    <row r="47" spans="2:20" ht="14.25" x14ac:dyDescent="0.25">
      <c r="B47" t="s">
        <v>680</v>
      </c>
      <c r="C47" t="s">
        <v>121</v>
      </c>
      <c r="D47">
        <v>12.46</v>
      </c>
      <c r="E47" s="9">
        <f t="shared" ref="E47:E66" si="14">D47*$E$45</f>
        <v>4.2364000000000006</v>
      </c>
      <c r="F47" s="3">
        <f t="shared" si="8"/>
        <v>6.8175384615384624</v>
      </c>
      <c r="G47" s="5">
        <f t="shared" si="9"/>
        <v>6.3520000000000012</v>
      </c>
      <c r="H47" s="7">
        <f t="shared" si="10"/>
        <v>5.9485333333333337</v>
      </c>
      <c r="I47">
        <v>12</v>
      </c>
      <c r="J47" t="s">
        <v>89</v>
      </c>
      <c r="L47" t="s">
        <v>681</v>
      </c>
      <c r="M47" t="s">
        <v>121</v>
      </c>
      <c r="N47">
        <v>16.07</v>
      </c>
      <c r="O47" s="9">
        <f t="shared" ref="O47:O66" si="15">N47*$O$45</f>
        <v>5.4638000000000009</v>
      </c>
      <c r="P47" s="3">
        <f t="shared" si="11"/>
        <v>8.7058461538461565</v>
      </c>
      <c r="Q47" s="5">
        <f t="shared" ref="Q47:Q66" si="16">(O47/0.7)+0.3</f>
        <v>8.1054285714285736</v>
      </c>
      <c r="R47" s="7">
        <f t="shared" ref="R47:R66" si="17">(O47/0.75)+0.3</f>
        <v>7.585066666666668</v>
      </c>
      <c r="S47">
        <v>12</v>
      </c>
      <c r="T47" t="s">
        <v>67</v>
      </c>
    </row>
    <row r="48" spans="2:20" ht="14.25" x14ac:dyDescent="0.25">
      <c r="B48" t="s">
        <v>682</v>
      </c>
      <c r="C48" t="s">
        <v>124</v>
      </c>
      <c r="D48">
        <v>12.61</v>
      </c>
      <c r="E48" s="9">
        <f t="shared" si="14"/>
        <v>4.2873999999999999</v>
      </c>
      <c r="F48" s="3">
        <f t="shared" si="8"/>
        <v>6.895999999999999</v>
      </c>
      <c r="G48" s="5">
        <f t="shared" si="9"/>
        <v>6.4248571428571433</v>
      </c>
      <c r="H48" s="7">
        <f t="shared" si="10"/>
        <v>6.0165333333333333</v>
      </c>
      <c r="I48">
        <v>12</v>
      </c>
      <c r="J48" t="s">
        <v>69</v>
      </c>
      <c r="L48" t="s">
        <v>683</v>
      </c>
      <c r="M48" t="s">
        <v>124</v>
      </c>
      <c r="N48">
        <v>16.47</v>
      </c>
      <c r="O48" s="9">
        <f t="shared" si="15"/>
        <v>5.5998000000000001</v>
      </c>
      <c r="P48" s="3">
        <f t="shared" si="11"/>
        <v>8.9150769230769242</v>
      </c>
      <c r="Q48" s="5">
        <f t="shared" si="16"/>
        <v>8.2997142857142858</v>
      </c>
      <c r="R48" s="7">
        <f t="shared" si="17"/>
        <v>7.7664</v>
      </c>
      <c r="S48">
        <v>12</v>
      </c>
      <c r="T48" t="s">
        <v>66</v>
      </c>
    </row>
    <row r="49" spans="2:20" ht="14.25" x14ac:dyDescent="0.25">
      <c r="B49" t="s">
        <v>684</v>
      </c>
      <c r="C49" t="s">
        <v>41</v>
      </c>
      <c r="D49">
        <v>11.85</v>
      </c>
      <c r="E49" s="9">
        <f t="shared" si="14"/>
        <v>4.0289999999999999</v>
      </c>
      <c r="F49" s="3">
        <f t="shared" si="8"/>
        <v>6.4984615384615383</v>
      </c>
      <c r="G49" s="5">
        <f t="shared" si="9"/>
        <v>6.055714285714286</v>
      </c>
      <c r="H49" s="7">
        <f t="shared" si="10"/>
        <v>5.6719999999999997</v>
      </c>
      <c r="I49">
        <v>12</v>
      </c>
      <c r="J49" t="s">
        <v>92</v>
      </c>
      <c r="L49" t="s">
        <v>685</v>
      </c>
      <c r="M49" t="s">
        <v>41</v>
      </c>
      <c r="N49">
        <v>15.66</v>
      </c>
      <c r="O49" s="9">
        <f t="shared" si="15"/>
        <v>5.3244000000000007</v>
      </c>
      <c r="P49" s="3">
        <f t="shared" si="11"/>
        <v>8.4913846153846162</v>
      </c>
      <c r="Q49" s="5">
        <f t="shared" si="16"/>
        <v>7.9062857142857155</v>
      </c>
      <c r="R49" s="7">
        <f t="shared" si="17"/>
        <v>7.3992000000000004</v>
      </c>
      <c r="S49">
        <v>12</v>
      </c>
      <c r="T49" t="s">
        <v>80</v>
      </c>
    </row>
    <row r="50" spans="2:20" ht="14.25" x14ac:dyDescent="0.25">
      <c r="B50" t="s">
        <v>686</v>
      </c>
      <c r="C50" t="s">
        <v>42</v>
      </c>
      <c r="D50">
        <v>12.08</v>
      </c>
      <c r="E50" s="9">
        <f t="shared" si="14"/>
        <v>4.1072000000000006</v>
      </c>
      <c r="F50" s="3">
        <f t="shared" si="8"/>
        <v>6.6187692307692316</v>
      </c>
      <c r="G50" s="5">
        <f t="shared" si="9"/>
        <v>6.1674285714285721</v>
      </c>
      <c r="H50" s="7">
        <f t="shared" si="10"/>
        <v>5.7762666666666673</v>
      </c>
      <c r="I50">
        <v>12</v>
      </c>
      <c r="J50" t="s">
        <v>92</v>
      </c>
      <c r="L50" t="s">
        <v>687</v>
      </c>
      <c r="M50" t="s">
        <v>42</v>
      </c>
      <c r="N50">
        <v>16.07</v>
      </c>
      <c r="O50" s="9">
        <f t="shared" si="15"/>
        <v>5.4638000000000009</v>
      </c>
      <c r="P50" s="3">
        <f t="shared" si="11"/>
        <v>8.7058461538461565</v>
      </c>
      <c r="Q50" s="5">
        <f t="shared" si="16"/>
        <v>8.1054285714285736</v>
      </c>
      <c r="R50" s="7">
        <f t="shared" si="17"/>
        <v>7.585066666666668</v>
      </c>
      <c r="S50">
        <v>12</v>
      </c>
      <c r="T50" t="s">
        <v>80</v>
      </c>
    </row>
    <row r="51" spans="2:20" ht="14.25" x14ac:dyDescent="0.25">
      <c r="B51" t="s">
        <v>688</v>
      </c>
      <c r="C51" t="s">
        <v>43</v>
      </c>
      <c r="D51">
        <v>13.25</v>
      </c>
      <c r="E51" s="9">
        <f t="shared" si="14"/>
        <v>4.5049999999999999</v>
      </c>
      <c r="F51" s="3">
        <f t="shared" si="8"/>
        <v>7.2307692307692299</v>
      </c>
      <c r="G51" s="5">
        <f t="shared" si="9"/>
        <v>6.7357142857142858</v>
      </c>
      <c r="H51" s="7">
        <f t="shared" si="10"/>
        <v>6.3066666666666666</v>
      </c>
      <c r="I51">
        <v>12</v>
      </c>
      <c r="J51" t="s">
        <v>81</v>
      </c>
      <c r="L51" t="s">
        <v>689</v>
      </c>
      <c r="M51" t="s">
        <v>43</v>
      </c>
      <c r="N51">
        <v>17.47</v>
      </c>
      <c r="O51" s="9">
        <f t="shared" si="15"/>
        <v>5.9398</v>
      </c>
      <c r="P51" s="3">
        <f t="shared" si="11"/>
        <v>9.4381538461538472</v>
      </c>
      <c r="Q51" s="5">
        <f t="shared" si="16"/>
        <v>8.7854285714285734</v>
      </c>
      <c r="R51" s="7">
        <f t="shared" si="17"/>
        <v>8.219733333333334</v>
      </c>
      <c r="S51">
        <v>12</v>
      </c>
      <c r="T51" t="s">
        <v>70</v>
      </c>
    </row>
    <row r="52" spans="2:20" ht="14.25" x14ac:dyDescent="0.25">
      <c r="B52" t="s">
        <v>690</v>
      </c>
      <c r="C52" t="s">
        <v>44</v>
      </c>
      <c r="D52">
        <v>12.53</v>
      </c>
      <c r="E52" s="9">
        <f t="shared" si="14"/>
        <v>4.2602000000000002</v>
      </c>
      <c r="F52" s="3">
        <f t="shared" si="8"/>
        <v>6.8541538461538458</v>
      </c>
      <c r="G52" s="5">
        <f t="shared" si="9"/>
        <v>6.3860000000000001</v>
      </c>
      <c r="H52" s="7">
        <f t="shared" si="10"/>
        <v>5.9802666666666671</v>
      </c>
      <c r="I52">
        <v>12</v>
      </c>
      <c r="J52" t="s">
        <v>69</v>
      </c>
      <c r="L52" t="s">
        <v>691</v>
      </c>
      <c r="M52" t="s">
        <v>44</v>
      </c>
      <c r="N52">
        <v>16.600000000000001</v>
      </c>
      <c r="O52" s="9">
        <f t="shared" si="15"/>
        <v>5.644000000000001</v>
      </c>
      <c r="P52" s="3">
        <f t="shared" si="11"/>
        <v>8.9830769230769256</v>
      </c>
      <c r="Q52" s="5">
        <f t="shared" si="16"/>
        <v>8.3628571428571448</v>
      </c>
      <c r="R52" s="7">
        <f t="shared" si="17"/>
        <v>7.8253333333333348</v>
      </c>
      <c r="S52">
        <v>12</v>
      </c>
      <c r="T52" t="s">
        <v>66</v>
      </c>
    </row>
    <row r="53" spans="2:20" ht="14.25" x14ac:dyDescent="0.25">
      <c r="B53" t="s">
        <v>692</v>
      </c>
      <c r="C53" t="s">
        <v>45</v>
      </c>
      <c r="D53">
        <v>16.13</v>
      </c>
      <c r="E53" s="9">
        <f t="shared" si="14"/>
        <v>5.4842000000000004</v>
      </c>
      <c r="F53" s="3">
        <f t="shared" si="8"/>
        <v>8.73723076923077</v>
      </c>
      <c r="G53" s="5">
        <f t="shared" si="9"/>
        <v>8.1345714285714301</v>
      </c>
      <c r="H53" s="7">
        <f t="shared" si="10"/>
        <v>7.6122666666666667</v>
      </c>
      <c r="I53">
        <v>12</v>
      </c>
      <c r="J53" t="s">
        <v>66</v>
      </c>
      <c r="L53" t="s">
        <v>693</v>
      </c>
      <c r="M53" t="s">
        <v>45</v>
      </c>
      <c r="N53">
        <v>21.27</v>
      </c>
      <c r="O53" s="9">
        <f t="shared" si="15"/>
        <v>7.2318000000000007</v>
      </c>
      <c r="P53" s="3">
        <f t="shared" si="11"/>
        <v>11.425846153846155</v>
      </c>
      <c r="Q53" s="5">
        <f t="shared" si="16"/>
        <v>10.63114285714286</v>
      </c>
      <c r="R53" s="7">
        <f t="shared" si="17"/>
        <v>9.942400000000001</v>
      </c>
      <c r="S53">
        <v>12</v>
      </c>
      <c r="T53" t="s">
        <v>78</v>
      </c>
    </row>
    <row r="54" spans="2:20" ht="14.25" x14ac:dyDescent="0.25">
      <c r="B54" t="s">
        <v>694</v>
      </c>
      <c r="C54" t="s">
        <v>46</v>
      </c>
      <c r="D54">
        <v>12.06</v>
      </c>
      <c r="E54" s="9">
        <f t="shared" si="14"/>
        <v>4.1004000000000005</v>
      </c>
      <c r="F54" s="3">
        <f t="shared" si="8"/>
        <v>6.6083076923076929</v>
      </c>
      <c r="G54" s="5">
        <f t="shared" si="9"/>
        <v>6.1577142857142864</v>
      </c>
      <c r="H54" s="7">
        <f t="shared" si="10"/>
        <v>5.7672000000000008</v>
      </c>
      <c r="I54">
        <v>12</v>
      </c>
      <c r="J54" t="s">
        <v>66</v>
      </c>
      <c r="L54" t="s">
        <v>695</v>
      </c>
      <c r="M54" t="s">
        <v>46</v>
      </c>
      <c r="N54">
        <v>15.94</v>
      </c>
      <c r="O54" s="9">
        <f t="shared" si="15"/>
        <v>5.4196</v>
      </c>
      <c r="P54" s="3">
        <f t="shared" si="11"/>
        <v>8.6378461538461551</v>
      </c>
      <c r="Q54" s="5">
        <f t="shared" si="16"/>
        <v>8.0422857142857147</v>
      </c>
      <c r="R54" s="7">
        <f t="shared" si="17"/>
        <v>7.5261333333333331</v>
      </c>
      <c r="S54">
        <v>12</v>
      </c>
      <c r="T54" t="s">
        <v>78</v>
      </c>
    </row>
    <row r="55" spans="2:20" ht="14.25" x14ac:dyDescent="0.25">
      <c r="B55" t="s">
        <v>696</v>
      </c>
      <c r="C55" t="s">
        <v>47</v>
      </c>
      <c r="D55">
        <v>15.38</v>
      </c>
      <c r="E55" s="9">
        <f t="shared" si="14"/>
        <v>5.2292000000000005</v>
      </c>
      <c r="F55" s="3">
        <f t="shared" si="8"/>
        <v>8.3449230769230773</v>
      </c>
      <c r="G55" s="5">
        <f t="shared" si="9"/>
        <v>7.7702857142857154</v>
      </c>
      <c r="H55" s="7">
        <f t="shared" si="10"/>
        <v>7.2722666666666669</v>
      </c>
      <c r="I55">
        <v>12</v>
      </c>
      <c r="J55" t="s">
        <v>70</v>
      </c>
      <c r="L55" t="s">
        <v>697</v>
      </c>
      <c r="M55" t="s">
        <v>47</v>
      </c>
      <c r="N55">
        <v>20.420000000000002</v>
      </c>
      <c r="O55" s="9">
        <f t="shared" si="15"/>
        <v>6.942800000000001</v>
      </c>
      <c r="P55" s="3">
        <f t="shared" si="11"/>
        <v>10.981230769230772</v>
      </c>
      <c r="Q55" s="5">
        <f t="shared" si="16"/>
        <v>10.218285714285717</v>
      </c>
      <c r="R55" s="7">
        <f t="shared" si="17"/>
        <v>9.5570666666666693</v>
      </c>
      <c r="S55">
        <v>12</v>
      </c>
      <c r="T55" t="s">
        <v>72</v>
      </c>
    </row>
    <row r="56" spans="2:20" ht="14.25" x14ac:dyDescent="0.25">
      <c r="B56" t="s">
        <v>698</v>
      </c>
      <c r="C56" t="s">
        <v>48</v>
      </c>
      <c r="D56">
        <v>13.86</v>
      </c>
      <c r="E56" s="9">
        <f t="shared" si="14"/>
        <v>4.7124000000000006</v>
      </c>
      <c r="F56" s="3">
        <f t="shared" si="8"/>
        <v>7.5498461538461541</v>
      </c>
      <c r="G56" s="5">
        <f t="shared" si="9"/>
        <v>7.0320000000000009</v>
      </c>
      <c r="H56" s="7">
        <f t="shared" si="10"/>
        <v>6.5832000000000006</v>
      </c>
      <c r="I56">
        <v>12</v>
      </c>
      <c r="J56" t="s">
        <v>70</v>
      </c>
      <c r="L56" t="s">
        <v>699</v>
      </c>
      <c r="M56" t="s">
        <v>48</v>
      </c>
      <c r="N56">
        <v>18.38</v>
      </c>
      <c r="O56" s="9">
        <f t="shared" si="15"/>
        <v>6.2492000000000001</v>
      </c>
      <c r="P56" s="3">
        <f t="shared" si="11"/>
        <v>9.9141538461538463</v>
      </c>
      <c r="Q56" s="5">
        <f t="shared" si="16"/>
        <v>9.2274285714285735</v>
      </c>
      <c r="R56" s="7">
        <f t="shared" si="17"/>
        <v>8.6322666666666681</v>
      </c>
      <c r="S56">
        <v>12</v>
      </c>
      <c r="T56" t="s">
        <v>72</v>
      </c>
    </row>
    <row r="57" spans="2:20" ht="14.25" x14ac:dyDescent="0.25">
      <c r="B57" t="s">
        <v>700</v>
      </c>
      <c r="C57" t="s">
        <v>143</v>
      </c>
      <c r="D57">
        <v>19.97</v>
      </c>
      <c r="E57" s="9">
        <f t="shared" si="14"/>
        <v>6.7898000000000005</v>
      </c>
      <c r="F57" s="3">
        <f t="shared" si="8"/>
        <v>10.745846153846156</v>
      </c>
      <c r="G57" s="5">
        <f t="shared" si="9"/>
        <v>9.9997142857142869</v>
      </c>
      <c r="H57" s="7">
        <f t="shared" si="10"/>
        <v>9.3530666666666686</v>
      </c>
      <c r="I57">
        <v>12</v>
      </c>
      <c r="J57" t="s">
        <v>66</v>
      </c>
      <c r="L57" t="s">
        <v>701</v>
      </c>
      <c r="M57" t="s">
        <v>143</v>
      </c>
      <c r="N57">
        <v>25.76</v>
      </c>
      <c r="O57" s="9">
        <f t="shared" si="15"/>
        <v>8.7584000000000017</v>
      </c>
      <c r="P57" s="3">
        <f t="shared" si="11"/>
        <v>13.774461538461541</v>
      </c>
      <c r="Q57" s="5">
        <f t="shared" si="16"/>
        <v>12.812000000000005</v>
      </c>
      <c r="R57" s="7">
        <f t="shared" si="17"/>
        <v>11.977866666666669</v>
      </c>
      <c r="S57">
        <v>12</v>
      </c>
      <c r="T57" t="s">
        <v>78</v>
      </c>
    </row>
    <row r="58" spans="2:20" ht="14.25" x14ac:dyDescent="0.25">
      <c r="B58" t="s">
        <v>702</v>
      </c>
      <c r="C58" t="s">
        <v>146</v>
      </c>
      <c r="D58">
        <v>16.53</v>
      </c>
      <c r="E58" s="9">
        <f t="shared" si="14"/>
        <v>5.6202000000000005</v>
      </c>
      <c r="F58" s="3">
        <f t="shared" si="8"/>
        <v>8.9464615384615396</v>
      </c>
      <c r="G58" s="5">
        <f t="shared" si="9"/>
        <v>8.3288571428571441</v>
      </c>
      <c r="H58" s="7">
        <f t="shared" si="10"/>
        <v>7.7936000000000005</v>
      </c>
      <c r="I58">
        <v>12</v>
      </c>
      <c r="J58" t="s">
        <v>281</v>
      </c>
      <c r="L58" t="s">
        <v>703</v>
      </c>
      <c r="M58" t="s">
        <v>146</v>
      </c>
      <c r="N58">
        <v>21.84</v>
      </c>
      <c r="O58" s="9">
        <f t="shared" si="15"/>
        <v>7.4256000000000002</v>
      </c>
      <c r="P58" s="3">
        <f t="shared" si="11"/>
        <v>11.724</v>
      </c>
      <c r="Q58" s="5">
        <f t="shared" si="16"/>
        <v>10.908000000000001</v>
      </c>
      <c r="R58" s="7">
        <f t="shared" si="17"/>
        <v>10.200800000000001</v>
      </c>
      <c r="S58">
        <v>12</v>
      </c>
      <c r="T58" t="s">
        <v>704</v>
      </c>
    </row>
    <row r="59" spans="2:20" ht="14.25" x14ac:dyDescent="0.25">
      <c r="B59" t="s">
        <v>705</v>
      </c>
      <c r="C59" t="s">
        <v>49</v>
      </c>
      <c r="D59">
        <v>16</v>
      </c>
      <c r="E59" s="9">
        <f t="shared" si="14"/>
        <v>5.44</v>
      </c>
      <c r="F59" s="3">
        <f t="shared" si="8"/>
        <v>8.6692307692307704</v>
      </c>
      <c r="G59" s="5">
        <f t="shared" si="9"/>
        <v>8.071428571428573</v>
      </c>
      <c r="H59" s="7">
        <f t="shared" si="10"/>
        <v>7.5533333333333337</v>
      </c>
      <c r="I59">
        <v>12</v>
      </c>
      <c r="J59" t="s">
        <v>281</v>
      </c>
      <c r="L59" t="s">
        <v>706</v>
      </c>
      <c r="M59" t="s">
        <v>49</v>
      </c>
      <c r="N59">
        <v>21.2</v>
      </c>
      <c r="O59" s="9">
        <f t="shared" si="15"/>
        <v>7.2080000000000002</v>
      </c>
      <c r="P59" s="3">
        <f t="shared" si="11"/>
        <v>11.389230769230769</v>
      </c>
      <c r="Q59" s="5">
        <f t="shared" si="16"/>
        <v>10.59714285714286</v>
      </c>
      <c r="R59" s="7">
        <f t="shared" si="17"/>
        <v>9.9106666666666676</v>
      </c>
      <c r="S59">
        <v>12</v>
      </c>
      <c r="T59" t="s">
        <v>704</v>
      </c>
    </row>
    <row r="60" spans="2:20" ht="14.25" x14ac:dyDescent="0.25">
      <c r="B60" t="s">
        <v>707</v>
      </c>
      <c r="C60" t="s">
        <v>151</v>
      </c>
      <c r="D60">
        <v>17.260000000000002</v>
      </c>
      <c r="E60" s="9">
        <f t="shared" si="14"/>
        <v>5.8684000000000012</v>
      </c>
      <c r="F60" s="3">
        <f t="shared" si="8"/>
        <v>9.3283076923076944</v>
      </c>
      <c r="G60" s="5">
        <f t="shared" si="9"/>
        <v>8.6834285714285748</v>
      </c>
      <c r="H60" s="7">
        <f t="shared" si="10"/>
        <v>8.1245333333333356</v>
      </c>
      <c r="I60">
        <v>12</v>
      </c>
      <c r="J60" t="s">
        <v>68</v>
      </c>
      <c r="L60" t="s">
        <v>708</v>
      </c>
      <c r="M60" t="s">
        <v>151</v>
      </c>
      <c r="N60">
        <v>22.46</v>
      </c>
      <c r="O60" s="9">
        <f t="shared" si="15"/>
        <v>7.636400000000001</v>
      </c>
      <c r="P60" s="3">
        <f t="shared" si="11"/>
        <v>12.048307692307693</v>
      </c>
      <c r="Q60" s="5">
        <f t="shared" si="16"/>
        <v>11.20914285714286</v>
      </c>
      <c r="R60" s="7">
        <f t="shared" si="17"/>
        <v>10.481866666666669</v>
      </c>
      <c r="S60">
        <v>12</v>
      </c>
      <c r="T60" t="s">
        <v>709</v>
      </c>
    </row>
    <row r="61" spans="2:20" ht="14.25" x14ac:dyDescent="0.25">
      <c r="B61" t="s">
        <v>710</v>
      </c>
      <c r="C61" t="s">
        <v>50</v>
      </c>
      <c r="D61">
        <v>14.19</v>
      </c>
      <c r="E61" s="9">
        <f t="shared" si="14"/>
        <v>4.8246000000000002</v>
      </c>
      <c r="F61" s="3">
        <f t="shared" si="8"/>
        <v>7.7224615384615385</v>
      </c>
      <c r="G61" s="5">
        <f t="shared" si="9"/>
        <v>7.1922857142857151</v>
      </c>
      <c r="H61" s="7">
        <f t="shared" si="10"/>
        <v>6.7328000000000001</v>
      </c>
      <c r="I61">
        <v>12</v>
      </c>
      <c r="J61" t="s">
        <v>81</v>
      </c>
      <c r="L61" t="s">
        <v>711</v>
      </c>
      <c r="M61" t="s">
        <v>50</v>
      </c>
      <c r="N61">
        <v>18.7</v>
      </c>
      <c r="O61" s="9">
        <f t="shared" si="15"/>
        <v>6.3580000000000005</v>
      </c>
      <c r="P61" s="3">
        <f t="shared" si="11"/>
        <v>10.081538461538463</v>
      </c>
      <c r="Q61" s="5">
        <f t="shared" si="16"/>
        <v>9.3828571428571443</v>
      </c>
      <c r="R61" s="7">
        <f t="shared" si="17"/>
        <v>8.7773333333333348</v>
      </c>
      <c r="S61">
        <v>12</v>
      </c>
      <c r="T61" t="s">
        <v>70</v>
      </c>
    </row>
    <row r="62" spans="2:20" ht="14.25" x14ac:dyDescent="0.25">
      <c r="B62" t="s">
        <v>712</v>
      </c>
      <c r="C62" t="s">
        <v>51</v>
      </c>
      <c r="D62">
        <v>16.68</v>
      </c>
      <c r="E62" s="9">
        <f t="shared" si="14"/>
        <v>5.6712000000000007</v>
      </c>
      <c r="F62" s="3">
        <f t="shared" si="8"/>
        <v>9.0249230769230788</v>
      </c>
      <c r="G62" s="5">
        <f t="shared" si="9"/>
        <v>8.4017142857142879</v>
      </c>
      <c r="H62" s="7">
        <f t="shared" si="10"/>
        <v>7.861600000000001</v>
      </c>
      <c r="I62">
        <v>12</v>
      </c>
      <c r="J62" t="s">
        <v>68</v>
      </c>
      <c r="L62" t="s">
        <v>713</v>
      </c>
      <c r="M62" t="s">
        <v>51</v>
      </c>
      <c r="N62">
        <v>22.04</v>
      </c>
      <c r="O62" s="9">
        <f t="shared" si="15"/>
        <v>7.4935999999999998</v>
      </c>
      <c r="P62" s="3">
        <f t="shared" si="11"/>
        <v>11.828615384615384</v>
      </c>
      <c r="Q62" s="5">
        <f t="shared" si="16"/>
        <v>11.005142857142859</v>
      </c>
      <c r="R62" s="7">
        <f t="shared" si="17"/>
        <v>10.291466666666667</v>
      </c>
      <c r="S62">
        <v>12</v>
      </c>
      <c r="T62" t="s">
        <v>709</v>
      </c>
    </row>
    <row r="63" spans="2:20" ht="14.25" x14ac:dyDescent="0.25">
      <c r="B63" t="s">
        <v>714</v>
      </c>
      <c r="C63" t="s">
        <v>52</v>
      </c>
      <c r="D63">
        <v>16.36</v>
      </c>
      <c r="E63" s="9">
        <f t="shared" si="14"/>
        <v>5.5624000000000002</v>
      </c>
      <c r="F63" s="3">
        <f t="shared" si="8"/>
        <v>8.8575384615384625</v>
      </c>
      <c r="G63" s="5">
        <f t="shared" si="9"/>
        <v>8.2462857142857153</v>
      </c>
      <c r="H63" s="7">
        <f t="shared" si="10"/>
        <v>7.7165333333333335</v>
      </c>
      <c r="I63">
        <v>12</v>
      </c>
      <c r="J63" t="s">
        <v>68</v>
      </c>
      <c r="L63" t="s">
        <v>715</v>
      </c>
      <c r="M63" t="s">
        <v>52</v>
      </c>
      <c r="N63">
        <v>21.62</v>
      </c>
      <c r="O63" s="9">
        <f t="shared" si="15"/>
        <v>7.3508000000000004</v>
      </c>
      <c r="P63" s="3">
        <f t="shared" si="11"/>
        <v>11.608923076923078</v>
      </c>
      <c r="Q63" s="5">
        <f t="shared" si="16"/>
        <v>10.801142857142858</v>
      </c>
      <c r="R63" s="7">
        <f t="shared" si="17"/>
        <v>10.101066666666668</v>
      </c>
      <c r="S63">
        <v>12</v>
      </c>
      <c r="T63" t="s">
        <v>709</v>
      </c>
    </row>
    <row r="64" spans="2:20" ht="14.25" x14ac:dyDescent="0.25">
      <c r="B64" t="s">
        <v>716</v>
      </c>
      <c r="C64" t="s">
        <v>162</v>
      </c>
      <c r="D64">
        <v>24.58</v>
      </c>
      <c r="E64" s="9">
        <f t="shared" si="14"/>
        <v>8.3572000000000006</v>
      </c>
      <c r="F64" s="3">
        <f t="shared" si="8"/>
        <v>13.15723076923077</v>
      </c>
      <c r="G64" s="5">
        <f t="shared" si="9"/>
        <v>12.238857142857146</v>
      </c>
      <c r="H64" s="7">
        <f t="shared" si="10"/>
        <v>11.442933333333334</v>
      </c>
      <c r="I64">
        <v>12</v>
      </c>
      <c r="J64" t="s">
        <v>709</v>
      </c>
      <c r="L64" t="s">
        <v>717</v>
      </c>
      <c r="M64" t="s">
        <v>162</v>
      </c>
      <c r="N64">
        <v>31.6</v>
      </c>
      <c r="O64" s="9">
        <f t="shared" si="15"/>
        <v>10.744000000000002</v>
      </c>
      <c r="P64" s="3">
        <f t="shared" si="11"/>
        <v>16.829230769230772</v>
      </c>
      <c r="Q64" s="5">
        <f t="shared" si="16"/>
        <v>15.648571428571433</v>
      </c>
      <c r="R64" s="7">
        <f t="shared" si="17"/>
        <v>14.625333333333336</v>
      </c>
      <c r="S64">
        <v>12</v>
      </c>
      <c r="T64" t="s">
        <v>82</v>
      </c>
    </row>
    <row r="65" spans="2:20" ht="14.25" x14ac:dyDescent="0.25">
      <c r="B65" t="s">
        <v>718</v>
      </c>
      <c r="C65" t="s">
        <v>53</v>
      </c>
      <c r="D65">
        <v>18.54</v>
      </c>
      <c r="E65" s="9">
        <f t="shared" si="14"/>
        <v>6.3036000000000003</v>
      </c>
      <c r="F65" s="3">
        <f t="shared" si="8"/>
        <v>9.9978461538461545</v>
      </c>
      <c r="G65" s="5">
        <f t="shared" si="9"/>
        <v>9.305142857142858</v>
      </c>
      <c r="H65" s="7">
        <f t="shared" si="10"/>
        <v>8.7048000000000005</v>
      </c>
      <c r="I65">
        <v>12</v>
      </c>
      <c r="J65" t="s">
        <v>719</v>
      </c>
      <c r="L65" t="s">
        <v>720</v>
      </c>
      <c r="M65" t="s">
        <v>53</v>
      </c>
      <c r="N65">
        <v>24.52</v>
      </c>
      <c r="O65" s="9">
        <f t="shared" si="15"/>
        <v>8.3368000000000002</v>
      </c>
      <c r="P65" s="3">
        <f t="shared" si="11"/>
        <v>13.125846153846155</v>
      </c>
      <c r="Q65" s="5">
        <f t="shared" si="16"/>
        <v>12.209714285714288</v>
      </c>
      <c r="R65" s="7">
        <f t="shared" si="17"/>
        <v>11.415733333333334</v>
      </c>
      <c r="S65">
        <v>12</v>
      </c>
      <c r="T65" t="s">
        <v>71</v>
      </c>
    </row>
    <row r="66" spans="2:20" ht="14.25" x14ac:dyDescent="0.25">
      <c r="B66" t="s">
        <v>721</v>
      </c>
      <c r="C66" t="s">
        <v>55</v>
      </c>
      <c r="D66">
        <v>21.75</v>
      </c>
      <c r="E66" s="9">
        <f t="shared" si="14"/>
        <v>7.3950000000000005</v>
      </c>
      <c r="F66" s="3">
        <f t="shared" si="8"/>
        <v>11.676923076923078</v>
      </c>
      <c r="G66" s="5">
        <f t="shared" si="9"/>
        <v>10.864285714285716</v>
      </c>
      <c r="H66" s="7">
        <f t="shared" si="10"/>
        <v>10.160000000000002</v>
      </c>
      <c r="I66">
        <v>12</v>
      </c>
      <c r="J66" t="s">
        <v>74</v>
      </c>
      <c r="L66" t="s">
        <v>722</v>
      </c>
      <c r="M66" t="s">
        <v>55</v>
      </c>
      <c r="N66">
        <v>28.42</v>
      </c>
      <c r="O66" s="9">
        <f t="shared" si="15"/>
        <v>9.6628000000000007</v>
      </c>
      <c r="P66" s="3">
        <f t="shared" si="11"/>
        <v>15.165846153846156</v>
      </c>
      <c r="Q66" s="5">
        <f t="shared" si="16"/>
        <v>14.104000000000003</v>
      </c>
      <c r="R66" s="7">
        <f t="shared" si="17"/>
        <v>13.183733333333334</v>
      </c>
      <c r="S66">
        <v>12</v>
      </c>
      <c r="T66" t="s">
        <v>723</v>
      </c>
    </row>
    <row r="68" spans="2:20" ht="14.25" x14ac:dyDescent="0.25">
      <c r="B68" t="s">
        <v>210</v>
      </c>
      <c r="C68" t="s">
        <v>1517</v>
      </c>
      <c r="D68" t="s">
        <v>605</v>
      </c>
      <c r="E68">
        <v>0.34</v>
      </c>
      <c r="I68" t="s">
        <v>606</v>
      </c>
      <c r="J68" t="s">
        <v>607</v>
      </c>
      <c r="L68" t="s">
        <v>210</v>
      </c>
      <c r="M68" t="s">
        <v>1517</v>
      </c>
      <c r="N68" t="s">
        <v>605</v>
      </c>
      <c r="O68">
        <v>0.34</v>
      </c>
      <c r="S68" t="s">
        <v>606</v>
      </c>
      <c r="T68" t="s">
        <v>607</v>
      </c>
    </row>
    <row r="69" spans="2:20" ht="14.25" x14ac:dyDescent="0.25">
      <c r="B69" t="s">
        <v>724</v>
      </c>
      <c r="C69" t="s">
        <v>174</v>
      </c>
      <c r="D69">
        <v>20.66</v>
      </c>
      <c r="E69" s="9">
        <f>D69*$E$68</f>
        <v>7.0244000000000009</v>
      </c>
      <c r="F69" s="3">
        <f t="shared" ref="F69:F76" si="18">(E69/0.65)+0.3</f>
        <v>11.106769230769233</v>
      </c>
      <c r="G69" s="5">
        <f t="shared" ref="G69" si="19">(E69/0.7)+0.3</f>
        <v>10.334857142857146</v>
      </c>
      <c r="H69" s="7">
        <f t="shared" ref="H69" si="20">(E69/0.75)+0.3</f>
        <v>9.6658666666666679</v>
      </c>
      <c r="I69">
        <v>6</v>
      </c>
      <c r="J69" t="s">
        <v>67</v>
      </c>
      <c r="L69" t="s">
        <v>725</v>
      </c>
      <c r="M69" t="s">
        <v>174</v>
      </c>
      <c r="N69">
        <v>28.36</v>
      </c>
      <c r="O69" s="9">
        <f>N69*$O$68</f>
        <v>9.6424000000000003</v>
      </c>
      <c r="P69" s="3">
        <f>(O69/0.65)+0.3</f>
        <v>15.134461538461538</v>
      </c>
      <c r="Q69" s="5">
        <f t="shared" ref="Q69" si="21">(O69/0.7)+0.3</f>
        <v>14.074857142857145</v>
      </c>
      <c r="R69" s="7">
        <f t="shared" ref="R69" si="22">(O69/0.75)+0.3</f>
        <v>13.156533333333334</v>
      </c>
      <c r="S69">
        <v>6</v>
      </c>
      <c r="T69" t="s">
        <v>92</v>
      </c>
    </row>
    <row r="70" spans="2:20" ht="14.25" x14ac:dyDescent="0.25">
      <c r="B70" t="s">
        <v>726</v>
      </c>
      <c r="C70" t="s">
        <v>178</v>
      </c>
      <c r="D70">
        <v>20.64</v>
      </c>
      <c r="E70" s="9">
        <f t="shared" ref="E70:E76" si="23">D70*$E$68</f>
        <v>7.0176000000000007</v>
      </c>
      <c r="F70" s="3">
        <f t="shared" si="18"/>
        <v>11.096307692307693</v>
      </c>
      <c r="G70" s="5">
        <f t="shared" ref="G70:G76" si="24">(E70/0.7)+0.3</f>
        <v>10.325142857142859</v>
      </c>
      <c r="H70" s="7">
        <f t="shared" ref="H70:H76" si="25">(E70/0.75)+0.3</f>
        <v>9.6568000000000023</v>
      </c>
      <c r="I70">
        <v>6</v>
      </c>
      <c r="J70" t="s">
        <v>80</v>
      </c>
      <c r="L70" t="s">
        <v>727</v>
      </c>
      <c r="M70" t="s">
        <v>178</v>
      </c>
      <c r="N70">
        <v>27.76</v>
      </c>
      <c r="O70" s="9">
        <f t="shared" ref="O70:O76" si="26">N70*$O$68</f>
        <v>9.4384000000000015</v>
      </c>
      <c r="P70" s="3">
        <f t="shared" ref="P70:P76" si="27">(O70/0.65)+0.3</f>
        <v>14.820615384615387</v>
      </c>
      <c r="Q70" s="5">
        <f t="shared" ref="Q70:Q76" si="28">(O70/0.7)+0.3</f>
        <v>13.783428571428574</v>
      </c>
      <c r="R70" s="7">
        <f t="shared" ref="R70:R76" si="29">(O70/0.75)+0.3</f>
        <v>12.884533333333335</v>
      </c>
      <c r="S70">
        <v>6</v>
      </c>
      <c r="T70" t="s">
        <v>69</v>
      </c>
    </row>
    <row r="71" spans="2:20" ht="14.25" x14ac:dyDescent="0.25">
      <c r="B71" t="s">
        <v>728</v>
      </c>
      <c r="C71" t="s">
        <v>186</v>
      </c>
      <c r="D71">
        <v>24.04</v>
      </c>
      <c r="E71" s="9">
        <f t="shared" si="23"/>
        <v>8.1736000000000004</v>
      </c>
      <c r="F71" s="3">
        <f t="shared" si="18"/>
        <v>12.874769230769232</v>
      </c>
      <c r="G71" s="5">
        <f t="shared" si="24"/>
        <v>11.976571428571431</v>
      </c>
      <c r="H71" s="7">
        <f t="shared" si="25"/>
        <v>11.198133333333335</v>
      </c>
      <c r="I71">
        <v>6</v>
      </c>
      <c r="J71" t="s">
        <v>78</v>
      </c>
      <c r="L71" t="s">
        <v>729</v>
      </c>
      <c r="M71" t="s">
        <v>186</v>
      </c>
      <c r="N71">
        <v>32.369999999999997</v>
      </c>
      <c r="O71" s="9">
        <f t="shared" si="26"/>
        <v>11.005800000000001</v>
      </c>
      <c r="P71" s="3">
        <f t="shared" si="27"/>
        <v>17.232000000000003</v>
      </c>
      <c r="Q71" s="5">
        <f t="shared" si="28"/>
        <v>16.022571428571432</v>
      </c>
      <c r="R71" s="7">
        <f t="shared" si="29"/>
        <v>14.974400000000001</v>
      </c>
      <c r="S71">
        <v>6</v>
      </c>
      <c r="T71" t="s">
        <v>81</v>
      </c>
    </row>
    <row r="72" spans="2:20" ht="14.25" x14ac:dyDescent="0.25">
      <c r="B72" t="s">
        <v>730</v>
      </c>
      <c r="C72" t="s">
        <v>189</v>
      </c>
      <c r="D72">
        <v>26.36</v>
      </c>
      <c r="E72" s="9">
        <f t="shared" si="23"/>
        <v>8.9624000000000006</v>
      </c>
      <c r="F72" s="3">
        <f t="shared" si="18"/>
        <v>14.088307692307694</v>
      </c>
      <c r="G72" s="5">
        <f t="shared" si="24"/>
        <v>13.103428571428573</v>
      </c>
      <c r="H72" s="7">
        <f t="shared" si="25"/>
        <v>12.249866666666668</v>
      </c>
      <c r="I72">
        <v>6</v>
      </c>
      <c r="J72" t="s">
        <v>70</v>
      </c>
      <c r="L72" t="s">
        <v>731</v>
      </c>
      <c r="M72" t="s">
        <v>189</v>
      </c>
      <c r="N72">
        <v>35.46</v>
      </c>
      <c r="O72" s="9">
        <f t="shared" si="26"/>
        <v>12.056400000000002</v>
      </c>
      <c r="P72" s="3">
        <f t="shared" si="27"/>
        <v>18.848307692307696</v>
      </c>
      <c r="Q72" s="5">
        <f t="shared" si="28"/>
        <v>17.523428571428575</v>
      </c>
      <c r="R72" s="7">
        <f t="shared" si="29"/>
        <v>16.375200000000003</v>
      </c>
      <c r="S72">
        <v>6</v>
      </c>
      <c r="T72" t="s">
        <v>72</v>
      </c>
    </row>
    <row r="73" spans="2:20" ht="14.25" x14ac:dyDescent="0.25">
      <c r="B73" t="s">
        <v>732</v>
      </c>
      <c r="C73" t="s">
        <v>192</v>
      </c>
      <c r="D73">
        <v>24.66</v>
      </c>
      <c r="E73" s="9">
        <f t="shared" si="23"/>
        <v>8.3844000000000012</v>
      </c>
      <c r="F73" s="3">
        <f t="shared" si="18"/>
        <v>13.199076923076925</v>
      </c>
      <c r="G73" s="5">
        <f t="shared" si="24"/>
        <v>12.277714285714289</v>
      </c>
      <c r="H73" s="7">
        <f t="shared" si="25"/>
        <v>11.479200000000002</v>
      </c>
      <c r="I73">
        <v>6</v>
      </c>
      <c r="J73" t="s">
        <v>69</v>
      </c>
      <c r="L73" t="s">
        <v>733</v>
      </c>
      <c r="M73" t="s">
        <v>192</v>
      </c>
      <c r="N73">
        <v>33.19</v>
      </c>
      <c r="O73" s="9">
        <f t="shared" si="26"/>
        <v>11.284599999999999</v>
      </c>
      <c r="P73" s="3">
        <f t="shared" si="27"/>
        <v>17.660923076923076</v>
      </c>
      <c r="Q73" s="5">
        <f t="shared" si="28"/>
        <v>16.420857142857145</v>
      </c>
      <c r="R73" s="7">
        <f t="shared" si="29"/>
        <v>15.346133333333333</v>
      </c>
      <c r="S73">
        <v>6</v>
      </c>
      <c r="T73" t="s">
        <v>66</v>
      </c>
    </row>
    <row r="74" spans="2:20" ht="14.25" x14ac:dyDescent="0.25">
      <c r="B74" t="s">
        <v>734</v>
      </c>
      <c r="C74" t="s">
        <v>195</v>
      </c>
      <c r="D74">
        <v>27.84</v>
      </c>
      <c r="E74" s="9">
        <f t="shared" si="23"/>
        <v>9.4656000000000002</v>
      </c>
      <c r="F74" s="3">
        <f t="shared" si="18"/>
        <v>14.862461538461538</v>
      </c>
      <c r="G74" s="5">
        <f t="shared" si="24"/>
        <v>13.822285714285716</v>
      </c>
      <c r="H74" s="7">
        <f t="shared" si="25"/>
        <v>12.920800000000002</v>
      </c>
      <c r="I74">
        <v>6</v>
      </c>
      <c r="J74" t="s">
        <v>72</v>
      </c>
      <c r="L74" t="s">
        <v>735</v>
      </c>
      <c r="M74" t="s">
        <v>195</v>
      </c>
      <c r="N74">
        <v>38.630000000000003</v>
      </c>
      <c r="O74" s="9">
        <f t="shared" si="26"/>
        <v>13.134200000000002</v>
      </c>
      <c r="P74" s="3">
        <f t="shared" si="27"/>
        <v>20.50646153846154</v>
      </c>
      <c r="Q74" s="5">
        <f t="shared" si="28"/>
        <v>19.063142857142861</v>
      </c>
      <c r="R74" s="7">
        <f t="shared" si="29"/>
        <v>17.81226666666667</v>
      </c>
      <c r="S74">
        <v>6</v>
      </c>
      <c r="T74" t="s">
        <v>281</v>
      </c>
    </row>
    <row r="75" spans="2:20" ht="14.25" x14ac:dyDescent="0.25">
      <c r="B75" t="s">
        <v>736</v>
      </c>
      <c r="C75" t="s">
        <v>199</v>
      </c>
      <c r="D75">
        <v>27.38</v>
      </c>
      <c r="E75" s="9">
        <f t="shared" si="23"/>
        <v>9.3092000000000006</v>
      </c>
      <c r="F75" s="3">
        <f t="shared" si="18"/>
        <v>14.621846153846155</v>
      </c>
      <c r="G75" s="5">
        <f t="shared" si="24"/>
        <v>13.598857142857145</v>
      </c>
      <c r="H75" s="7">
        <f t="shared" si="25"/>
        <v>12.712266666666668</v>
      </c>
      <c r="I75">
        <v>6</v>
      </c>
      <c r="J75" t="s">
        <v>70</v>
      </c>
      <c r="L75" t="s">
        <v>737</v>
      </c>
      <c r="M75" t="s">
        <v>199</v>
      </c>
      <c r="N75">
        <v>38.020000000000003</v>
      </c>
      <c r="O75" s="9">
        <f t="shared" si="26"/>
        <v>12.926800000000002</v>
      </c>
      <c r="P75" s="3">
        <f t="shared" si="27"/>
        <v>20.187384615384619</v>
      </c>
      <c r="Q75" s="5">
        <f t="shared" si="28"/>
        <v>18.766857142857148</v>
      </c>
      <c r="R75" s="7">
        <f t="shared" si="29"/>
        <v>17.535733333333337</v>
      </c>
      <c r="S75">
        <v>6</v>
      </c>
      <c r="T75" t="s">
        <v>72</v>
      </c>
    </row>
    <row r="76" spans="2:20" ht="14.25" x14ac:dyDescent="0.25">
      <c r="B76" t="s">
        <v>738</v>
      </c>
      <c r="C76" t="s">
        <v>202</v>
      </c>
      <c r="D76">
        <v>31.16</v>
      </c>
      <c r="E76" s="9">
        <f t="shared" si="23"/>
        <v>10.5944</v>
      </c>
      <c r="F76" s="3">
        <f t="shared" si="18"/>
        <v>16.599076923076925</v>
      </c>
      <c r="G76" s="5">
        <f t="shared" si="24"/>
        <v>15.434857142857146</v>
      </c>
      <c r="H76" s="7">
        <f t="shared" si="25"/>
        <v>14.425866666666668</v>
      </c>
      <c r="I76">
        <v>6</v>
      </c>
      <c r="J76" t="s">
        <v>73</v>
      </c>
      <c r="L76" t="s">
        <v>739</v>
      </c>
      <c r="M76" t="s">
        <v>202</v>
      </c>
      <c r="N76">
        <v>43.27</v>
      </c>
      <c r="O76" s="9">
        <f t="shared" si="26"/>
        <v>14.711800000000002</v>
      </c>
      <c r="P76" s="3">
        <f t="shared" si="27"/>
        <v>22.933538461538465</v>
      </c>
      <c r="Q76" s="5">
        <f t="shared" si="28"/>
        <v>21.316857142857149</v>
      </c>
      <c r="R76" s="7">
        <f t="shared" si="29"/>
        <v>19.915733333333336</v>
      </c>
      <c r="S76">
        <v>6</v>
      </c>
      <c r="T76" t="s">
        <v>68</v>
      </c>
    </row>
    <row r="80" spans="2:20" ht="16.350000000000001" x14ac:dyDescent="0.25">
      <c r="B80" s="59"/>
    </row>
    <row r="81" spans="2:2" ht="16.350000000000001" x14ac:dyDescent="0.25">
      <c r="B81" s="53"/>
    </row>
    <row r="82" spans="2:2" ht="16.350000000000001" x14ac:dyDescent="0.25">
      <c r="B82" s="53"/>
    </row>
    <row r="83" spans="2:2" ht="16.350000000000001" x14ac:dyDescent="0.25">
      <c r="B83" s="53"/>
    </row>
    <row r="84" spans="2:2" ht="16.350000000000001" x14ac:dyDescent="0.25">
      <c r="B84" s="59"/>
    </row>
    <row r="85" spans="2:2" ht="16.350000000000001" x14ac:dyDescent="0.25">
      <c r="B85" s="53"/>
    </row>
    <row r="86" spans="2:2" ht="16.350000000000001" x14ac:dyDescent="0.25">
      <c r="B86" s="5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26A1-8DB4-462A-A435-4F9A62D58718}">
  <sheetPr>
    <tabColor theme="5" tint="-0.499984740745262"/>
  </sheetPr>
  <dimension ref="B2:Y62"/>
  <sheetViews>
    <sheetView workbookViewId="0">
      <selection activeCell="L11" sqref="L11"/>
    </sheetView>
  </sheetViews>
  <sheetFormatPr defaultRowHeight="15" x14ac:dyDescent="0.25"/>
  <cols>
    <col min="3" max="3" width="9.140625" bestFit="1" customWidth="1"/>
    <col min="4" max="4" width="13.42578125" bestFit="1" customWidth="1"/>
    <col min="5" max="6" width="10.28515625" bestFit="1" customWidth="1"/>
    <col min="14" max="14" width="16.5703125" customWidth="1"/>
  </cols>
  <sheetData>
    <row r="2" spans="2:20" x14ac:dyDescent="0.25">
      <c r="C2" s="21"/>
      <c r="D2" s="22"/>
      <c r="E2" s="23"/>
      <c r="F2" s="24"/>
    </row>
    <row r="3" spans="2:20" x14ac:dyDescent="0.25">
      <c r="C3" s="11" t="s">
        <v>1673</v>
      </c>
      <c r="D3" s="11" t="s">
        <v>1378</v>
      </c>
      <c r="E3" s="11" t="s">
        <v>1379</v>
      </c>
      <c r="F3" s="11" t="s">
        <v>1380</v>
      </c>
    </row>
    <row r="6" spans="2:20" x14ac:dyDescent="0.25">
      <c r="B6" t="s">
        <v>864</v>
      </c>
    </row>
    <row r="7" spans="2:20" x14ac:dyDescent="0.25">
      <c r="B7" t="s">
        <v>865</v>
      </c>
    </row>
    <row r="8" spans="2:20" x14ac:dyDescent="0.25">
      <c r="B8" t="s">
        <v>84</v>
      </c>
      <c r="C8" t="s">
        <v>745</v>
      </c>
      <c r="D8" t="s">
        <v>866</v>
      </c>
      <c r="L8" t="s">
        <v>84</v>
      </c>
      <c r="M8" t="s">
        <v>745</v>
      </c>
      <c r="N8" t="s">
        <v>867</v>
      </c>
    </row>
    <row r="9" spans="2:20" x14ac:dyDescent="0.25">
      <c r="B9" t="s">
        <v>60</v>
      </c>
      <c r="C9" t="s">
        <v>748</v>
      </c>
      <c r="D9" t="s">
        <v>63</v>
      </c>
      <c r="E9" t="s">
        <v>79</v>
      </c>
      <c r="F9" t="s">
        <v>0</v>
      </c>
      <c r="J9" t="s">
        <v>749</v>
      </c>
      <c r="L9" t="s">
        <v>60</v>
      </c>
      <c r="M9" t="s">
        <v>748</v>
      </c>
      <c r="N9" t="s">
        <v>63</v>
      </c>
      <c r="O9" t="s">
        <v>79</v>
      </c>
      <c r="P9" t="s">
        <v>0</v>
      </c>
      <c r="T9" t="s">
        <v>749</v>
      </c>
    </row>
    <row r="10" spans="2:20" x14ac:dyDescent="0.25">
      <c r="B10" t="s">
        <v>750</v>
      </c>
      <c r="C10" t="s">
        <v>751</v>
      </c>
      <c r="D10" t="s">
        <v>64</v>
      </c>
      <c r="E10" t="s">
        <v>75</v>
      </c>
      <c r="F10">
        <v>0.34</v>
      </c>
      <c r="G10" t="s">
        <v>1378</v>
      </c>
      <c r="H10" t="s">
        <v>1379</v>
      </c>
      <c r="I10" t="s">
        <v>1380</v>
      </c>
      <c r="J10" t="s">
        <v>752</v>
      </c>
      <c r="L10" t="s">
        <v>750</v>
      </c>
      <c r="M10" t="s">
        <v>751</v>
      </c>
      <c r="N10" t="s">
        <v>64</v>
      </c>
      <c r="O10" t="s">
        <v>75</v>
      </c>
      <c r="P10">
        <v>0.36399999999999999</v>
      </c>
      <c r="Q10" t="s">
        <v>1378</v>
      </c>
      <c r="R10" t="s">
        <v>1379</v>
      </c>
      <c r="S10" t="s">
        <v>1380</v>
      </c>
      <c r="T10" t="s">
        <v>752</v>
      </c>
    </row>
    <row r="11" spans="2:20" x14ac:dyDescent="0.25">
      <c r="B11" t="s">
        <v>753</v>
      </c>
      <c r="C11">
        <v>6</v>
      </c>
      <c r="D11" t="s">
        <v>868</v>
      </c>
      <c r="E11">
        <v>68.88</v>
      </c>
      <c r="F11" s="9">
        <f>E11*$F$10</f>
        <v>23.4192</v>
      </c>
      <c r="G11" s="3">
        <f t="shared" ref="G11:G58" si="0">(F11/0.65)+0.3</f>
        <v>36.329538461538455</v>
      </c>
      <c r="H11" s="5">
        <f t="shared" ref="H11:H58" si="1">(F11/0.7)+0.3</f>
        <v>33.756</v>
      </c>
      <c r="I11" s="7">
        <f t="shared" ref="I11:I58" si="2">(F11/0.75)+0.3</f>
        <v>31.525600000000001</v>
      </c>
      <c r="J11">
        <v>6</v>
      </c>
      <c r="L11" t="s">
        <v>869</v>
      </c>
      <c r="M11">
        <v>6</v>
      </c>
      <c r="N11" t="s">
        <v>870</v>
      </c>
      <c r="O11">
        <v>59.37</v>
      </c>
      <c r="P11" s="9">
        <f>O11*$P$10</f>
        <v>21.610679999999999</v>
      </c>
      <c r="Q11" s="3">
        <f t="shared" ref="Q11:Q41" si="3">(P11/0.65)+0.3</f>
        <v>33.547199999999997</v>
      </c>
      <c r="R11" s="5">
        <f t="shared" ref="R11:R41" si="4">(P11/0.7)+0.3</f>
        <v>31.1724</v>
      </c>
      <c r="S11" s="7">
        <f t="shared" ref="S11:S41" si="5">(P11/0.75)+0.3</f>
        <v>29.114239999999999</v>
      </c>
      <c r="T11">
        <v>7</v>
      </c>
    </row>
    <row r="12" spans="2:20" x14ac:dyDescent="0.25">
      <c r="B12" t="s">
        <v>753</v>
      </c>
      <c r="C12">
        <v>7</v>
      </c>
      <c r="D12" t="s">
        <v>871</v>
      </c>
      <c r="E12">
        <v>77.09</v>
      </c>
      <c r="F12" s="9">
        <f t="shared" ref="F12:F58" si="6">E12*$F$10</f>
        <v>26.210600000000003</v>
      </c>
      <c r="G12" s="3">
        <f t="shared" si="0"/>
        <v>40.624000000000002</v>
      </c>
      <c r="H12" s="5">
        <f t="shared" si="1"/>
        <v>37.74371428571429</v>
      </c>
      <c r="I12" s="7">
        <f t="shared" si="2"/>
        <v>35.247466666666668</v>
      </c>
      <c r="J12">
        <v>4</v>
      </c>
      <c r="L12" t="s">
        <v>753</v>
      </c>
      <c r="M12">
        <v>6</v>
      </c>
      <c r="N12" t="s">
        <v>872</v>
      </c>
      <c r="O12">
        <v>63.14</v>
      </c>
      <c r="P12" s="9">
        <f t="shared" ref="P12:P41" si="7">O12*$P$10</f>
        <v>22.982959999999999</v>
      </c>
      <c r="Q12" s="3">
        <f t="shared" si="3"/>
        <v>35.658399999999993</v>
      </c>
      <c r="R12" s="5">
        <f t="shared" si="4"/>
        <v>33.132799999999996</v>
      </c>
      <c r="S12" s="7">
        <f t="shared" si="5"/>
        <v>30.943946666666665</v>
      </c>
      <c r="T12">
        <v>6</v>
      </c>
    </row>
    <row r="13" spans="2:20" x14ac:dyDescent="0.25">
      <c r="B13" t="s">
        <v>753</v>
      </c>
      <c r="C13">
        <v>8</v>
      </c>
      <c r="D13" t="s">
        <v>873</v>
      </c>
      <c r="E13">
        <v>84.9</v>
      </c>
      <c r="F13" s="9">
        <f t="shared" si="6"/>
        <v>28.866000000000003</v>
      </c>
      <c r="G13" s="3">
        <f t="shared" si="0"/>
        <v>44.709230769230771</v>
      </c>
      <c r="H13" s="5">
        <f t="shared" si="1"/>
        <v>41.537142857142861</v>
      </c>
      <c r="I13" s="7">
        <f t="shared" si="2"/>
        <v>38.788000000000004</v>
      </c>
      <c r="J13">
        <v>4</v>
      </c>
      <c r="L13" t="s">
        <v>753</v>
      </c>
      <c r="M13">
        <v>7</v>
      </c>
      <c r="N13" t="s">
        <v>874</v>
      </c>
      <c r="O13">
        <v>70.84</v>
      </c>
      <c r="P13" s="9">
        <f t="shared" si="7"/>
        <v>25.78576</v>
      </c>
      <c r="Q13" s="3">
        <f t="shared" si="3"/>
        <v>39.970399999999998</v>
      </c>
      <c r="R13" s="5">
        <f t="shared" si="4"/>
        <v>37.136800000000001</v>
      </c>
      <c r="S13" s="7">
        <f t="shared" si="5"/>
        <v>34.681013333333333</v>
      </c>
      <c r="T13">
        <v>5</v>
      </c>
    </row>
    <row r="14" spans="2:20" x14ac:dyDescent="0.25">
      <c r="B14" t="s">
        <v>753</v>
      </c>
      <c r="C14">
        <v>10</v>
      </c>
      <c r="D14" t="s">
        <v>875</v>
      </c>
      <c r="E14">
        <v>99</v>
      </c>
      <c r="F14" s="9">
        <f t="shared" si="6"/>
        <v>33.660000000000004</v>
      </c>
      <c r="G14" s="3">
        <f t="shared" si="0"/>
        <v>52.084615384615383</v>
      </c>
      <c r="H14" s="5">
        <f t="shared" si="1"/>
        <v>48.385714285714293</v>
      </c>
      <c r="I14" s="7">
        <f t="shared" si="2"/>
        <v>45.18</v>
      </c>
      <c r="J14">
        <v>4</v>
      </c>
      <c r="L14" t="s">
        <v>753</v>
      </c>
      <c r="M14">
        <v>8</v>
      </c>
      <c r="N14" t="s">
        <v>876</v>
      </c>
      <c r="O14">
        <v>78.31</v>
      </c>
      <c r="P14" s="9">
        <f t="shared" si="7"/>
        <v>28.504840000000002</v>
      </c>
      <c r="Q14" s="3">
        <f t="shared" si="3"/>
        <v>44.153599999999997</v>
      </c>
      <c r="R14" s="5">
        <f t="shared" si="4"/>
        <v>41.0212</v>
      </c>
      <c r="S14" s="7">
        <f t="shared" si="5"/>
        <v>38.30645333333333</v>
      </c>
      <c r="T14">
        <v>5</v>
      </c>
    </row>
    <row r="15" spans="2:20" x14ac:dyDescent="0.25">
      <c r="B15" t="s">
        <v>753</v>
      </c>
      <c r="C15">
        <v>12</v>
      </c>
      <c r="D15" t="s">
        <v>877</v>
      </c>
      <c r="E15">
        <v>116.3</v>
      </c>
      <c r="F15" s="9">
        <f t="shared" si="6"/>
        <v>39.542000000000002</v>
      </c>
      <c r="G15" s="3">
        <f t="shared" si="0"/>
        <v>61.13384615384615</v>
      </c>
      <c r="H15" s="5">
        <f t="shared" si="1"/>
        <v>56.78857142857143</v>
      </c>
      <c r="I15" s="7">
        <f t="shared" si="2"/>
        <v>53.022666666666666</v>
      </c>
      <c r="J15">
        <v>3</v>
      </c>
      <c r="L15" t="s">
        <v>764</v>
      </c>
      <c r="M15">
        <v>6</v>
      </c>
      <c r="N15" t="s">
        <v>878</v>
      </c>
      <c r="O15">
        <v>70.84</v>
      </c>
      <c r="P15" s="9">
        <f t="shared" si="7"/>
        <v>25.78576</v>
      </c>
      <c r="Q15" s="3">
        <f t="shared" si="3"/>
        <v>39.970399999999998</v>
      </c>
      <c r="R15" s="5">
        <f t="shared" si="4"/>
        <v>37.136800000000001</v>
      </c>
      <c r="S15" s="7">
        <f t="shared" si="5"/>
        <v>34.681013333333333</v>
      </c>
      <c r="T15">
        <v>4</v>
      </c>
    </row>
    <row r="16" spans="2:20" x14ac:dyDescent="0.25">
      <c r="B16" t="s">
        <v>764</v>
      </c>
      <c r="C16">
        <v>6</v>
      </c>
      <c r="D16" t="s">
        <v>879</v>
      </c>
      <c r="E16">
        <v>78.709999999999994</v>
      </c>
      <c r="F16" s="9">
        <f t="shared" si="6"/>
        <v>26.761399999999998</v>
      </c>
      <c r="G16" s="3">
        <f t="shared" si="0"/>
        <v>41.471384615384608</v>
      </c>
      <c r="H16" s="5">
        <f t="shared" si="1"/>
        <v>38.530571428571427</v>
      </c>
      <c r="I16" s="7">
        <f t="shared" si="2"/>
        <v>35.981866666666662</v>
      </c>
      <c r="J16">
        <v>5</v>
      </c>
      <c r="L16" t="s">
        <v>764</v>
      </c>
      <c r="M16">
        <v>7</v>
      </c>
      <c r="N16" t="s">
        <v>880</v>
      </c>
      <c r="O16">
        <v>79.56</v>
      </c>
      <c r="P16" s="9">
        <f t="shared" si="7"/>
        <v>28.95984</v>
      </c>
      <c r="Q16" s="3">
        <f t="shared" si="3"/>
        <v>44.853599999999993</v>
      </c>
      <c r="R16" s="5">
        <f t="shared" si="4"/>
        <v>41.671199999999999</v>
      </c>
      <c r="S16" s="7">
        <f t="shared" si="5"/>
        <v>38.913119999999999</v>
      </c>
      <c r="T16">
        <v>3</v>
      </c>
    </row>
    <row r="17" spans="2:25" x14ac:dyDescent="0.25">
      <c r="B17" t="s">
        <v>764</v>
      </c>
      <c r="C17">
        <v>8</v>
      </c>
      <c r="D17" t="s">
        <v>881</v>
      </c>
      <c r="E17">
        <v>93.34</v>
      </c>
      <c r="F17" s="9">
        <f t="shared" si="6"/>
        <v>31.735600000000005</v>
      </c>
      <c r="G17" s="3">
        <f t="shared" si="0"/>
        <v>49.124000000000002</v>
      </c>
      <c r="H17" s="5">
        <f t="shared" si="1"/>
        <v>45.636571428571436</v>
      </c>
      <c r="I17" s="7">
        <f t="shared" si="2"/>
        <v>42.614133333333335</v>
      </c>
      <c r="J17">
        <v>4</v>
      </c>
      <c r="L17" t="s">
        <v>764</v>
      </c>
      <c r="M17">
        <v>8</v>
      </c>
      <c r="N17" t="s">
        <v>882</v>
      </c>
      <c r="O17">
        <v>88.43</v>
      </c>
      <c r="P17" s="9">
        <f t="shared" si="7"/>
        <v>32.188520000000004</v>
      </c>
      <c r="Q17" s="3">
        <f t="shared" si="3"/>
        <v>49.820799999999998</v>
      </c>
      <c r="R17" s="5">
        <f t="shared" si="4"/>
        <v>46.283600000000007</v>
      </c>
      <c r="S17" s="7">
        <f t="shared" si="5"/>
        <v>43.218026666666667</v>
      </c>
      <c r="T17">
        <v>3</v>
      </c>
    </row>
    <row r="18" spans="2:25" x14ac:dyDescent="0.25">
      <c r="B18" t="s">
        <v>764</v>
      </c>
      <c r="C18">
        <v>10</v>
      </c>
      <c r="D18" t="s">
        <v>883</v>
      </c>
      <c r="E18">
        <v>102.02</v>
      </c>
      <c r="F18" s="9">
        <f t="shared" si="6"/>
        <v>34.686799999999998</v>
      </c>
      <c r="G18" s="3">
        <f t="shared" si="0"/>
        <v>53.664307692307688</v>
      </c>
      <c r="H18" s="5">
        <f t="shared" si="1"/>
        <v>49.852571428571423</v>
      </c>
      <c r="I18" s="7">
        <f t="shared" si="2"/>
        <v>46.549066666666661</v>
      </c>
      <c r="J18">
        <v>4</v>
      </c>
      <c r="L18" t="s">
        <v>884</v>
      </c>
      <c r="M18">
        <v>4</v>
      </c>
      <c r="N18" t="s">
        <v>885</v>
      </c>
      <c r="O18">
        <v>45.73</v>
      </c>
      <c r="P18" s="9">
        <f t="shared" si="7"/>
        <v>16.645719999999997</v>
      </c>
      <c r="Q18" s="3">
        <f t="shared" si="3"/>
        <v>25.908799999999996</v>
      </c>
      <c r="R18" s="5">
        <f t="shared" si="4"/>
        <v>24.079599999999999</v>
      </c>
      <c r="S18" s="7">
        <f t="shared" si="5"/>
        <v>22.494293333333331</v>
      </c>
      <c r="T18">
        <v>7</v>
      </c>
      <c r="Y18">
        <v>9</v>
      </c>
    </row>
    <row r="19" spans="2:25" x14ac:dyDescent="0.25">
      <c r="B19" t="s">
        <v>771</v>
      </c>
      <c r="C19">
        <v>6</v>
      </c>
      <c r="D19" t="s">
        <v>886</v>
      </c>
      <c r="E19">
        <v>85.32</v>
      </c>
      <c r="F19" s="9">
        <f t="shared" si="6"/>
        <v>29.008800000000001</v>
      </c>
      <c r="G19" s="3">
        <f t="shared" si="0"/>
        <v>44.928923076923077</v>
      </c>
      <c r="H19" s="5">
        <f t="shared" si="1"/>
        <v>41.741142857142862</v>
      </c>
      <c r="I19" s="7">
        <f t="shared" si="2"/>
        <v>38.978400000000001</v>
      </c>
      <c r="J19">
        <v>4</v>
      </c>
      <c r="L19" t="s">
        <v>884</v>
      </c>
      <c r="M19">
        <v>5</v>
      </c>
      <c r="N19" t="s">
        <v>887</v>
      </c>
      <c r="O19">
        <v>52.57</v>
      </c>
      <c r="P19" s="9">
        <f t="shared" si="7"/>
        <v>19.135480000000001</v>
      </c>
      <c r="Q19" s="3">
        <f t="shared" si="3"/>
        <v>29.7392</v>
      </c>
      <c r="R19" s="5">
        <f t="shared" si="4"/>
        <v>27.636400000000005</v>
      </c>
      <c r="S19" s="7">
        <f t="shared" si="5"/>
        <v>25.813973333333337</v>
      </c>
      <c r="T19">
        <v>7</v>
      </c>
      <c r="Y19">
        <v>18</v>
      </c>
    </row>
    <row r="20" spans="2:25" x14ac:dyDescent="0.25">
      <c r="B20" t="s">
        <v>771</v>
      </c>
      <c r="C20">
        <v>8</v>
      </c>
      <c r="D20" t="s">
        <v>888</v>
      </c>
      <c r="E20">
        <v>107.54</v>
      </c>
      <c r="F20" s="9">
        <f t="shared" si="6"/>
        <v>36.563600000000008</v>
      </c>
      <c r="G20" s="3">
        <f t="shared" si="0"/>
        <v>56.551692307692313</v>
      </c>
      <c r="H20" s="5">
        <f t="shared" si="1"/>
        <v>52.533714285714296</v>
      </c>
      <c r="I20" s="7">
        <f t="shared" si="2"/>
        <v>49.051466666666677</v>
      </c>
      <c r="J20">
        <v>3</v>
      </c>
      <c r="L20" t="s">
        <v>884</v>
      </c>
      <c r="M20">
        <v>6</v>
      </c>
      <c r="N20" t="s">
        <v>889</v>
      </c>
      <c r="O20">
        <v>59.37</v>
      </c>
      <c r="P20" s="9">
        <f t="shared" si="7"/>
        <v>21.610679999999999</v>
      </c>
      <c r="Q20" s="3">
        <f t="shared" si="3"/>
        <v>33.547199999999997</v>
      </c>
      <c r="R20" s="5">
        <f t="shared" si="4"/>
        <v>31.1724</v>
      </c>
      <c r="S20" s="7">
        <f t="shared" si="5"/>
        <v>29.114239999999999</v>
      </c>
      <c r="T20">
        <v>7</v>
      </c>
      <c r="Y20">
        <v>9</v>
      </c>
    </row>
    <row r="21" spans="2:25" x14ac:dyDescent="0.25">
      <c r="B21" t="s">
        <v>771</v>
      </c>
      <c r="C21">
        <v>10</v>
      </c>
      <c r="D21" t="s">
        <v>890</v>
      </c>
      <c r="E21">
        <v>129.97999999999999</v>
      </c>
      <c r="F21" s="9">
        <f t="shared" si="6"/>
        <v>44.193199999999997</v>
      </c>
      <c r="G21" s="3">
        <f t="shared" si="0"/>
        <v>68.289538461538456</v>
      </c>
      <c r="H21" s="5">
        <f t="shared" si="1"/>
        <v>63.433142857142855</v>
      </c>
      <c r="I21" s="7">
        <f t="shared" si="2"/>
        <v>59.224266666666658</v>
      </c>
      <c r="J21">
        <v>3</v>
      </c>
      <c r="L21" t="s">
        <v>792</v>
      </c>
      <c r="M21">
        <v>6</v>
      </c>
      <c r="N21" t="s">
        <v>891</v>
      </c>
      <c r="O21">
        <v>67.45</v>
      </c>
      <c r="P21" s="9">
        <f t="shared" si="7"/>
        <v>24.5518</v>
      </c>
      <c r="Q21" s="3">
        <f t="shared" si="3"/>
        <v>38.071999999999996</v>
      </c>
      <c r="R21" s="5">
        <f t="shared" si="4"/>
        <v>35.374000000000002</v>
      </c>
      <c r="S21" s="7">
        <f t="shared" si="5"/>
        <v>33.035733333333333</v>
      </c>
      <c r="T21">
        <v>6</v>
      </c>
      <c r="Y21">
        <v>18</v>
      </c>
    </row>
    <row r="22" spans="2:25" x14ac:dyDescent="0.25">
      <c r="B22" t="s">
        <v>778</v>
      </c>
      <c r="C22">
        <v>6</v>
      </c>
      <c r="D22" t="s">
        <v>892</v>
      </c>
      <c r="E22">
        <v>91.72</v>
      </c>
      <c r="F22" s="9">
        <f t="shared" si="6"/>
        <v>31.184800000000003</v>
      </c>
      <c r="G22" s="3">
        <f t="shared" si="0"/>
        <v>48.276615384615383</v>
      </c>
      <c r="H22" s="5">
        <f t="shared" si="1"/>
        <v>44.849714285714292</v>
      </c>
      <c r="I22" s="7">
        <f t="shared" si="2"/>
        <v>41.879733333333334</v>
      </c>
      <c r="J22">
        <v>4</v>
      </c>
      <c r="L22" t="s">
        <v>792</v>
      </c>
      <c r="M22">
        <v>7</v>
      </c>
      <c r="N22" t="s">
        <v>893</v>
      </c>
      <c r="O22">
        <v>75.650000000000006</v>
      </c>
      <c r="P22" s="9">
        <f t="shared" si="7"/>
        <v>27.5366</v>
      </c>
      <c r="Q22" s="3">
        <f t="shared" si="3"/>
        <v>42.663999999999994</v>
      </c>
      <c r="R22" s="5">
        <f t="shared" si="4"/>
        <v>39.637999999999998</v>
      </c>
      <c r="S22" s="7">
        <f t="shared" si="5"/>
        <v>37.015466666666661</v>
      </c>
      <c r="T22">
        <v>5</v>
      </c>
      <c r="Y22">
        <v>3</v>
      </c>
    </row>
    <row r="23" spans="2:25" x14ac:dyDescent="0.25">
      <c r="B23" t="s">
        <v>778</v>
      </c>
      <c r="C23">
        <v>8</v>
      </c>
      <c r="D23" t="s">
        <v>894</v>
      </c>
      <c r="E23">
        <v>111.88</v>
      </c>
      <c r="F23" s="9">
        <f t="shared" si="6"/>
        <v>38.039200000000001</v>
      </c>
      <c r="G23" s="3">
        <f t="shared" si="0"/>
        <v>58.821846153846153</v>
      </c>
      <c r="H23" s="5">
        <f t="shared" si="1"/>
        <v>54.641714285714286</v>
      </c>
      <c r="I23" s="7">
        <f t="shared" si="2"/>
        <v>51.018933333333329</v>
      </c>
      <c r="J23">
        <v>3</v>
      </c>
      <c r="L23" t="s">
        <v>792</v>
      </c>
      <c r="M23">
        <v>8</v>
      </c>
      <c r="N23" t="s">
        <v>895</v>
      </c>
      <c r="O23">
        <v>83.73</v>
      </c>
      <c r="P23" s="9">
        <f t="shared" si="7"/>
        <v>30.477720000000001</v>
      </c>
      <c r="Q23" s="3">
        <f t="shared" si="3"/>
        <v>47.188800000000001</v>
      </c>
      <c r="R23" s="5">
        <f t="shared" si="4"/>
        <v>43.839600000000004</v>
      </c>
      <c r="S23" s="7">
        <f t="shared" si="5"/>
        <v>40.936959999999999</v>
      </c>
      <c r="T23">
        <v>5</v>
      </c>
      <c r="Y23">
        <v>12</v>
      </c>
    </row>
    <row r="24" spans="2:25" x14ac:dyDescent="0.25">
      <c r="B24" t="s">
        <v>778</v>
      </c>
      <c r="C24">
        <v>10</v>
      </c>
      <c r="D24" t="s">
        <v>896</v>
      </c>
      <c r="E24">
        <v>127.41</v>
      </c>
      <c r="F24" s="9">
        <f t="shared" si="6"/>
        <v>43.319400000000002</v>
      </c>
      <c r="G24" s="3">
        <f t="shared" si="0"/>
        <v>66.945230769230761</v>
      </c>
      <c r="H24" s="5">
        <f t="shared" si="1"/>
        <v>62.184857142857147</v>
      </c>
      <c r="I24" s="7">
        <f t="shared" si="2"/>
        <v>58.059199999999997</v>
      </c>
      <c r="J24">
        <v>2</v>
      </c>
      <c r="L24" t="s">
        <v>799</v>
      </c>
      <c r="M24">
        <v>6</v>
      </c>
      <c r="N24" t="s">
        <v>897</v>
      </c>
      <c r="O24">
        <v>75.650000000000006</v>
      </c>
      <c r="P24" s="9">
        <f t="shared" si="7"/>
        <v>27.5366</v>
      </c>
      <c r="Q24" s="3">
        <f t="shared" si="3"/>
        <v>42.663999999999994</v>
      </c>
      <c r="R24" s="5">
        <f t="shared" si="4"/>
        <v>39.637999999999998</v>
      </c>
      <c r="S24" s="7">
        <f t="shared" si="5"/>
        <v>37.015466666666661</v>
      </c>
      <c r="T24">
        <v>4</v>
      </c>
      <c r="Y24">
        <v>3</v>
      </c>
    </row>
    <row r="25" spans="2:25" x14ac:dyDescent="0.25">
      <c r="B25" t="s">
        <v>785</v>
      </c>
      <c r="C25">
        <v>6</v>
      </c>
      <c r="D25" t="s">
        <v>898</v>
      </c>
      <c r="E25">
        <v>103.14</v>
      </c>
      <c r="F25" s="9">
        <f t="shared" si="6"/>
        <v>35.067600000000006</v>
      </c>
      <c r="G25" s="3">
        <f t="shared" si="0"/>
        <v>54.25015384615385</v>
      </c>
      <c r="H25" s="5">
        <f t="shared" si="1"/>
        <v>50.396571428571434</v>
      </c>
      <c r="I25" s="7">
        <f t="shared" si="2"/>
        <v>47.056800000000003</v>
      </c>
      <c r="J25">
        <v>3</v>
      </c>
      <c r="L25" t="s">
        <v>799</v>
      </c>
      <c r="M25">
        <v>7</v>
      </c>
      <c r="N25" t="s">
        <v>899</v>
      </c>
      <c r="O25">
        <v>85.06</v>
      </c>
      <c r="P25" s="9">
        <f t="shared" si="7"/>
        <v>30.961839999999999</v>
      </c>
      <c r="Q25" s="3">
        <f t="shared" si="3"/>
        <v>47.933599999999991</v>
      </c>
      <c r="R25" s="5">
        <f t="shared" si="4"/>
        <v>44.531199999999998</v>
      </c>
      <c r="S25" s="7">
        <f t="shared" si="5"/>
        <v>41.582453333333326</v>
      </c>
      <c r="T25">
        <v>3</v>
      </c>
      <c r="Y25">
        <v>12</v>
      </c>
    </row>
    <row r="26" spans="2:25" x14ac:dyDescent="0.25">
      <c r="B26" t="s">
        <v>785</v>
      </c>
      <c r="C26">
        <v>8</v>
      </c>
      <c r="D26" t="s">
        <v>900</v>
      </c>
      <c r="E26">
        <v>127.28</v>
      </c>
      <c r="F26" s="9">
        <f t="shared" si="6"/>
        <v>43.275200000000005</v>
      </c>
      <c r="G26" s="3">
        <f t="shared" si="0"/>
        <v>66.877230769230778</v>
      </c>
      <c r="H26" s="5">
        <f t="shared" si="1"/>
        <v>62.121714285714297</v>
      </c>
      <c r="I26" s="7">
        <f t="shared" si="2"/>
        <v>58.000266666666668</v>
      </c>
      <c r="J26">
        <v>3</v>
      </c>
      <c r="L26" t="s">
        <v>799</v>
      </c>
      <c r="M26">
        <v>8</v>
      </c>
      <c r="N26" t="s">
        <v>901</v>
      </c>
      <c r="O26">
        <v>94.49</v>
      </c>
      <c r="P26" s="9">
        <f t="shared" si="7"/>
        <v>34.394359999999999</v>
      </c>
      <c r="Q26" s="3">
        <f t="shared" si="3"/>
        <v>53.214399999999991</v>
      </c>
      <c r="R26" s="5">
        <f t="shared" si="4"/>
        <v>49.434799999999996</v>
      </c>
      <c r="S26" s="7">
        <f t="shared" si="5"/>
        <v>46.159146666666665</v>
      </c>
      <c r="T26">
        <v>3</v>
      </c>
      <c r="Y26">
        <v>3</v>
      </c>
    </row>
    <row r="27" spans="2:25" x14ac:dyDescent="0.25">
      <c r="B27" t="s">
        <v>785</v>
      </c>
      <c r="C27">
        <v>10</v>
      </c>
      <c r="D27" t="s">
        <v>902</v>
      </c>
      <c r="E27">
        <v>145.61000000000001</v>
      </c>
      <c r="F27" s="9">
        <f t="shared" si="6"/>
        <v>49.507400000000011</v>
      </c>
      <c r="G27" s="3">
        <f t="shared" si="0"/>
        <v>76.465230769230786</v>
      </c>
      <c r="H27" s="5">
        <f t="shared" si="1"/>
        <v>71.024857142857158</v>
      </c>
      <c r="I27" s="7">
        <f t="shared" si="2"/>
        <v>66.309866666666679</v>
      </c>
      <c r="J27">
        <v>2</v>
      </c>
      <c r="L27" t="s">
        <v>903</v>
      </c>
      <c r="M27">
        <v>4</v>
      </c>
      <c r="N27" t="s">
        <v>904</v>
      </c>
      <c r="O27">
        <v>45.73</v>
      </c>
      <c r="P27" s="9">
        <f t="shared" si="7"/>
        <v>16.645719999999997</v>
      </c>
      <c r="Q27" s="3">
        <f t="shared" si="3"/>
        <v>25.908799999999996</v>
      </c>
      <c r="R27" s="5">
        <f t="shared" si="4"/>
        <v>24.079599999999999</v>
      </c>
      <c r="S27" s="7">
        <f t="shared" si="5"/>
        <v>22.494293333333331</v>
      </c>
      <c r="T27">
        <v>7</v>
      </c>
      <c r="Y27">
        <v>12</v>
      </c>
    </row>
    <row r="28" spans="2:25" x14ac:dyDescent="0.25">
      <c r="B28" t="s">
        <v>792</v>
      </c>
      <c r="C28">
        <v>6</v>
      </c>
      <c r="D28" t="s">
        <v>905</v>
      </c>
      <c r="E28">
        <v>73.59</v>
      </c>
      <c r="F28" s="9">
        <f t="shared" si="6"/>
        <v>25.020600000000002</v>
      </c>
      <c r="G28" s="3">
        <f t="shared" si="0"/>
        <v>38.793230769230767</v>
      </c>
      <c r="H28" s="5">
        <f t="shared" si="1"/>
        <v>36.043714285714287</v>
      </c>
      <c r="I28" s="7">
        <f t="shared" si="2"/>
        <v>33.660800000000002</v>
      </c>
      <c r="J28">
        <v>6</v>
      </c>
      <c r="L28" t="s">
        <v>903</v>
      </c>
      <c r="M28">
        <v>5</v>
      </c>
      <c r="N28" t="s">
        <v>906</v>
      </c>
      <c r="O28">
        <v>52.57</v>
      </c>
      <c r="P28" s="9">
        <f t="shared" si="7"/>
        <v>19.135480000000001</v>
      </c>
      <c r="Q28" s="3">
        <f t="shared" si="3"/>
        <v>29.7392</v>
      </c>
      <c r="R28" s="5">
        <f t="shared" si="4"/>
        <v>27.636400000000005</v>
      </c>
      <c r="S28" s="7">
        <f t="shared" si="5"/>
        <v>25.813973333333337</v>
      </c>
      <c r="T28">
        <v>7</v>
      </c>
      <c r="Y28">
        <v>3</v>
      </c>
    </row>
    <row r="29" spans="2:25" x14ac:dyDescent="0.25">
      <c r="B29" t="s">
        <v>792</v>
      </c>
      <c r="C29">
        <v>8</v>
      </c>
      <c r="D29" t="s">
        <v>907</v>
      </c>
      <c r="E29">
        <v>90.72</v>
      </c>
      <c r="F29" s="9">
        <f t="shared" si="6"/>
        <v>30.844800000000003</v>
      </c>
      <c r="G29" s="3">
        <f t="shared" si="0"/>
        <v>47.753538461538461</v>
      </c>
      <c r="H29" s="5">
        <f t="shared" si="1"/>
        <v>44.364000000000004</v>
      </c>
      <c r="I29" s="7">
        <f t="shared" si="2"/>
        <v>41.426400000000001</v>
      </c>
      <c r="J29">
        <v>4</v>
      </c>
      <c r="L29" t="s">
        <v>903</v>
      </c>
      <c r="M29">
        <v>6</v>
      </c>
      <c r="N29" t="s">
        <v>908</v>
      </c>
      <c r="O29">
        <v>59.37</v>
      </c>
      <c r="P29" s="9">
        <f t="shared" si="7"/>
        <v>21.610679999999999</v>
      </c>
      <c r="Q29" s="3">
        <f t="shared" si="3"/>
        <v>33.547199999999997</v>
      </c>
      <c r="R29" s="5">
        <f t="shared" si="4"/>
        <v>31.1724</v>
      </c>
      <c r="S29" s="7">
        <f t="shared" si="5"/>
        <v>29.114239999999999</v>
      </c>
      <c r="T29">
        <v>7</v>
      </c>
      <c r="Y29">
        <v>12</v>
      </c>
    </row>
    <row r="30" spans="2:25" x14ac:dyDescent="0.25">
      <c r="B30" t="s">
        <v>792</v>
      </c>
      <c r="C30">
        <v>10</v>
      </c>
      <c r="D30" t="s">
        <v>909</v>
      </c>
      <c r="E30">
        <v>105.78</v>
      </c>
      <c r="F30" s="9">
        <f t="shared" si="6"/>
        <v>35.965200000000003</v>
      </c>
      <c r="G30" s="3">
        <f t="shared" si="0"/>
        <v>55.631076923076925</v>
      </c>
      <c r="H30" s="5">
        <f t="shared" si="1"/>
        <v>51.678857142857147</v>
      </c>
      <c r="I30" s="7">
        <f t="shared" si="2"/>
        <v>48.253599999999999</v>
      </c>
      <c r="J30">
        <v>4</v>
      </c>
      <c r="L30" t="s">
        <v>910</v>
      </c>
      <c r="M30">
        <v>5</v>
      </c>
      <c r="N30" t="s">
        <v>911</v>
      </c>
      <c r="O30">
        <v>62.01</v>
      </c>
      <c r="P30" s="9">
        <f t="shared" si="7"/>
        <v>22.571639999999999</v>
      </c>
      <c r="Q30" s="3">
        <f t="shared" si="3"/>
        <v>35.025599999999997</v>
      </c>
      <c r="R30" s="5">
        <f t="shared" si="4"/>
        <v>32.545199999999994</v>
      </c>
      <c r="S30" s="7">
        <f t="shared" si="5"/>
        <v>30.395519999999998</v>
      </c>
      <c r="T30">
        <v>4</v>
      </c>
      <c r="Y30">
        <v>3</v>
      </c>
    </row>
    <row r="31" spans="2:25" x14ac:dyDescent="0.25">
      <c r="B31" t="s">
        <v>799</v>
      </c>
      <c r="C31">
        <v>6</v>
      </c>
      <c r="D31" t="s">
        <v>912</v>
      </c>
      <c r="E31">
        <v>84.13</v>
      </c>
      <c r="F31" s="9">
        <f t="shared" si="6"/>
        <v>28.604199999999999</v>
      </c>
      <c r="G31" s="3">
        <f t="shared" si="0"/>
        <v>44.306461538461534</v>
      </c>
      <c r="H31" s="5">
        <f t="shared" si="1"/>
        <v>41.163142857142859</v>
      </c>
      <c r="I31" s="7">
        <f t="shared" si="2"/>
        <v>38.438933333333331</v>
      </c>
      <c r="J31">
        <v>5</v>
      </c>
      <c r="L31" t="s">
        <v>910</v>
      </c>
      <c r="M31">
        <v>6</v>
      </c>
      <c r="N31" t="s">
        <v>913</v>
      </c>
      <c r="O31">
        <v>70.84</v>
      </c>
      <c r="P31" s="9">
        <f t="shared" si="7"/>
        <v>25.78576</v>
      </c>
      <c r="Q31" s="3">
        <f t="shared" si="3"/>
        <v>39.970399999999998</v>
      </c>
      <c r="R31" s="5">
        <f t="shared" si="4"/>
        <v>37.136800000000001</v>
      </c>
      <c r="S31" s="7">
        <f t="shared" si="5"/>
        <v>34.681013333333333</v>
      </c>
      <c r="T31">
        <v>4</v>
      </c>
      <c r="Y31">
        <v>12</v>
      </c>
    </row>
    <row r="32" spans="2:25" x14ac:dyDescent="0.25">
      <c r="B32" t="s">
        <v>799</v>
      </c>
      <c r="C32">
        <v>8</v>
      </c>
      <c r="D32" t="s">
        <v>914</v>
      </c>
      <c r="E32">
        <v>99.74</v>
      </c>
      <c r="F32" s="9">
        <f t="shared" si="6"/>
        <v>33.9116</v>
      </c>
      <c r="G32" s="3">
        <f t="shared" si="0"/>
        <v>52.471692307692301</v>
      </c>
      <c r="H32" s="5">
        <f t="shared" si="1"/>
        <v>48.745142857142859</v>
      </c>
      <c r="I32" s="7">
        <f t="shared" si="2"/>
        <v>45.515466666666661</v>
      </c>
      <c r="J32">
        <v>4</v>
      </c>
      <c r="L32" t="s">
        <v>910</v>
      </c>
      <c r="M32">
        <v>7</v>
      </c>
      <c r="N32" t="s">
        <v>915</v>
      </c>
      <c r="O32">
        <v>79.56</v>
      </c>
      <c r="P32" s="9">
        <f t="shared" si="7"/>
        <v>28.95984</v>
      </c>
      <c r="Q32" s="3">
        <f t="shared" si="3"/>
        <v>44.853599999999993</v>
      </c>
      <c r="R32" s="5">
        <f t="shared" si="4"/>
        <v>41.671199999999999</v>
      </c>
      <c r="S32" s="7">
        <f t="shared" si="5"/>
        <v>38.913119999999999</v>
      </c>
      <c r="T32">
        <v>3</v>
      </c>
      <c r="Y32">
        <v>3</v>
      </c>
    </row>
    <row r="33" spans="2:25" x14ac:dyDescent="0.25">
      <c r="B33" t="s">
        <v>799</v>
      </c>
      <c r="C33">
        <v>10</v>
      </c>
      <c r="D33" t="s">
        <v>916</v>
      </c>
      <c r="E33">
        <v>109.02</v>
      </c>
      <c r="F33" s="9">
        <f t="shared" si="6"/>
        <v>37.066800000000001</v>
      </c>
      <c r="G33" s="3">
        <f t="shared" si="0"/>
        <v>57.32584615384615</v>
      </c>
      <c r="H33" s="5">
        <f t="shared" si="1"/>
        <v>53.252571428571429</v>
      </c>
      <c r="I33" s="7">
        <f t="shared" si="2"/>
        <v>49.7224</v>
      </c>
      <c r="J33">
        <v>4</v>
      </c>
      <c r="L33" t="s">
        <v>917</v>
      </c>
      <c r="M33">
        <v>3</v>
      </c>
      <c r="N33" t="s">
        <v>918</v>
      </c>
      <c r="O33">
        <v>38.68</v>
      </c>
      <c r="P33" s="9">
        <f t="shared" si="7"/>
        <v>14.079519999999999</v>
      </c>
      <c r="Q33" s="3">
        <f t="shared" si="3"/>
        <v>21.960799999999999</v>
      </c>
      <c r="R33" s="5">
        <f t="shared" si="4"/>
        <v>20.413599999999999</v>
      </c>
      <c r="S33" s="7">
        <f t="shared" si="5"/>
        <v>19.072693333333333</v>
      </c>
      <c r="T33">
        <v>13</v>
      </c>
      <c r="Y33">
        <v>12</v>
      </c>
    </row>
    <row r="34" spans="2:25" x14ac:dyDescent="0.25">
      <c r="B34" t="s">
        <v>806</v>
      </c>
      <c r="C34">
        <v>6</v>
      </c>
      <c r="D34" t="s">
        <v>919</v>
      </c>
      <c r="E34">
        <v>91.19</v>
      </c>
      <c r="F34" s="9">
        <f t="shared" si="6"/>
        <v>31.0046</v>
      </c>
      <c r="G34" s="3">
        <f t="shared" si="0"/>
        <v>47.999384615384614</v>
      </c>
      <c r="H34" s="5">
        <f t="shared" si="1"/>
        <v>44.592285714285715</v>
      </c>
      <c r="I34" s="7">
        <f t="shared" si="2"/>
        <v>41.639466666666664</v>
      </c>
      <c r="J34">
        <v>4</v>
      </c>
      <c r="L34" t="s">
        <v>827</v>
      </c>
      <c r="M34">
        <v>3</v>
      </c>
      <c r="N34" t="s">
        <v>920</v>
      </c>
      <c r="O34">
        <v>40.69</v>
      </c>
      <c r="P34" s="9">
        <f t="shared" si="7"/>
        <v>14.811159999999999</v>
      </c>
      <c r="Q34" s="3">
        <f t="shared" si="3"/>
        <v>23.086399999999998</v>
      </c>
      <c r="R34" s="5">
        <f t="shared" si="4"/>
        <v>21.4588</v>
      </c>
      <c r="S34" s="7">
        <f t="shared" si="5"/>
        <v>20.048213333333333</v>
      </c>
      <c r="T34">
        <v>13</v>
      </c>
      <c r="Y34">
        <v>2</v>
      </c>
    </row>
    <row r="35" spans="2:25" x14ac:dyDescent="0.25">
      <c r="B35" t="s">
        <v>806</v>
      </c>
      <c r="C35">
        <v>8</v>
      </c>
      <c r="D35" t="s">
        <v>921</v>
      </c>
      <c r="E35">
        <v>114.92</v>
      </c>
      <c r="F35" s="9">
        <f t="shared" si="6"/>
        <v>39.072800000000001</v>
      </c>
      <c r="G35" s="3">
        <f t="shared" si="0"/>
        <v>60.411999999999999</v>
      </c>
      <c r="H35" s="5">
        <f t="shared" si="1"/>
        <v>56.118285714285719</v>
      </c>
      <c r="I35" s="7">
        <f t="shared" si="2"/>
        <v>52.397066666666667</v>
      </c>
      <c r="J35">
        <v>3</v>
      </c>
      <c r="L35" t="s">
        <v>827</v>
      </c>
      <c r="M35">
        <v>4</v>
      </c>
      <c r="N35" t="s">
        <v>922</v>
      </c>
      <c r="O35">
        <v>48.17</v>
      </c>
      <c r="P35" s="9">
        <f t="shared" si="7"/>
        <v>17.53388</v>
      </c>
      <c r="Q35" s="3">
        <f t="shared" si="3"/>
        <v>27.275199999999998</v>
      </c>
      <c r="R35" s="5">
        <f t="shared" si="4"/>
        <v>25.348400000000002</v>
      </c>
      <c r="S35" s="7">
        <f t="shared" si="5"/>
        <v>23.678506666666667</v>
      </c>
      <c r="T35">
        <v>12</v>
      </c>
      <c r="Y35">
        <v>6</v>
      </c>
    </row>
    <row r="36" spans="2:25" x14ac:dyDescent="0.25">
      <c r="B36" t="s">
        <v>806</v>
      </c>
      <c r="C36">
        <v>10</v>
      </c>
      <c r="D36" t="s">
        <v>923</v>
      </c>
      <c r="E36">
        <v>138.88</v>
      </c>
      <c r="F36" s="9">
        <f t="shared" si="6"/>
        <v>47.219200000000001</v>
      </c>
      <c r="G36" s="3">
        <f t="shared" si="0"/>
        <v>72.944923076923075</v>
      </c>
      <c r="H36" s="5">
        <f t="shared" si="1"/>
        <v>67.756</v>
      </c>
      <c r="I36" s="7">
        <f t="shared" si="2"/>
        <v>63.258933333333331</v>
      </c>
      <c r="J36">
        <v>3</v>
      </c>
      <c r="L36" t="s">
        <v>827</v>
      </c>
      <c r="M36">
        <v>5</v>
      </c>
      <c r="N36" t="s">
        <v>924</v>
      </c>
      <c r="O36">
        <v>55.63</v>
      </c>
      <c r="P36" s="9">
        <f t="shared" si="7"/>
        <v>20.249320000000001</v>
      </c>
      <c r="Q36" s="3">
        <f t="shared" si="3"/>
        <v>31.4528</v>
      </c>
      <c r="R36" s="5">
        <f t="shared" si="4"/>
        <v>29.227600000000002</v>
      </c>
      <c r="S36" s="7">
        <f t="shared" si="5"/>
        <v>27.299093333333335</v>
      </c>
      <c r="T36">
        <v>10</v>
      </c>
      <c r="Y36">
        <v>6</v>
      </c>
    </row>
    <row r="37" spans="2:25" x14ac:dyDescent="0.25">
      <c r="B37" t="s">
        <v>813</v>
      </c>
      <c r="C37">
        <v>6</v>
      </c>
      <c r="D37" t="s">
        <v>925</v>
      </c>
      <c r="E37">
        <v>98.04</v>
      </c>
      <c r="F37" s="9">
        <f t="shared" si="6"/>
        <v>33.333600000000004</v>
      </c>
      <c r="G37" s="3">
        <f t="shared" si="0"/>
        <v>51.582461538461537</v>
      </c>
      <c r="H37" s="5">
        <f t="shared" si="1"/>
        <v>47.919428571428575</v>
      </c>
      <c r="I37" s="7">
        <f t="shared" si="2"/>
        <v>44.744800000000005</v>
      </c>
      <c r="J37">
        <v>4</v>
      </c>
      <c r="L37" t="s">
        <v>827</v>
      </c>
      <c r="M37">
        <v>6</v>
      </c>
      <c r="N37" t="s">
        <v>926</v>
      </c>
      <c r="O37">
        <v>63.14</v>
      </c>
      <c r="P37" s="9">
        <f t="shared" si="7"/>
        <v>22.982959999999999</v>
      </c>
      <c r="Q37" s="3">
        <f t="shared" si="3"/>
        <v>35.658399999999993</v>
      </c>
      <c r="R37" s="5">
        <f t="shared" si="4"/>
        <v>33.132799999999996</v>
      </c>
      <c r="S37" s="7">
        <f t="shared" si="5"/>
        <v>30.943946666666665</v>
      </c>
      <c r="T37">
        <v>9</v>
      </c>
      <c r="Y37">
        <v>24</v>
      </c>
    </row>
    <row r="38" spans="2:25" x14ac:dyDescent="0.25">
      <c r="B38" t="s">
        <v>813</v>
      </c>
      <c r="C38">
        <v>8</v>
      </c>
      <c r="D38" t="s">
        <v>927</v>
      </c>
      <c r="E38">
        <v>119.57</v>
      </c>
      <c r="F38" s="9">
        <f t="shared" si="6"/>
        <v>40.653800000000004</v>
      </c>
      <c r="G38" s="3">
        <f t="shared" si="0"/>
        <v>62.844307692307694</v>
      </c>
      <c r="H38" s="5">
        <f t="shared" si="1"/>
        <v>58.376857142857148</v>
      </c>
      <c r="I38" s="7">
        <f t="shared" si="2"/>
        <v>54.505066666666671</v>
      </c>
      <c r="J38">
        <v>3</v>
      </c>
      <c r="L38" t="s">
        <v>836</v>
      </c>
      <c r="M38">
        <v>3</v>
      </c>
      <c r="N38" t="s">
        <v>928</v>
      </c>
      <c r="O38">
        <v>44.66</v>
      </c>
      <c r="P38" s="9">
        <f t="shared" si="7"/>
        <v>16.256239999999998</v>
      </c>
      <c r="Q38" s="3">
        <f t="shared" si="3"/>
        <v>25.309599999999996</v>
      </c>
      <c r="R38" s="5">
        <f t="shared" si="4"/>
        <v>23.523199999999999</v>
      </c>
      <c r="S38" s="7">
        <f t="shared" si="5"/>
        <v>21.974986666666666</v>
      </c>
      <c r="T38">
        <v>10</v>
      </c>
      <c r="Y38">
        <v>24</v>
      </c>
    </row>
    <row r="39" spans="2:25" x14ac:dyDescent="0.25">
      <c r="B39" t="s">
        <v>813</v>
      </c>
      <c r="C39">
        <v>10</v>
      </c>
      <c r="D39" t="s">
        <v>929</v>
      </c>
      <c r="E39">
        <v>136.15</v>
      </c>
      <c r="F39" s="9">
        <f t="shared" si="6"/>
        <v>46.291000000000004</v>
      </c>
      <c r="G39" s="3">
        <f t="shared" si="0"/>
        <v>71.516923076923078</v>
      </c>
      <c r="H39" s="5">
        <f t="shared" si="1"/>
        <v>66.430000000000007</v>
      </c>
      <c r="I39" s="7">
        <f t="shared" si="2"/>
        <v>62.021333333333338</v>
      </c>
      <c r="J39">
        <v>2</v>
      </c>
      <c r="L39" t="s">
        <v>836</v>
      </c>
      <c r="M39">
        <v>4</v>
      </c>
      <c r="N39" t="s">
        <v>930</v>
      </c>
      <c r="O39">
        <v>53.24</v>
      </c>
      <c r="P39" s="9">
        <f t="shared" si="7"/>
        <v>19.379360000000002</v>
      </c>
      <c r="Q39" s="3">
        <f t="shared" si="3"/>
        <v>30.114400000000003</v>
      </c>
      <c r="R39" s="5">
        <f t="shared" si="4"/>
        <v>27.984800000000003</v>
      </c>
      <c r="S39" s="7">
        <f t="shared" si="5"/>
        <v>26.139146666666669</v>
      </c>
      <c r="T39">
        <v>9</v>
      </c>
      <c r="Y39">
        <v>4</v>
      </c>
    </row>
    <row r="40" spans="2:25" x14ac:dyDescent="0.25">
      <c r="B40" t="s">
        <v>820</v>
      </c>
      <c r="C40">
        <v>6</v>
      </c>
      <c r="D40" t="s">
        <v>931</v>
      </c>
      <c r="E40">
        <v>110.21</v>
      </c>
      <c r="F40" s="9">
        <f t="shared" si="6"/>
        <v>37.471400000000003</v>
      </c>
      <c r="G40" s="3">
        <f t="shared" si="0"/>
        <v>57.948307692307694</v>
      </c>
      <c r="H40" s="5">
        <f t="shared" si="1"/>
        <v>53.830571428571432</v>
      </c>
      <c r="I40" s="7">
        <f t="shared" si="2"/>
        <v>50.26186666666667</v>
      </c>
      <c r="J40">
        <v>3</v>
      </c>
      <c r="L40" t="s">
        <v>836</v>
      </c>
      <c r="M40">
        <v>5</v>
      </c>
      <c r="N40" t="s">
        <v>932</v>
      </c>
      <c r="O40">
        <v>62.01</v>
      </c>
      <c r="P40" s="9">
        <f t="shared" si="7"/>
        <v>22.571639999999999</v>
      </c>
      <c r="Q40" s="3">
        <f t="shared" si="3"/>
        <v>35.025599999999997</v>
      </c>
      <c r="R40" s="5">
        <f t="shared" si="4"/>
        <v>32.545199999999994</v>
      </c>
      <c r="S40" s="7">
        <f t="shared" si="5"/>
        <v>30.395519999999998</v>
      </c>
      <c r="T40">
        <v>8</v>
      </c>
      <c r="Y40">
        <v>16</v>
      </c>
    </row>
    <row r="41" spans="2:25" x14ac:dyDescent="0.25">
      <c r="B41" t="s">
        <v>820</v>
      </c>
      <c r="C41">
        <v>8</v>
      </c>
      <c r="D41" t="s">
        <v>933</v>
      </c>
      <c r="E41">
        <v>136</v>
      </c>
      <c r="F41" s="9">
        <f t="shared" si="6"/>
        <v>46.24</v>
      </c>
      <c r="G41" s="3">
        <f t="shared" si="0"/>
        <v>71.438461538461539</v>
      </c>
      <c r="H41" s="5">
        <f t="shared" si="1"/>
        <v>66.357142857142861</v>
      </c>
      <c r="I41" s="7">
        <f t="shared" si="2"/>
        <v>61.953333333333333</v>
      </c>
      <c r="J41">
        <v>2</v>
      </c>
      <c r="L41" t="s">
        <v>836</v>
      </c>
      <c r="M41">
        <v>6</v>
      </c>
      <c r="N41" t="s">
        <v>934</v>
      </c>
      <c r="O41">
        <v>70.84</v>
      </c>
      <c r="P41" s="9">
        <f t="shared" si="7"/>
        <v>25.78576</v>
      </c>
      <c r="Q41" s="3">
        <f t="shared" si="3"/>
        <v>39.970399999999998</v>
      </c>
      <c r="R41" s="5">
        <f t="shared" si="4"/>
        <v>37.136800000000001</v>
      </c>
      <c r="S41" s="7">
        <f t="shared" si="5"/>
        <v>34.681013333333333</v>
      </c>
      <c r="T41">
        <v>8</v>
      </c>
      <c r="Y41">
        <v>8</v>
      </c>
    </row>
    <row r="42" spans="2:25" x14ac:dyDescent="0.25">
      <c r="B42" t="s">
        <v>820</v>
      </c>
      <c r="C42">
        <v>10</v>
      </c>
      <c r="D42" t="s">
        <v>935</v>
      </c>
      <c r="E42">
        <v>155.62</v>
      </c>
      <c r="F42" s="9">
        <f t="shared" si="6"/>
        <v>52.910800000000002</v>
      </c>
      <c r="G42" s="3">
        <f t="shared" si="0"/>
        <v>81.701230769230762</v>
      </c>
      <c r="H42" s="5">
        <f t="shared" si="1"/>
        <v>75.886857142857153</v>
      </c>
      <c r="I42" s="7">
        <f t="shared" si="2"/>
        <v>70.847733333333338</v>
      </c>
      <c r="J42">
        <v>2</v>
      </c>
      <c r="L42" t="s">
        <v>936</v>
      </c>
      <c r="Q42" s="10"/>
      <c r="R42" s="10"/>
      <c r="S42" s="10"/>
      <c r="Y42">
        <v>6</v>
      </c>
    </row>
    <row r="43" spans="2:25" x14ac:dyDescent="0.25">
      <c r="B43" t="s">
        <v>827</v>
      </c>
      <c r="C43">
        <v>3</v>
      </c>
      <c r="D43" t="s">
        <v>937</v>
      </c>
      <c r="E43">
        <v>46.83</v>
      </c>
      <c r="F43" s="9">
        <f t="shared" si="6"/>
        <v>15.9222</v>
      </c>
      <c r="G43" s="3">
        <f t="shared" si="0"/>
        <v>24.795692307692306</v>
      </c>
      <c r="H43" s="5">
        <f t="shared" si="1"/>
        <v>23.046000000000003</v>
      </c>
      <c r="I43" s="7">
        <f t="shared" si="2"/>
        <v>21.529600000000002</v>
      </c>
      <c r="J43">
        <v>10</v>
      </c>
      <c r="L43" t="s">
        <v>938</v>
      </c>
      <c r="Q43" s="10"/>
      <c r="R43" s="10"/>
      <c r="S43" s="10"/>
      <c r="Y43">
        <v>8</v>
      </c>
    </row>
    <row r="44" spans="2:25" x14ac:dyDescent="0.25">
      <c r="B44" t="s">
        <v>827</v>
      </c>
      <c r="C44">
        <v>4</v>
      </c>
      <c r="D44" t="s">
        <v>939</v>
      </c>
      <c r="E44">
        <v>55.06</v>
      </c>
      <c r="F44" s="9">
        <f t="shared" si="6"/>
        <v>18.720400000000001</v>
      </c>
      <c r="G44" s="3">
        <f t="shared" si="0"/>
        <v>29.100615384615388</v>
      </c>
      <c r="H44" s="5">
        <f t="shared" si="1"/>
        <v>27.043428571428574</v>
      </c>
      <c r="I44" s="7">
        <f t="shared" si="2"/>
        <v>25.260533333333335</v>
      </c>
      <c r="J44">
        <v>8</v>
      </c>
      <c r="L44" t="s">
        <v>1518</v>
      </c>
      <c r="Q44" s="10"/>
      <c r="R44" s="10"/>
      <c r="S44" s="10"/>
      <c r="Y44">
        <v>6</v>
      </c>
    </row>
    <row r="45" spans="2:25" x14ac:dyDescent="0.25">
      <c r="B45" t="s">
        <v>827</v>
      </c>
      <c r="C45">
        <v>5</v>
      </c>
      <c r="D45" t="s">
        <v>940</v>
      </c>
      <c r="E45">
        <v>62.27</v>
      </c>
      <c r="F45" s="9">
        <f t="shared" si="6"/>
        <v>21.171800000000001</v>
      </c>
      <c r="G45" s="3">
        <f t="shared" si="0"/>
        <v>32.872</v>
      </c>
      <c r="H45" s="5">
        <f t="shared" si="1"/>
        <v>30.545428571428577</v>
      </c>
      <c r="I45" s="7">
        <f t="shared" si="2"/>
        <v>28.529066666666669</v>
      </c>
      <c r="J45">
        <v>7</v>
      </c>
      <c r="L45" t="s">
        <v>1519</v>
      </c>
      <c r="Q45" s="10"/>
      <c r="R45" s="10"/>
      <c r="S45" s="10"/>
      <c r="Y45">
        <v>4</v>
      </c>
    </row>
    <row r="46" spans="2:25" x14ac:dyDescent="0.25">
      <c r="B46" t="s">
        <v>827</v>
      </c>
      <c r="C46">
        <v>6</v>
      </c>
      <c r="D46" t="s">
        <v>941</v>
      </c>
      <c r="E46">
        <v>68.88</v>
      </c>
      <c r="F46" s="9">
        <f t="shared" si="6"/>
        <v>23.4192</v>
      </c>
      <c r="G46" s="3">
        <f t="shared" si="0"/>
        <v>36.329538461538455</v>
      </c>
      <c r="H46" s="5">
        <f t="shared" si="1"/>
        <v>33.756</v>
      </c>
      <c r="I46" s="7">
        <f t="shared" si="2"/>
        <v>31.525600000000001</v>
      </c>
      <c r="J46">
        <v>6</v>
      </c>
      <c r="L46" t="s">
        <v>942</v>
      </c>
      <c r="Q46" s="10"/>
      <c r="R46" s="10"/>
      <c r="S46" s="10"/>
      <c r="Y46">
        <v>12</v>
      </c>
    </row>
    <row r="47" spans="2:25" x14ac:dyDescent="0.25">
      <c r="B47" t="s">
        <v>836</v>
      </c>
      <c r="C47">
        <v>3</v>
      </c>
      <c r="D47" t="s">
        <v>943</v>
      </c>
      <c r="E47">
        <v>48.37</v>
      </c>
      <c r="F47" s="9">
        <f t="shared" si="6"/>
        <v>16.445800000000002</v>
      </c>
      <c r="G47" s="3">
        <f t="shared" si="0"/>
        <v>25.601230769230771</v>
      </c>
      <c r="H47" s="5">
        <f t="shared" si="1"/>
        <v>23.794000000000004</v>
      </c>
      <c r="I47" s="7">
        <f t="shared" si="2"/>
        <v>22.227733333333337</v>
      </c>
      <c r="J47">
        <v>8</v>
      </c>
      <c r="Y47">
        <f>SUM(Y18:Y46)</f>
        <v>270</v>
      </c>
    </row>
    <row r="48" spans="2:25" x14ac:dyDescent="0.25">
      <c r="B48" t="s">
        <v>836</v>
      </c>
      <c r="C48">
        <v>4</v>
      </c>
      <c r="D48" t="s">
        <v>944</v>
      </c>
      <c r="E48">
        <v>58.5</v>
      </c>
      <c r="F48" s="9">
        <f t="shared" si="6"/>
        <v>19.89</v>
      </c>
      <c r="G48" s="3">
        <f t="shared" si="0"/>
        <v>30.900000000000002</v>
      </c>
      <c r="H48" s="5">
        <f t="shared" si="1"/>
        <v>28.714285714285719</v>
      </c>
      <c r="I48" s="7">
        <f t="shared" si="2"/>
        <v>26.82</v>
      </c>
      <c r="J48">
        <v>7</v>
      </c>
      <c r="L48" t="s">
        <v>945</v>
      </c>
    </row>
    <row r="49" spans="2:14" x14ac:dyDescent="0.25">
      <c r="B49" t="s">
        <v>836</v>
      </c>
      <c r="C49">
        <v>5</v>
      </c>
      <c r="D49" t="s">
        <v>946</v>
      </c>
      <c r="E49">
        <v>68.61</v>
      </c>
      <c r="F49" s="9">
        <f t="shared" si="6"/>
        <v>23.327400000000001</v>
      </c>
      <c r="G49" s="3">
        <f t="shared" si="0"/>
        <v>36.188307692307689</v>
      </c>
      <c r="H49" s="5">
        <f t="shared" si="1"/>
        <v>33.624857142857145</v>
      </c>
      <c r="I49" s="7">
        <f t="shared" si="2"/>
        <v>31.403200000000002</v>
      </c>
      <c r="J49">
        <v>6</v>
      </c>
      <c r="L49" t="s">
        <v>947</v>
      </c>
    </row>
    <row r="50" spans="2:14" x14ac:dyDescent="0.25">
      <c r="B50" t="s">
        <v>843</v>
      </c>
      <c r="C50">
        <v>3</v>
      </c>
      <c r="D50" t="s">
        <v>948</v>
      </c>
      <c r="E50">
        <v>51.71</v>
      </c>
      <c r="F50" s="9">
        <f t="shared" si="6"/>
        <v>17.581400000000002</v>
      </c>
      <c r="G50" s="3">
        <f t="shared" si="0"/>
        <v>27.348307692307696</v>
      </c>
      <c r="H50" s="5">
        <f t="shared" si="1"/>
        <v>25.416285714285721</v>
      </c>
      <c r="I50" s="7">
        <f t="shared" si="2"/>
        <v>23.74186666666667</v>
      </c>
      <c r="J50">
        <v>8</v>
      </c>
      <c r="L50" t="s">
        <v>949</v>
      </c>
    </row>
    <row r="51" spans="2:14" x14ac:dyDescent="0.25">
      <c r="B51" t="s">
        <v>843</v>
      </c>
      <c r="C51">
        <v>4</v>
      </c>
      <c r="D51" t="s">
        <v>950</v>
      </c>
      <c r="E51">
        <v>62.9</v>
      </c>
      <c r="F51" s="9">
        <f t="shared" si="6"/>
        <v>21.386000000000003</v>
      </c>
      <c r="G51" s="3">
        <f t="shared" si="0"/>
        <v>33.201538461538462</v>
      </c>
      <c r="H51" s="5">
        <f t="shared" si="1"/>
        <v>30.851428571428578</v>
      </c>
      <c r="I51" s="7">
        <f t="shared" si="2"/>
        <v>28.814666666666671</v>
      </c>
      <c r="J51">
        <v>7</v>
      </c>
      <c r="L51" t="s">
        <v>951</v>
      </c>
    </row>
    <row r="52" spans="2:14" x14ac:dyDescent="0.25">
      <c r="B52" t="s">
        <v>843</v>
      </c>
      <c r="C52">
        <v>5</v>
      </c>
      <c r="D52" t="s">
        <v>952</v>
      </c>
      <c r="E52">
        <v>74.099999999999994</v>
      </c>
      <c r="F52" s="9">
        <f t="shared" si="6"/>
        <v>25.193999999999999</v>
      </c>
      <c r="G52" s="3">
        <f t="shared" si="0"/>
        <v>39.059999999999995</v>
      </c>
      <c r="H52" s="5">
        <f t="shared" si="1"/>
        <v>36.291428571428568</v>
      </c>
      <c r="I52" s="7">
        <f t="shared" si="2"/>
        <v>33.891999999999996</v>
      </c>
      <c r="J52">
        <v>6</v>
      </c>
    </row>
    <row r="53" spans="2:14" x14ac:dyDescent="0.25">
      <c r="B53" t="s">
        <v>850</v>
      </c>
      <c r="C53">
        <v>3</v>
      </c>
      <c r="D53" t="s">
        <v>953</v>
      </c>
      <c r="E53">
        <v>54.96</v>
      </c>
      <c r="F53" s="9">
        <f t="shared" si="6"/>
        <v>18.686400000000003</v>
      </c>
      <c r="G53" s="3">
        <f t="shared" si="0"/>
        <v>29.048307692307695</v>
      </c>
      <c r="H53" s="5">
        <f t="shared" si="1"/>
        <v>26.99485714285715</v>
      </c>
      <c r="I53" s="7">
        <f t="shared" si="2"/>
        <v>25.215200000000003</v>
      </c>
      <c r="J53">
        <v>9</v>
      </c>
      <c r="L53" t="s">
        <v>954</v>
      </c>
    </row>
    <row r="54" spans="2:14" x14ac:dyDescent="0.25">
      <c r="B54" t="s">
        <v>850</v>
      </c>
      <c r="C54">
        <v>4</v>
      </c>
      <c r="D54" t="s">
        <v>955</v>
      </c>
      <c r="E54">
        <v>67.3</v>
      </c>
      <c r="F54" s="9">
        <f t="shared" si="6"/>
        <v>22.882000000000001</v>
      </c>
      <c r="G54" s="3">
        <f t="shared" si="0"/>
        <v>35.503076923076918</v>
      </c>
      <c r="H54" s="5">
        <f t="shared" si="1"/>
        <v>32.988571428571433</v>
      </c>
      <c r="I54" s="7">
        <f t="shared" si="2"/>
        <v>30.809333333333335</v>
      </c>
      <c r="J54">
        <v>8</v>
      </c>
      <c r="L54" t="s">
        <v>956</v>
      </c>
    </row>
    <row r="55" spans="2:14" x14ac:dyDescent="0.25">
      <c r="B55" t="s">
        <v>850</v>
      </c>
      <c r="C55">
        <v>5</v>
      </c>
      <c r="D55" t="s">
        <v>957</v>
      </c>
      <c r="E55">
        <v>79.430000000000007</v>
      </c>
      <c r="F55" s="9">
        <f t="shared" si="6"/>
        <v>27.006200000000003</v>
      </c>
      <c r="G55" s="3">
        <f t="shared" si="0"/>
        <v>41.847999999999999</v>
      </c>
      <c r="H55" s="5">
        <f t="shared" si="1"/>
        <v>38.880285714285719</v>
      </c>
      <c r="I55" s="7">
        <f t="shared" si="2"/>
        <v>36.308266666666668</v>
      </c>
      <c r="J55">
        <v>7</v>
      </c>
    </row>
    <row r="56" spans="2:14" x14ac:dyDescent="0.25">
      <c r="B56" t="s">
        <v>857</v>
      </c>
      <c r="C56">
        <v>3</v>
      </c>
      <c r="D56" t="s">
        <v>958</v>
      </c>
      <c r="E56">
        <v>60.72</v>
      </c>
      <c r="F56" s="9">
        <f t="shared" si="6"/>
        <v>20.6448</v>
      </c>
      <c r="G56" s="3">
        <f t="shared" si="0"/>
        <v>32.061230769230768</v>
      </c>
      <c r="H56" s="5">
        <f t="shared" si="1"/>
        <v>29.792571428571431</v>
      </c>
      <c r="I56" s="7">
        <f t="shared" si="2"/>
        <v>27.8264</v>
      </c>
      <c r="J56">
        <v>8</v>
      </c>
      <c r="M56" t="s">
        <v>959</v>
      </c>
      <c r="N56" t="s">
        <v>960</v>
      </c>
    </row>
    <row r="57" spans="2:14" x14ac:dyDescent="0.25">
      <c r="B57" t="s">
        <v>857</v>
      </c>
      <c r="C57">
        <v>4</v>
      </c>
      <c r="D57" t="s">
        <v>961</v>
      </c>
      <c r="E57">
        <v>74.790000000000006</v>
      </c>
      <c r="F57" s="9">
        <f t="shared" si="6"/>
        <v>25.428600000000003</v>
      </c>
      <c r="G57" s="3">
        <f t="shared" si="0"/>
        <v>39.420923076923074</v>
      </c>
      <c r="H57" s="5">
        <f t="shared" si="1"/>
        <v>36.626571428571431</v>
      </c>
      <c r="I57" s="7">
        <f t="shared" si="2"/>
        <v>34.204799999999999</v>
      </c>
      <c r="J57">
        <v>7</v>
      </c>
      <c r="M57" t="s">
        <v>962</v>
      </c>
      <c r="N57" t="s">
        <v>963</v>
      </c>
    </row>
    <row r="58" spans="2:14" x14ac:dyDescent="0.25">
      <c r="B58" t="s">
        <v>857</v>
      </c>
      <c r="C58">
        <v>5</v>
      </c>
      <c r="D58" t="s">
        <v>964</v>
      </c>
      <c r="E58">
        <v>88.82</v>
      </c>
      <c r="F58" s="9">
        <f t="shared" si="6"/>
        <v>30.198799999999999</v>
      </c>
      <c r="G58" s="3">
        <f t="shared" si="0"/>
        <v>46.759692307692298</v>
      </c>
      <c r="H58" s="5">
        <f t="shared" si="1"/>
        <v>43.441142857142857</v>
      </c>
      <c r="I58" s="7">
        <f t="shared" si="2"/>
        <v>40.56506666666666</v>
      </c>
      <c r="J58">
        <v>5</v>
      </c>
      <c r="N58" t="s">
        <v>965</v>
      </c>
    </row>
    <row r="59" spans="2:14" x14ac:dyDescent="0.25">
      <c r="N59" t="s">
        <v>966</v>
      </c>
    </row>
    <row r="61" spans="2:14" x14ac:dyDescent="0.25">
      <c r="B61" t="s">
        <v>967</v>
      </c>
    </row>
    <row r="62" spans="2:14" x14ac:dyDescent="0.25">
      <c r="B62" t="s">
        <v>968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D672-7305-44E1-8612-614A1E188640}">
  <dimension ref="A1:Q1646"/>
  <sheetViews>
    <sheetView tabSelected="1" workbookViewId="0">
      <selection activeCell="G28" sqref="G28"/>
    </sheetView>
  </sheetViews>
  <sheetFormatPr defaultColWidth="17.5703125" defaultRowHeight="15" x14ac:dyDescent="0.25"/>
  <cols>
    <col min="1" max="1" width="9.5703125" bestFit="1" customWidth="1"/>
    <col min="2" max="2" width="31.5703125" bestFit="1" customWidth="1"/>
    <col min="3" max="3" width="94.42578125" customWidth="1"/>
    <col min="4" max="4" width="15.85546875" style="1" customWidth="1"/>
    <col min="5" max="5" width="16.42578125" bestFit="1" customWidth="1"/>
    <col min="8" max="8" width="8.5703125" customWidth="1"/>
    <col min="9" max="9" width="7.42578125" customWidth="1"/>
    <col min="10" max="10" width="5.28515625" customWidth="1"/>
    <col min="11" max="11" width="12.140625" customWidth="1"/>
    <col min="12" max="12" width="9" customWidth="1"/>
    <col min="17" max="17" width="17.5703125" style="1"/>
  </cols>
  <sheetData>
    <row r="1" spans="1:6" ht="19.7" thickBot="1" x14ac:dyDescent="0.4">
      <c r="A1" s="60" t="s">
        <v>1854</v>
      </c>
      <c r="B1" s="60" t="s">
        <v>1855</v>
      </c>
      <c r="C1" s="60" t="s">
        <v>1856</v>
      </c>
      <c r="D1" s="61" t="s">
        <v>75</v>
      </c>
      <c r="E1" s="60" t="s">
        <v>1857</v>
      </c>
      <c r="F1" s="60" t="s">
        <v>1858</v>
      </c>
    </row>
    <row r="2" spans="1:6" hidden="1" thickBot="1" x14ac:dyDescent="0.3">
      <c r="A2">
        <v>28338</v>
      </c>
      <c r="B2" t="s">
        <v>1859</v>
      </c>
      <c r="C2" t="s">
        <v>1860</v>
      </c>
      <c r="D2" s="1" t="s">
        <v>3082</v>
      </c>
      <c r="E2">
        <v>0</v>
      </c>
      <c r="F2" s="54"/>
    </row>
    <row r="3" spans="1:6" hidden="1" thickBot="1" x14ac:dyDescent="0.3">
      <c r="A3">
        <v>28339</v>
      </c>
      <c r="B3" t="s">
        <v>1861</v>
      </c>
      <c r="C3" t="s">
        <v>1862</v>
      </c>
      <c r="D3" s="1" t="s">
        <v>3082</v>
      </c>
      <c r="E3">
        <v>0</v>
      </c>
      <c r="F3" s="54"/>
    </row>
    <row r="4" spans="1:6" hidden="1" thickBot="1" x14ac:dyDescent="0.3">
      <c r="A4">
        <v>27008</v>
      </c>
      <c r="B4" t="s">
        <v>1863</v>
      </c>
      <c r="C4" t="s">
        <v>1864</v>
      </c>
      <c r="D4" s="1" t="s">
        <v>3082</v>
      </c>
      <c r="E4">
        <v>0</v>
      </c>
      <c r="F4" s="54"/>
    </row>
    <row r="5" spans="1:6" thickBot="1" x14ac:dyDescent="0.3">
      <c r="A5">
        <v>27025</v>
      </c>
      <c r="B5" t="s">
        <v>1865</v>
      </c>
      <c r="C5" t="s">
        <v>1866</v>
      </c>
      <c r="D5" s="75">
        <v>3.32</v>
      </c>
      <c r="E5">
        <v>205</v>
      </c>
      <c r="F5" s="54"/>
    </row>
    <row r="6" spans="1:6" thickBot="1" x14ac:dyDescent="0.3">
      <c r="A6">
        <v>27026</v>
      </c>
      <c r="B6" t="s">
        <v>1867</v>
      </c>
      <c r="C6" t="s">
        <v>1868</v>
      </c>
      <c r="D6" s="75">
        <v>3.99</v>
      </c>
      <c r="E6">
        <v>100</v>
      </c>
      <c r="F6" s="54"/>
    </row>
    <row r="7" spans="1:6" hidden="1" thickBot="1" x14ac:dyDescent="0.3">
      <c r="A7">
        <v>27027</v>
      </c>
      <c r="B7" t="s">
        <v>1869</v>
      </c>
      <c r="C7" t="s">
        <v>1870</v>
      </c>
      <c r="E7">
        <v>0</v>
      </c>
      <c r="F7" s="54"/>
    </row>
    <row r="8" spans="1:6" thickBot="1" x14ac:dyDescent="0.3">
      <c r="A8">
        <v>27028</v>
      </c>
      <c r="B8" t="s">
        <v>1871</v>
      </c>
      <c r="C8" t="s">
        <v>1872</v>
      </c>
      <c r="D8" s="75">
        <v>3.7</v>
      </c>
      <c r="E8">
        <v>7</v>
      </c>
      <c r="F8" s="54"/>
    </row>
    <row r="9" spans="1:6" thickBot="1" x14ac:dyDescent="0.3">
      <c r="A9">
        <v>27029</v>
      </c>
      <c r="B9" t="s">
        <v>1873</v>
      </c>
      <c r="C9" t="s">
        <v>1874</v>
      </c>
      <c r="D9" s="75">
        <v>4.43</v>
      </c>
      <c r="E9">
        <v>104</v>
      </c>
      <c r="F9" s="54"/>
    </row>
    <row r="10" spans="1:6" hidden="1" thickBot="1" x14ac:dyDescent="0.3">
      <c r="A10">
        <v>27030</v>
      </c>
      <c r="B10" t="s">
        <v>1875</v>
      </c>
      <c r="C10" t="s">
        <v>1876</v>
      </c>
      <c r="E10">
        <v>0</v>
      </c>
      <c r="F10" s="54"/>
    </row>
    <row r="11" spans="1:6" hidden="1" thickBot="1" x14ac:dyDescent="0.3">
      <c r="A11">
        <v>27036</v>
      </c>
      <c r="B11" t="s">
        <v>1877</v>
      </c>
      <c r="C11" t="s">
        <v>1878</v>
      </c>
      <c r="E11">
        <v>0</v>
      </c>
      <c r="F11" s="54"/>
    </row>
    <row r="12" spans="1:6" thickBot="1" x14ac:dyDescent="0.3">
      <c r="A12">
        <v>27031</v>
      </c>
      <c r="B12" t="s">
        <v>1879</v>
      </c>
      <c r="C12" t="s">
        <v>1880</v>
      </c>
      <c r="D12" s="75" t="s">
        <v>3082</v>
      </c>
      <c r="E12">
        <v>3</v>
      </c>
      <c r="F12" s="54"/>
    </row>
    <row r="13" spans="1:6" thickBot="1" x14ac:dyDescent="0.3">
      <c r="A13">
        <v>27034</v>
      </c>
      <c r="B13" t="s">
        <v>1881</v>
      </c>
      <c r="C13" t="s">
        <v>1882</v>
      </c>
      <c r="D13" s="75" t="s">
        <v>3082</v>
      </c>
      <c r="E13">
        <v>7</v>
      </c>
      <c r="F13" s="54"/>
    </row>
    <row r="14" spans="1:6" thickBot="1" x14ac:dyDescent="0.3">
      <c r="A14">
        <v>27032</v>
      </c>
      <c r="B14" t="s">
        <v>1883</v>
      </c>
      <c r="C14" t="s">
        <v>1884</v>
      </c>
      <c r="D14" s="75">
        <v>6.74</v>
      </c>
      <c r="E14">
        <v>144</v>
      </c>
      <c r="F14" s="54"/>
    </row>
    <row r="15" spans="1:6" hidden="1" thickBot="1" x14ac:dyDescent="0.3">
      <c r="A15">
        <v>27033</v>
      </c>
      <c r="B15" t="s">
        <v>1885</v>
      </c>
      <c r="C15" t="s">
        <v>1886</v>
      </c>
      <c r="E15">
        <v>0</v>
      </c>
      <c r="F15" s="54"/>
    </row>
    <row r="16" spans="1:6" thickBot="1" x14ac:dyDescent="0.3">
      <c r="A16">
        <v>27035</v>
      </c>
      <c r="B16" t="s">
        <v>1887</v>
      </c>
      <c r="C16" t="s">
        <v>1888</v>
      </c>
      <c r="D16" s="75">
        <v>3.17</v>
      </c>
      <c r="E16">
        <v>248</v>
      </c>
      <c r="F16" s="54"/>
    </row>
    <row r="17" spans="1:6" thickBot="1" x14ac:dyDescent="0.3">
      <c r="A17">
        <v>27037</v>
      </c>
      <c r="B17" t="s">
        <v>1889</v>
      </c>
      <c r="C17" t="s">
        <v>1890</v>
      </c>
      <c r="D17" s="75">
        <v>3.67</v>
      </c>
      <c r="E17">
        <v>1</v>
      </c>
      <c r="F17" s="54"/>
    </row>
    <row r="18" spans="1:6" thickBot="1" x14ac:dyDescent="0.3">
      <c r="A18">
        <v>27039</v>
      </c>
      <c r="B18" t="s">
        <v>1891</v>
      </c>
      <c r="C18" t="s">
        <v>1892</v>
      </c>
      <c r="D18" s="75" t="s">
        <v>3082</v>
      </c>
      <c r="E18">
        <v>1</v>
      </c>
      <c r="F18" s="54"/>
    </row>
    <row r="19" spans="1:6" hidden="1" thickBot="1" x14ac:dyDescent="0.3">
      <c r="A19">
        <v>27038</v>
      </c>
      <c r="B19" t="s">
        <v>1893</v>
      </c>
      <c r="C19" t="s">
        <v>1894</v>
      </c>
      <c r="E19">
        <v>0</v>
      </c>
      <c r="F19" s="54"/>
    </row>
    <row r="20" spans="1:6" hidden="1" thickBot="1" x14ac:dyDescent="0.3">
      <c r="A20">
        <v>27040</v>
      </c>
      <c r="B20" t="s">
        <v>1895</v>
      </c>
      <c r="C20" t="s">
        <v>1896</v>
      </c>
      <c r="E20">
        <v>0</v>
      </c>
      <c r="F20" s="54"/>
    </row>
    <row r="21" spans="1:6" thickBot="1" x14ac:dyDescent="0.3">
      <c r="A21">
        <v>27041</v>
      </c>
      <c r="B21" t="s">
        <v>1897</v>
      </c>
      <c r="C21" t="s">
        <v>1898</v>
      </c>
      <c r="D21" s="75" t="s">
        <v>3082</v>
      </c>
      <c r="E21">
        <v>13</v>
      </c>
      <c r="F21" s="54"/>
    </row>
    <row r="22" spans="1:6" hidden="1" thickBot="1" x14ac:dyDescent="0.3">
      <c r="A22">
        <v>27042</v>
      </c>
      <c r="B22" t="s">
        <v>1899</v>
      </c>
      <c r="C22" t="s">
        <v>1900</v>
      </c>
      <c r="E22">
        <v>0</v>
      </c>
      <c r="F22" s="54"/>
    </row>
    <row r="23" spans="1:6" hidden="1" thickBot="1" x14ac:dyDescent="0.3">
      <c r="A23">
        <v>27043</v>
      </c>
      <c r="B23" t="s">
        <v>1901</v>
      </c>
      <c r="C23" t="s">
        <v>1902</v>
      </c>
      <c r="E23">
        <v>0</v>
      </c>
      <c r="F23" s="54"/>
    </row>
    <row r="24" spans="1:6" hidden="1" thickBot="1" x14ac:dyDescent="0.3">
      <c r="A24">
        <v>27044</v>
      </c>
      <c r="B24" t="s">
        <v>1903</v>
      </c>
      <c r="C24" t="s">
        <v>1904</v>
      </c>
      <c r="E24">
        <v>0</v>
      </c>
      <c r="F24" s="54"/>
    </row>
    <row r="25" spans="1:6" hidden="1" thickBot="1" x14ac:dyDescent="0.3">
      <c r="A25">
        <v>27047</v>
      </c>
      <c r="B25" t="s">
        <v>1905</v>
      </c>
      <c r="C25" t="s">
        <v>1906</v>
      </c>
      <c r="E25">
        <v>0</v>
      </c>
      <c r="F25" s="54"/>
    </row>
    <row r="26" spans="1:6" hidden="1" thickBot="1" x14ac:dyDescent="0.3">
      <c r="A26">
        <v>27046</v>
      </c>
      <c r="B26" t="s">
        <v>1907</v>
      </c>
      <c r="C26" t="s">
        <v>1908</v>
      </c>
      <c r="E26">
        <v>0</v>
      </c>
      <c r="F26" s="54"/>
    </row>
    <row r="27" spans="1:6" thickBot="1" x14ac:dyDescent="0.3">
      <c r="A27">
        <v>27045</v>
      </c>
      <c r="B27" t="s">
        <v>1909</v>
      </c>
      <c r="C27" t="s">
        <v>1910</v>
      </c>
      <c r="D27" s="75">
        <v>4.3499999999999996</v>
      </c>
      <c r="E27">
        <v>312</v>
      </c>
      <c r="F27" s="54"/>
    </row>
    <row r="28" spans="1:6" thickBot="1" x14ac:dyDescent="0.3">
      <c r="A28">
        <v>27048</v>
      </c>
      <c r="B28" t="s">
        <v>1911</v>
      </c>
      <c r="C28" t="s">
        <v>1912</v>
      </c>
      <c r="D28" s="75">
        <v>4.32</v>
      </c>
      <c r="E28">
        <v>1006</v>
      </c>
      <c r="F28" s="54"/>
    </row>
    <row r="29" spans="1:6" thickBot="1" x14ac:dyDescent="0.3">
      <c r="A29">
        <v>27049</v>
      </c>
      <c r="B29" t="s">
        <v>1913</v>
      </c>
      <c r="C29" t="s">
        <v>1914</v>
      </c>
      <c r="D29" s="75" t="s">
        <v>3082</v>
      </c>
      <c r="E29">
        <v>518</v>
      </c>
      <c r="F29" s="54"/>
    </row>
    <row r="30" spans="1:6" hidden="1" thickBot="1" x14ac:dyDescent="0.3">
      <c r="A30">
        <v>28398</v>
      </c>
      <c r="B30" t="s">
        <v>1915</v>
      </c>
      <c r="C30" t="s">
        <v>1916</v>
      </c>
      <c r="E30">
        <v>0</v>
      </c>
      <c r="F30" s="54"/>
    </row>
    <row r="31" spans="1:6" thickBot="1" x14ac:dyDescent="0.3">
      <c r="A31">
        <v>27056</v>
      </c>
      <c r="B31" t="s">
        <v>1917</v>
      </c>
      <c r="C31" t="s">
        <v>1918</v>
      </c>
      <c r="D31" s="75" t="s">
        <v>3082</v>
      </c>
      <c r="E31">
        <v>50</v>
      </c>
      <c r="F31" s="54"/>
    </row>
    <row r="32" spans="1:6" thickBot="1" x14ac:dyDescent="0.3">
      <c r="A32">
        <v>28401</v>
      </c>
      <c r="B32" t="s">
        <v>1919</v>
      </c>
      <c r="C32" t="s">
        <v>1920</v>
      </c>
      <c r="D32" s="75">
        <v>5.93</v>
      </c>
      <c r="E32">
        <v>12</v>
      </c>
      <c r="F32" s="54"/>
    </row>
    <row r="33" spans="1:6" thickBot="1" x14ac:dyDescent="0.3">
      <c r="A33">
        <v>27055</v>
      </c>
      <c r="B33" t="s">
        <v>1921</v>
      </c>
      <c r="C33" t="s">
        <v>1922</v>
      </c>
      <c r="D33" s="75" t="s">
        <v>3082</v>
      </c>
      <c r="E33">
        <v>12</v>
      </c>
      <c r="F33" s="54"/>
    </row>
    <row r="34" spans="1:6" thickBot="1" x14ac:dyDescent="0.3">
      <c r="A34">
        <v>27050</v>
      </c>
      <c r="B34" t="s">
        <v>1923</v>
      </c>
      <c r="C34" t="s">
        <v>1924</v>
      </c>
      <c r="D34" s="75">
        <v>8.36</v>
      </c>
      <c r="E34">
        <v>70</v>
      </c>
      <c r="F34" s="54"/>
    </row>
    <row r="35" spans="1:6" hidden="1" thickBot="1" x14ac:dyDescent="0.3">
      <c r="A35">
        <v>27054</v>
      </c>
      <c r="B35" t="s">
        <v>1925</v>
      </c>
      <c r="C35" t="s">
        <v>1926</v>
      </c>
      <c r="E35">
        <v>0</v>
      </c>
      <c r="F35" s="54"/>
    </row>
    <row r="36" spans="1:6" thickBot="1" x14ac:dyDescent="0.3">
      <c r="A36">
        <v>27057</v>
      </c>
      <c r="B36" t="s">
        <v>1927</v>
      </c>
      <c r="C36" t="s">
        <v>1928</v>
      </c>
      <c r="D36" s="75" t="s">
        <v>3082</v>
      </c>
      <c r="E36">
        <v>24</v>
      </c>
      <c r="F36" s="54"/>
    </row>
    <row r="37" spans="1:6" hidden="1" thickBot="1" x14ac:dyDescent="0.3">
      <c r="A37">
        <v>27052</v>
      </c>
      <c r="B37" t="s">
        <v>1929</v>
      </c>
      <c r="C37" t="s">
        <v>1930</v>
      </c>
      <c r="E37">
        <v>0</v>
      </c>
      <c r="F37" s="54"/>
    </row>
    <row r="38" spans="1:6" thickBot="1" x14ac:dyDescent="0.3">
      <c r="A38">
        <v>27051</v>
      </c>
      <c r="B38" t="s">
        <v>1931</v>
      </c>
      <c r="C38" t="s">
        <v>1932</v>
      </c>
      <c r="D38" s="75" t="s">
        <v>3082</v>
      </c>
      <c r="E38">
        <v>30</v>
      </c>
      <c r="F38" s="54"/>
    </row>
    <row r="39" spans="1:6" hidden="1" thickBot="1" x14ac:dyDescent="0.3">
      <c r="A39">
        <v>27053</v>
      </c>
      <c r="B39" t="s">
        <v>1933</v>
      </c>
      <c r="C39" t="s">
        <v>1934</v>
      </c>
      <c r="E39">
        <v>0</v>
      </c>
      <c r="F39" s="54"/>
    </row>
    <row r="40" spans="1:6" thickBot="1" x14ac:dyDescent="0.3">
      <c r="A40">
        <v>28407</v>
      </c>
      <c r="B40" t="s">
        <v>1935</v>
      </c>
      <c r="C40" t="s">
        <v>1936</v>
      </c>
      <c r="D40" s="75">
        <v>14.22</v>
      </c>
      <c r="E40">
        <v>1</v>
      </c>
      <c r="F40" s="54"/>
    </row>
    <row r="41" spans="1:6" thickBot="1" x14ac:dyDescent="0.3">
      <c r="A41">
        <v>28408</v>
      </c>
      <c r="B41" t="s">
        <v>1937</v>
      </c>
      <c r="C41" t="s">
        <v>1938</v>
      </c>
      <c r="D41" s="75" t="s">
        <v>3082</v>
      </c>
      <c r="E41">
        <v>3</v>
      </c>
      <c r="F41" s="54"/>
    </row>
    <row r="42" spans="1:6" thickBot="1" x14ac:dyDescent="0.3">
      <c r="A42">
        <v>27059</v>
      </c>
      <c r="B42" t="s">
        <v>1939</v>
      </c>
      <c r="C42" t="s">
        <v>1940</v>
      </c>
      <c r="D42" s="75" t="s">
        <v>3082</v>
      </c>
      <c r="E42">
        <v>19</v>
      </c>
      <c r="F42" s="54"/>
    </row>
    <row r="43" spans="1:6" hidden="1" thickBot="1" x14ac:dyDescent="0.3">
      <c r="A43">
        <v>27058</v>
      </c>
      <c r="B43" t="s">
        <v>1941</v>
      </c>
      <c r="C43" t="s">
        <v>1942</v>
      </c>
      <c r="E43">
        <v>0</v>
      </c>
      <c r="F43" s="54"/>
    </row>
    <row r="44" spans="1:6" thickBot="1" x14ac:dyDescent="0.3">
      <c r="A44">
        <v>27060</v>
      </c>
      <c r="B44" t="s">
        <v>1943</v>
      </c>
      <c r="C44" t="s">
        <v>1944</v>
      </c>
      <c r="D44" s="75">
        <v>3.74</v>
      </c>
      <c r="E44">
        <v>50</v>
      </c>
      <c r="F44" s="54"/>
    </row>
    <row r="45" spans="1:6" thickBot="1" x14ac:dyDescent="0.3">
      <c r="A45">
        <v>27061</v>
      </c>
      <c r="B45" t="s">
        <v>1945</v>
      </c>
      <c r="C45" t="s">
        <v>1946</v>
      </c>
      <c r="D45" s="75">
        <v>4.49</v>
      </c>
      <c r="E45">
        <v>108</v>
      </c>
      <c r="F45" s="54"/>
    </row>
    <row r="46" spans="1:6" thickBot="1" x14ac:dyDescent="0.3">
      <c r="A46">
        <v>27062</v>
      </c>
      <c r="B46" t="s">
        <v>1947</v>
      </c>
      <c r="C46" t="s">
        <v>1948</v>
      </c>
      <c r="D46" s="75">
        <v>3.74</v>
      </c>
      <c r="E46">
        <v>49</v>
      </c>
      <c r="F46" s="54"/>
    </row>
    <row r="47" spans="1:6" hidden="1" thickBot="1" x14ac:dyDescent="0.3">
      <c r="A47">
        <v>27064</v>
      </c>
      <c r="B47" t="s">
        <v>1949</v>
      </c>
      <c r="C47" t="s">
        <v>1950</v>
      </c>
      <c r="E47">
        <v>0</v>
      </c>
      <c r="F47" s="54"/>
    </row>
    <row r="48" spans="1:6" hidden="1" thickBot="1" x14ac:dyDescent="0.3">
      <c r="A48">
        <v>27063</v>
      </c>
      <c r="B48" t="s">
        <v>1951</v>
      </c>
      <c r="C48" t="s">
        <v>1952</v>
      </c>
      <c r="E48">
        <v>0</v>
      </c>
      <c r="F48" s="54"/>
    </row>
    <row r="49" spans="1:6" hidden="1" thickBot="1" x14ac:dyDescent="0.3">
      <c r="A49">
        <v>27065</v>
      </c>
      <c r="B49" t="s">
        <v>1953</v>
      </c>
      <c r="C49" t="s">
        <v>1954</v>
      </c>
      <c r="E49">
        <v>0</v>
      </c>
      <c r="F49" s="54"/>
    </row>
    <row r="50" spans="1:6" hidden="1" thickBot="1" x14ac:dyDescent="0.3">
      <c r="A50">
        <v>27066</v>
      </c>
      <c r="B50" t="s">
        <v>1955</v>
      </c>
      <c r="C50" t="s">
        <v>1956</v>
      </c>
      <c r="E50">
        <v>0</v>
      </c>
      <c r="F50" s="54"/>
    </row>
    <row r="51" spans="1:6" thickBot="1" x14ac:dyDescent="0.3">
      <c r="A51">
        <v>27067</v>
      </c>
      <c r="B51" t="s">
        <v>1957</v>
      </c>
      <c r="C51" t="s">
        <v>1958</v>
      </c>
      <c r="D51" s="75">
        <v>3.69</v>
      </c>
      <c r="E51">
        <v>279</v>
      </c>
      <c r="F51" s="54"/>
    </row>
    <row r="52" spans="1:6" thickBot="1" x14ac:dyDescent="0.3">
      <c r="A52">
        <v>27068</v>
      </c>
      <c r="B52" t="s">
        <v>1959</v>
      </c>
      <c r="C52" t="s">
        <v>1960</v>
      </c>
      <c r="D52" s="75">
        <v>3.56</v>
      </c>
      <c r="E52">
        <v>25</v>
      </c>
      <c r="F52" s="54"/>
    </row>
    <row r="53" spans="1:6" thickBot="1" x14ac:dyDescent="0.3">
      <c r="A53">
        <v>27069</v>
      </c>
      <c r="B53" t="s">
        <v>1961</v>
      </c>
      <c r="C53" t="s">
        <v>1962</v>
      </c>
      <c r="D53" s="75">
        <v>3.6</v>
      </c>
      <c r="E53">
        <v>79</v>
      </c>
      <c r="F53" s="54"/>
    </row>
    <row r="54" spans="1:6" hidden="1" thickBot="1" x14ac:dyDescent="0.3">
      <c r="A54">
        <v>27074</v>
      </c>
      <c r="B54" t="s">
        <v>1963</v>
      </c>
      <c r="C54" t="s">
        <v>1964</v>
      </c>
      <c r="E54">
        <v>0</v>
      </c>
      <c r="F54" s="54"/>
    </row>
    <row r="55" spans="1:6" thickBot="1" x14ac:dyDescent="0.3">
      <c r="A55">
        <v>27070</v>
      </c>
      <c r="B55" t="s">
        <v>1965</v>
      </c>
      <c r="C55" t="s">
        <v>1966</v>
      </c>
      <c r="D55" s="75">
        <v>4.1100000000000003</v>
      </c>
      <c r="E55">
        <v>44</v>
      </c>
      <c r="F55" s="54"/>
    </row>
    <row r="56" spans="1:6" thickBot="1" x14ac:dyDescent="0.3">
      <c r="A56">
        <v>27072</v>
      </c>
      <c r="B56" t="s">
        <v>1967</v>
      </c>
      <c r="C56" t="s">
        <v>1968</v>
      </c>
      <c r="D56" s="75">
        <v>4.43</v>
      </c>
      <c r="E56">
        <v>271</v>
      </c>
      <c r="F56" s="54"/>
    </row>
    <row r="57" spans="1:6" hidden="1" thickBot="1" x14ac:dyDescent="0.3">
      <c r="A57">
        <v>27071</v>
      </c>
      <c r="B57" t="s">
        <v>1969</v>
      </c>
      <c r="C57" t="s">
        <v>1970</v>
      </c>
      <c r="E57">
        <v>0</v>
      </c>
      <c r="F57" s="54"/>
    </row>
    <row r="58" spans="1:6" thickBot="1" x14ac:dyDescent="0.3">
      <c r="A58">
        <v>27073</v>
      </c>
      <c r="B58" t="s">
        <v>1971</v>
      </c>
      <c r="C58" t="s">
        <v>1972</v>
      </c>
      <c r="D58" s="75">
        <v>4.4000000000000004</v>
      </c>
      <c r="E58">
        <v>84</v>
      </c>
      <c r="F58" s="54"/>
    </row>
    <row r="59" spans="1:6" thickBot="1" x14ac:dyDescent="0.3">
      <c r="A59">
        <v>27075</v>
      </c>
      <c r="B59" t="s">
        <v>1973</v>
      </c>
      <c r="C59" t="s">
        <v>1974</v>
      </c>
      <c r="D59" s="75" t="s">
        <v>3082</v>
      </c>
      <c r="E59">
        <v>230</v>
      </c>
      <c r="F59" s="54"/>
    </row>
    <row r="60" spans="1:6" thickBot="1" x14ac:dyDescent="0.3">
      <c r="A60">
        <v>27076</v>
      </c>
      <c r="B60" t="s">
        <v>1975</v>
      </c>
      <c r="C60" t="s">
        <v>1976</v>
      </c>
      <c r="D60" s="75">
        <v>4.76</v>
      </c>
      <c r="E60">
        <v>180</v>
      </c>
      <c r="F60" s="54"/>
    </row>
    <row r="61" spans="1:6" hidden="1" thickBot="1" x14ac:dyDescent="0.3">
      <c r="A61">
        <v>27077</v>
      </c>
      <c r="B61" t="s">
        <v>1977</v>
      </c>
      <c r="C61" t="s">
        <v>1978</v>
      </c>
      <c r="E61">
        <v>0</v>
      </c>
      <c r="F61" s="54"/>
    </row>
    <row r="62" spans="1:6" thickBot="1" x14ac:dyDescent="0.3">
      <c r="A62">
        <v>27078</v>
      </c>
      <c r="B62" t="s">
        <v>1979</v>
      </c>
      <c r="C62" t="s">
        <v>1980</v>
      </c>
      <c r="D62" s="75">
        <v>4.9000000000000004</v>
      </c>
      <c r="E62">
        <v>100</v>
      </c>
      <c r="F62" s="54"/>
    </row>
    <row r="63" spans="1:6" thickBot="1" x14ac:dyDescent="0.3">
      <c r="A63">
        <v>27079</v>
      </c>
      <c r="B63" t="s">
        <v>1981</v>
      </c>
      <c r="C63" t="s">
        <v>1982</v>
      </c>
      <c r="D63" s="75" t="s">
        <v>3082</v>
      </c>
      <c r="E63">
        <v>2</v>
      </c>
      <c r="F63" s="54"/>
    </row>
    <row r="64" spans="1:6" ht="15.75" thickBot="1" x14ac:dyDescent="0.3">
      <c r="A64">
        <v>28410</v>
      </c>
      <c r="B64" t="s">
        <v>1983</v>
      </c>
      <c r="C64" t="s">
        <v>1984</v>
      </c>
      <c r="D64" s="75">
        <v>5.08</v>
      </c>
      <c r="E64">
        <v>132</v>
      </c>
      <c r="F64" s="54"/>
    </row>
    <row r="65" spans="1:6" ht="15.75" thickBot="1" x14ac:dyDescent="0.3">
      <c r="A65">
        <v>27080</v>
      </c>
      <c r="B65" t="s">
        <v>1985</v>
      </c>
      <c r="C65" t="s">
        <v>1986</v>
      </c>
      <c r="D65" s="75">
        <v>5.95</v>
      </c>
      <c r="E65">
        <v>201</v>
      </c>
      <c r="F65" s="54"/>
    </row>
    <row r="66" spans="1:6" ht="15.75" thickBot="1" x14ac:dyDescent="0.3">
      <c r="A66">
        <v>27081</v>
      </c>
      <c r="B66" t="s">
        <v>1987</v>
      </c>
      <c r="C66" t="s">
        <v>1988</v>
      </c>
      <c r="D66" s="75">
        <v>7.3</v>
      </c>
      <c r="E66">
        <v>71</v>
      </c>
      <c r="F66" s="54"/>
    </row>
    <row r="67" spans="1:6" ht="15.75" thickBot="1" x14ac:dyDescent="0.3">
      <c r="A67">
        <v>27082</v>
      </c>
      <c r="B67" t="s">
        <v>1989</v>
      </c>
      <c r="C67" t="s">
        <v>1990</v>
      </c>
      <c r="D67" s="75" t="s">
        <v>3082</v>
      </c>
      <c r="E67">
        <v>5</v>
      </c>
      <c r="F67" s="54"/>
    </row>
    <row r="68" spans="1:6" ht="15.75" thickBot="1" x14ac:dyDescent="0.3">
      <c r="A68">
        <v>27083</v>
      </c>
      <c r="B68" t="s">
        <v>1991</v>
      </c>
      <c r="C68" t="s">
        <v>1992</v>
      </c>
      <c r="D68" s="75">
        <v>9.4600000000000009</v>
      </c>
      <c r="E68">
        <v>111</v>
      </c>
      <c r="F68" s="54"/>
    </row>
    <row r="69" spans="1:6" hidden="1" thickBot="1" x14ac:dyDescent="0.3">
      <c r="A69">
        <v>27085</v>
      </c>
      <c r="B69" t="s">
        <v>1993</v>
      </c>
      <c r="C69" t="s">
        <v>1994</v>
      </c>
      <c r="E69">
        <v>0</v>
      </c>
      <c r="F69" s="54"/>
    </row>
    <row r="70" spans="1:6" ht="15.75" thickBot="1" x14ac:dyDescent="0.3">
      <c r="A70">
        <v>27084</v>
      </c>
      <c r="B70" t="s">
        <v>1995</v>
      </c>
      <c r="C70" t="s">
        <v>1996</v>
      </c>
      <c r="D70" s="75">
        <v>3.83</v>
      </c>
      <c r="E70">
        <v>198</v>
      </c>
      <c r="F70" s="54"/>
    </row>
    <row r="71" spans="1:6" ht="15.75" thickBot="1" x14ac:dyDescent="0.3">
      <c r="A71">
        <v>27086</v>
      </c>
      <c r="B71" t="s">
        <v>1997</v>
      </c>
      <c r="C71" t="s">
        <v>1998</v>
      </c>
      <c r="D71" s="75">
        <v>4.96</v>
      </c>
      <c r="E71">
        <v>1</v>
      </c>
      <c r="F71" s="54"/>
    </row>
    <row r="72" spans="1:6" hidden="1" thickBot="1" x14ac:dyDescent="0.3">
      <c r="A72">
        <v>27090</v>
      </c>
      <c r="B72" t="s">
        <v>1999</v>
      </c>
      <c r="C72" t="s">
        <v>2000</v>
      </c>
      <c r="E72">
        <v>0</v>
      </c>
      <c r="F72" s="54"/>
    </row>
    <row r="73" spans="1:6" hidden="1" thickBot="1" x14ac:dyDescent="0.3">
      <c r="A73">
        <v>27088</v>
      </c>
      <c r="B73" t="s">
        <v>2001</v>
      </c>
      <c r="C73" t="s">
        <v>2002</v>
      </c>
      <c r="E73">
        <v>0</v>
      </c>
      <c r="F73" s="54"/>
    </row>
    <row r="74" spans="1:6" ht="15.75" thickBot="1" x14ac:dyDescent="0.3">
      <c r="A74">
        <v>27087</v>
      </c>
      <c r="B74" t="s">
        <v>2003</v>
      </c>
      <c r="C74" t="s">
        <v>2004</v>
      </c>
      <c r="D74" s="75">
        <v>6.41</v>
      </c>
      <c r="E74">
        <v>195</v>
      </c>
      <c r="F74" s="54"/>
    </row>
    <row r="75" spans="1:6" ht="15.75" thickBot="1" x14ac:dyDescent="0.3">
      <c r="A75">
        <v>27089</v>
      </c>
      <c r="B75" t="s">
        <v>2005</v>
      </c>
      <c r="C75" t="s">
        <v>2006</v>
      </c>
      <c r="D75" s="75">
        <v>6.04</v>
      </c>
      <c r="E75">
        <v>150</v>
      </c>
      <c r="F75" s="54"/>
    </row>
    <row r="76" spans="1:6" hidden="1" thickBot="1" x14ac:dyDescent="0.3">
      <c r="A76">
        <v>27091</v>
      </c>
      <c r="B76" t="s">
        <v>2007</v>
      </c>
      <c r="C76" t="s">
        <v>2008</v>
      </c>
      <c r="E76">
        <v>0</v>
      </c>
      <c r="F76" s="54"/>
    </row>
    <row r="77" spans="1:6" ht="15.75" thickBot="1" x14ac:dyDescent="0.3">
      <c r="A77">
        <v>27093</v>
      </c>
      <c r="B77" t="s">
        <v>2009</v>
      </c>
      <c r="C77" t="s">
        <v>2010</v>
      </c>
      <c r="D77" s="75">
        <v>5.09</v>
      </c>
      <c r="E77">
        <v>50</v>
      </c>
      <c r="F77" s="54"/>
    </row>
    <row r="78" spans="1:6" hidden="1" thickBot="1" x14ac:dyDescent="0.3">
      <c r="A78">
        <v>27092</v>
      </c>
      <c r="B78" t="s">
        <v>2011</v>
      </c>
      <c r="C78" t="s">
        <v>2012</v>
      </c>
      <c r="E78">
        <v>0</v>
      </c>
      <c r="F78" s="54"/>
    </row>
    <row r="79" spans="1:6" hidden="1" thickBot="1" x14ac:dyDescent="0.3">
      <c r="A79">
        <v>27094</v>
      </c>
      <c r="B79" t="s">
        <v>2013</v>
      </c>
      <c r="C79" t="s">
        <v>2014</v>
      </c>
      <c r="E79">
        <v>0</v>
      </c>
      <c r="F79" s="54"/>
    </row>
    <row r="80" spans="1:6" hidden="1" thickBot="1" x14ac:dyDescent="0.3">
      <c r="A80">
        <v>27096</v>
      </c>
      <c r="B80" t="s">
        <v>2015</v>
      </c>
      <c r="C80" t="s">
        <v>2016</v>
      </c>
      <c r="E80">
        <v>0</v>
      </c>
      <c r="F80" s="54"/>
    </row>
    <row r="81" spans="1:6" ht="15.75" thickBot="1" x14ac:dyDescent="0.3">
      <c r="A81">
        <v>27095</v>
      </c>
      <c r="B81" t="s">
        <v>2017</v>
      </c>
      <c r="C81" t="s">
        <v>2018</v>
      </c>
      <c r="D81" s="75">
        <v>6.46</v>
      </c>
      <c r="E81">
        <v>1</v>
      </c>
      <c r="F81" s="54"/>
    </row>
    <row r="82" spans="1:6" hidden="1" thickBot="1" x14ac:dyDescent="0.3">
      <c r="A82">
        <v>27097</v>
      </c>
      <c r="B82" t="s">
        <v>2019</v>
      </c>
      <c r="C82" t="s">
        <v>2020</v>
      </c>
      <c r="E82">
        <v>0</v>
      </c>
      <c r="F82" s="54"/>
    </row>
    <row r="83" spans="1:6" hidden="1" thickBot="1" x14ac:dyDescent="0.3">
      <c r="A83">
        <v>27098</v>
      </c>
      <c r="B83" t="s">
        <v>2021</v>
      </c>
      <c r="C83" t="s">
        <v>2022</v>
      </c>
      <c r="E83">
        <v>0</v>
      </c>
      <c r="F83" s="54"/>
    </row>
    <row r="84" spans="1:6" hidden="1" thickBot="1" x14ac:dyDescent="0.3">
      <c r="A84">
        <v>27099</v>
      </c>
      <c r="B84" t="s">
        <v>2023</v>
      </c>
      <c r="C84" t="s">
        <v>2024</v>
      </c>
      <c r="E84">
        <v>0</v>
      </c>
      <c r="F84" s="54"/>
    </row>
    <row r="85" spans="1:6" hidden="1" thickBot="1" x14ac:dyDescent="0.3">
      <c r="A85">
        <v>27100</v>
      </c>
      <c r="B85" t="s">
        <v>2025</v>
      </c>
      <c r="C85" t="s">
        <v>2026</v>
      </c>
      <c r="E85">
        <v>0</v>
      </c>
      <c r="F85" s="54"/>
    </row>
    <row r="86" spans="1:6" ht="15.75" thickBot="1" x14ac:dyDescent="0.3">
      <c r="A86">
        <v>27101</v>
      </c>
      <c r="B86" t="s">
        <v>2027</v>
      </c>
      <c r="C86" t="s">
        <v>2028</v>
      </c>
      <c r="D86" s="75" t="s">
        <v>3082</v>
      </c>
      <c r="E86">
        <v>14</v>
      </c>
      <c r="F86" s="54"/>
    </row>
    <row r="87" spans="1:6" hidden="1" thickBot="1" x14ac:dyDescent="0.3">
      <c r="A87">
        <v>27102</v>
      </c>
      <c r="B87" t="s">
        <v>2029</v>
      </c>
      <c r="C87" t="s">
        <v>2030</v>
      </c>
      <c r="E87">
        <v>0</v>
      </c>
      <c r="F87" s="54"/>
    </row>
    <row r="88" spans="1:6" hidden="1" thickBot="1" x14ac:dyDescent="0.3">
      <c r="A88">
        <v>27103</v>
      </c>
      <c r="B88" t="s">
        <v>2031</v>
      </c>
      <c r="C88" t="s">
        <v>2032</v>
      </c>
      <c r="E88">
        <v>0</v>
      </c>
      <c r="F88" s="54"/>
    </row>
    <row r="89" spans="1:6" ht="15.75" thickBot="1" x14ac:dyDescent="0.3">
      <c r="A89">
        <v>27104</v>
      </c>
      <c r="B89" t="s">
        <v>2033</v>
      </c>
      <c r="C89" t="s">
        <v>2034</v>
      </c>
      <c r="D89" s="75">
        <v>3.91</v>
      </c>
      <c r="E89">
        <v>217</v>
      </c>
      <c r="F89" s="54"/>
    </row>
    <row r="90" spans="1:6" ht="15.75" thickBot="1" x14ac:dyDescent="0.3">
      <c r="A90">
        <v>27105</v>
      </c>
      <c r="B90" t="s">
        <v>2035</v>
      </c>
      <c r="C90" t="s">
        <v>2036</v>
      </c>
      <c r="D90" s="75">
        <v>3.78</v>
      </c>
      <c r="E90">
        <v>48</v>
      </c>
      <c r="F90" s="54"/>
    </row>
    <row r="91" spans="1:6" hidden="1" thickBot="1" x14ac:dyDescent="0.3">
      <c r="A91">
        <v>27107</v>
      </c>
      <c r="B91" t="s">
        <v>2037</v>
      </c>
      <c r="C91" t="s">
        <v>2038</v>
      </c>
      <c r="E91">
        <v>0</v>
      </c>
      <c r="F91" s="54"/>
    </row>
    <row r="92" spans="1:6" hidden="1" thickBot="1" x14ac:dyDescent="0.3">
      <c r="A92">
        <v>27106</v>
      </c>
      <c r="B92" t="s">
        <v>2039</v>
      </c>
      <c r="C92" t="s">
        <v>2040</v>
      </c>
      <c r="E92">
        <v>0</v>
      </c>
      <c r="F92" s="54"/>
    </row>
    <row r="93" spans="1:6" ht="15.75" thickBot="1" x14ac:dyDescent="0.3">
      <c r="A93">
        <v>27108</v>
      </c>
      <c r="B93" t="s">
        <v>2041</v>
      </c>
      <c r="C93" t="s">
        <v>2042</v>
      </c>
      <c r="D93" s="75">
        <v>3.83</v>
      </c>
      <c r="E93">
        <v>87</v>
      </c>
      <c r="F93" s="54"/>
    </row>
    <row r="94" spans="1:6" hidden="1" thickBot="1" x14ac:dyDescent="0.3">
      <c r="A94">
        <v>27109</v>
      </c>
      <c r="B94" t="s">
        <v>2043</v>
      </c>
      <c r="C94" t="s">
        <v>2044</v>
      </c>
      <c r="E94">
        <v>0</v>
      </c>
      <c r="F94" s="54"/>
    </row>
    <row r="95" spans="1:6" ht="15.75" thickBot="1" x14ac:dyDescent="0.3">
      <c r="A95">
        <v>27110</v>
      </c>
      <c r="B95" t="s">
        <v>2045</v>
      </c>
      <c r="C95" t="s">
        <v>2046</v>
      </c>
      <c r="D95" s="75">
        <v>5.08</v>
      </c>
      <c r="E95">
        <v>451</v>
      </c>
      <c r="F95" s="54"/>
    </row>
    <row r="96" spans="1:6" hidden="1" thickBot="1" x14ac:dyDescent="0.3">
      <c r="A96">
        <v>27112</v>
      </c>
      <c r="B96" t="s">
        <v>2047</v>
      </c>
      <c r="C96" t="s">
        <v>2048</v>
      </c>
      <c r="E96">
        <v>0</v>
      </c>
      <c r="F96" s="54"/>
    </row>
    <row r="97" spans="1:6" ht="15.75" thickBot="1" x14ac:dyDescent="0.3">
      <c r="A97">
        <v>27111</v>
      </c>
      <c r="B97" t="s">
        <v>2049</v>
      </c>
      <c r="C97" t="s">
        <v>2050</v>
      </c>
      <c r="D97" s="75">
        <v>3.97</v>
      </c>
      <c r="E97">
        <v>217</v>
      </c>
      <c r="F97" s="54"/>
    </row>
    <row r="98" spans="1:6" ht="15.75" thickBot="1" x14ac:dyDescent="0.3">
      <c r="A98">
        <v>27113</v>
      </c>
      <c r="B98" t="s">
        <v>2051</v>
      </c>
      <c r="C98" t="s">
        <v>2052</v>
      </c>
      <c r="D98" s="75" t="s">
        <v>3082</v>
      </c>
      <c r="E98">
        <v>10</v>
      </c>
      <c r="F98" s="54"/>
    </row>
    <row r="99" spans="1:6" hidden="1" thickBot="1" x14ac:dyDescent="0.3">
      <c r="A99">
        <v>27115</v>
      </c>
      <c r="B99" t="s">
        <v>2053</v>
      </c>
      <c r="C99" t="s">
        <v>2054</v>
      </c>
      <c r="E99">
        <v>0</v>
      </c>
      <c r="F99" s="54"/>
    </row>
    <row r="100" spans="1:6" ht="15.75" thickBot="1" x14ac:dyDescent="0.3">
      <c r="A100">
        <v>27114</v>
      </c>
      <c r="B100" t="s">
        <v>2055</v>
      </c>
      <c r="C100" t="s">
        <v>2056</v>
      </c>
      <c r="D100" s="75">
        <v>4.55</v>
      </c>
      <c r="E100">
        <v>394</v>
      </c>
      <c r="F100" s="54"/>
    </row>
    <row r="101" spans="1:6" ht="15.75" thickBot="1" x14ac:dyDescent="0.3">
      <c r="A101">
        <v>27117</v>
      </c>
      <c r="B101" t="s">
        <v>2057</v>
      </c>
      <c r="C101" t="s">
        <v>2058</v>
      </c>
      <c r="D101" s="75">
        <v>4.91</v>
      </c>
      <c r="E101">
        <v>178</v>
      </c>
      <c r="F101" s="54"/>
    </row>
    <row r="102" spans="1:6" hidden="1" thickBot="1" x14ac:dyDescent="0.3">
      <c r="A102">
        <v>27116</v>
      </c>
      <c r="B102" t="s">
        <v>2059</v>
      </c>
      <c r="C102" t="s">
        <v>2060</v>
      </c>
      <c r="E102">
        <v>0</v>
      </c>
      <c r="F102" s="54"/>
    </row>
    <row r="103" spans="1:6" ht="15.75" thickBot="1" x14ac:dyDescent="0.3">
      <c r="A103">
        <v>27118</v>
      </c>
      <c r="B103" t="s">
        <v>2061</v>
      </c>
      <c r="C103" t="s">
        <v>2062</v>
      </c>
      <c r="D103" s="75">
        <v>4.62</v>
      </c>
      <c r="E103">
        <v>125</v>
      </c>
      <c r="F103" s="54"/>
    </row>
    <row r="104" spans="1:6" ht="15.75" thickBot="1" x14ac:dyDescent="0.3">
      <c r="A104">
        <v>27120</v>
      </c>
      <c r="B104" t="s">
        <v>2063</v>
      </c>
      <c r="C104" t="s">
        <v>2064</v>
      </c>
      <c r="D104" s="75">
        <v>5.7</v>
      </c>
      <c r="E104">
        <v>54</v>
      </c>
      <c r="F104" s="54"/>
    </row>
    <row r="105" spans="1:6" hidden="1" thickBot="1" x14ac:dyDescent="0.3">
      <c r="A105">
        <v>27119</v>
      </c>
      <c r="B105" t="s">
        <v>2065</v>
      </c>
      <c r="C105" t="s">
        <v>2066</v>
      </c>
      <c r="E105">
        <v>0</v>
      </c>
      <c r="F105" s="54"/>
    </row>
    <row r="106" spans="1:6" ht="15.75" thickBot="1" x14ac:dyDescent="0.3">
      <c r="A106">
        <v>27122</v>
      </c>
      <c r="B106" t="s">
        <v>2067</v>
      </c>
      <c r="C106" t="s">
        <v>2068</v>
      </c>
      <c r="D106" s="75">
        <v>4.67</v>
      </c>
      <c r="E106">
        <v>10</v>
      </c>
      <c r="F106" s="54"/>
    </row>
    <row r="107" spans="1:6" ht="15.75" thickBot="1" x14ac:dyDescent="0.3">
      <c r="A107">
        <v>27123</v>
      </c>
      <c r="B107" t="s">
        <v>2069</v>
      </c>
      <c r="C107" t="s">
        <v>2070</v>
      </c>
      <c r="D107" s="75">
        <v>6.46</v>
      </c>
      <c r="E107">
        <v>50</v>
      </c>
      <c r="F107" s="54"/>
    </row>
    <row r="108" spans="1:6" ht="15.75" thickBot="1" x14ac:dyDescent="0.3">
      <c r="A108">
        <v>27124</v>
      </c>
      <c r="B108" t="s">
        <v>2071</v>
      </c>
      <c r="C108" t="s">
        <v>2072</v>
      </c>
      <c r="D108" s="75">
        <v>6.87</v>
      </c>
      <c r="E108">
        <v>711</v>
      </c>
      <c r="F108" s="54"/>
    </row>
    <row r="109" spans="1:6" hidden="1" thickBot="1" x14ac:dyDescent="0.3">
      <c r="A109">
        <v>27121</v>
      </c>
      <c r="B109" t="s">
        <v>2073</v>
      </c>
      <c r="C109" t="s">
        <v>2074</v>
      </c>
      <c r="E109">
        <v>0</v>
      </c>
      <c r="F109" s="54"/>
    </row>
    <row r="110" spans="1:6" hidden="1" thickBot="1" x14ac:dyDescent="0.3">
      <c r="A110">
        <v>27125</v>
      </c>
      <c r="B110" t="s">
        <v>2075</v>
      </c>
      <c r="C110" t="s">
        <v>2076</v>
      </c>
      <c r="E110">
        <v>0</v>
      </c>
      <c r="F110" s="54"/>
    </row>
    <row r="111" spans="1:6" ht="15.75" thickBot="1" x14ac:dyDescent="0.3">
      <c r="A111">
        <v>27127</v>
      </c>
      <c r="B111" t="s">
        <v>2077</v>
      </c>
      <c r="C111" t="s">
        <v>2078</v>
      </c>
      <c r="D111" s="75">
        <v>7.09</v>
      </c>
      <c r="E111">
        <v>312</v>
      </c>
      <c r="F111" s="54"/>
    </row>
    <row r="112" spans="1:6" ht="15.75" thickBot="1" x14ac:dyDescent="0.3">
      <c r="A112">
        <v>27128</v>
      </c>
      <c r="B112" t="s">
        <v>2079</v>
      </c>
      <c r="C112" t="s">
        <v>2080</v>
      </c>
      <c r="D112" s="75">
        <v>7.08</v>
      </c>
      <c r="E112">
        <v>12</v>
      </c>
      <c r="F112" s="54"/>
    </row>
    <row r="113" spans="1:6" ht="15.75" thickBot="1" x14ac:dyDescent="0.3">
      <c r="A113">
        <v>28409</v>
      </c>
      <c r="B113" t="s">
        <v>2081</v>
      </c>
      <c r="C113" t="s">
        <v>2082</v>
      </c>
      <c r="D113" s="75" t="s">
        <v>3082</v>
      </c>
      <c r="E113">
        <v>50</v>
      </c>
      <c r="F113" s="54"/>
    </row>
    <row r="114" spans="1:6" ht="15.75" thickBot="1" x14ac:dyDescent="0.3">
      <c r="A114">
        <v>27129</v>
      </c>
      <c r="B114" t="s">
        <v>2083</v>
      </c>
      <c r="C114" t="s">
        <v>2084</v>
      </c>
      <c r="D114" s="75">
        <v>7.83</v>
      </c>
      <c r="E114">
        <v>50</v>
      </c>
      <c r="F114" s="54"/>
    </row>
    <row r="115" spans="1:6" ht="15.75" thickBot="1" x14ac:dyDescent="0.3">
      <c r="A115">
        <v>27130</v>
      </c>
      <c r="B115" t="s">
        <v>2085</v>
      </c>
      <c r="C115" t="s">
        <v>2086</v>
      </c>
      <c r="D115" s="75">
        <v>9.61</v>
      </c>
      <c r="E115">
        <v>27</v>
      </c>
      <c r="F115" s="54"/>
    </row>
    <row r="116" spans="1:6" ht="15.75" thickBot="1" x14ac:dyDescent="0.3">
      <c r="A116">
        <v>28416</v>
      </c>
      <c r="B116" t="s">
        <v>2087</v>
      </c>
      <c r="C116" t="s">
        <v>2088</v>
      </c>
      <c r="D116" s="75" t="s">
        <v>3082</v>
      </c>
      <c r="E116">
        <v>25</v>
      </c>
      <c r="F116" s="54"/>
    </row>
    <row r="117" spans="1:6" ht="15.75" thickBot="1" x14ac:dyDescent="0.3">
      <c r="A117">
        <v>27131</v>
      </c>
      <c r="B117" t="s">
        <v>2089</v>
      </c>
      <c r="C117" t="s">
        <v>2090</v>
      </c>
      <c r="D117" s="75" t="s">
        <v>3082</v>
      </c>
      <c r="E117">
        <v>14</v>
      </c>
      <c r="F117" s="54"/>
    </row>
    <row r="118" spans="1:6" hidden="1" thickBot="1" x14ac:dyDescent="0.3">
      <c r="A118">
        <v>27132</v>
      </c>
      <c r="B118" t="s">
        <v>2091</v>
      </c>
      <c r="C118" t="s">
        <v>2092</v>
      </c>
      <c r="E118">
        <v>0</v>
      </c>
      <c r="F118" s="54"/>
    </row>
    <row r="119" spans="1:6" ht="15.75" thickBot="1" x14ac:dyDescent="0.3">
      <c r="A119">
        <v>27133</v>
      </c>
      <c r="B119" t="s">
        <v>2093</v>
      </c>
      <c r="C119" t="s">
        <v>2094</v>
      </c>
      <c r="D119" s="75">
        <v>10.92</v>
      </c>
      <c r="E119">
        <v>18</v>
      </c>
      <c r="F119" s="54"/>
    </row>
    <row r="120" spans="1:6" ht="15.75" thickBot="1" x14ac:dyDescent="0.3">
      <c r="A120">
        <v>27134</v>
      </c>
      <c r="B120" t="s">
        <v>2095</v>
      </c>
      <c r="C120" t="s">
        <v>2096</v>
      </c>
      <c r="D120" s="75" t="s">
        <v>3082</v>
      </c>
      <c r="E120">
        <v>3</v>
      </c>
      <c r="F120" s="54"/>
    </row>
    <row r="121" spans="1:6" ht="15.75" thickBot="1" x14ac:dyDescent="0.3">
      <c r="A121">
        <v>27135</v>
      </c>
      <c r="B121" t="s">
        <v>2097</v>
      </c>
      <c r="C121" t="s">
        <v>2098</v>
      </c>
      <c r="D121" s="75" t="s">
        <v>3082</v>
      </c>
      <c r="E121">
        <v>8</v>
      </c>
      <c r="F121" s="54"/>
    </row>
    <row r="122" spans="1:6" hidden="1" thickBot="1" x14ac:dyDescent="0.3">
      <c r="A122">
        <v>27136</v>
      </c>
      <c r="B122" t="s">
        <v>2099</v>
      </c>
      <c r="C122" t="s">
        <v>2100</v>
      </c>
      <c r="E122">
        <v>0</v>
      </c>
      <c r="F122" s="54"/>
    </row>
    <row r="123" spans="1:6" ht="15.75" thickBot="1" x14ac:dyDescent="0.3">
      <c r="A123">
        <v>27140</v>
      </c>
      <c r="B123" t="s">
        <v>2101</v>
      </c>
      <c r="C123" t="s">
        <v>2102</v>
      </c>
      <c r="D123" s="75" t="s">
        <v>3082</v>
      </c>
      <c r="E123">
        <v>84</v>
      </c>
      <c r="F123" s="54"/>
    </row>
    <row r="124" spans="1:6" ht="15.75" thickBot="1" x14ac:dyDescent="0.3">
      <c r="A124">
        <v>27139</v>
      </c>
      <c r="B124" t="s">
        <v>2103</v>
      </c>
      <c r="C124" t="s">
        <v>2104</v>
      </c>
      <c r="D124" s="75" t="s">
        <v>3082</v>
      </c>
      <c r="E124">
        <v>20</v>
      </c>
      <c r="F124" s="54"/>
    </row>
    <row r="125" spans="1:6" hidden="1" thickBot="1" x14ac:dyDescent="0.3">
      <c r="A125">
        <v>27138</v>
      </c>
      <c r="B125" t="s">
        <v>2105</v>
      </c>
      <c r="C125" t="s">
        <v>2106</v>
      </c>
      <c r="E125">
        <v>0</v>
      </c>
      <c r="F125" s="54"/>
    </row>
    <row r="126" spans="1:6" ht="15.75" thickBot="1" x14ac:dyDescent="0.3">
      <c r="A126">
        <v>28412</v>
      </c>
      <c r="B126" t="s">
        <v>2107</v>
      </c>
      <c r="C126" t="s">
        <v>2108</v>
      </c>
      <c r="D126" s="75">
        <v>16.3</v>
      </c>
      <c r="E126">
        <v>5</v>
      </c>
      <c r="F126" s="54"/>
    </row>
    <row r="127" spans="1:6" hidden="1" thickBot="1" x14ac:dyDescent="0.3">
      <c r="A127">
        <v>27141</v>
      </c>
      <c r="B127" t="s">
        <v>2109</v>
      </c>
      <c r="C127" t="s">
        <v>2110</v>
      </c>
      <c r="E127">
        <v>0</v>
      </c>
      <c r="F127" s="54"/>
    </row>
    <row r="128" spans="1:6" hidden="1" thickBot="1" x14ac:dyDescent="0.3">
      <c r="A128">
        <v>27143</v>
      </c>
      <c r="B128" t="s">
        <v>2111</v>
      </c>
      <c r="C128" t="s">
        <v>2112</v>
      </c>
      <c r="E128">
        <v>0</v>
      </c>
      <c r="F128" s="54"/>
    </row>
    <row r="129" spans="1:6" ht="15.75" thickBot="1" x14ac:dyDescent="0.3">
      <c r="A129">
        <v>27144</v>
      </c>
      <c r="B129" t="s">
        <v>2113</v>
      </c>
      <c r="C129" t="s">
        <v>2114</v>
      </c>
      <c r="D129" s="75">
        <v>5.19</v>
      </c>
      <c r="E129">
        <v>148</v>
      </c>
      <c r="F129" s="54"/>
    </row>
    <row r="130" spans="1:6" hidden="1" thickBot="1" x14ac:dyDescent="0.3">
      <c r="A130">
        <v>27145</v>
      </c>
      <c r="B130" t="s">
        <v>2115</v>
      </c>
      <c r="C130" t="s">
        <v>2116</v>
      </c>
      <c r="E130">
        <v>0</v>
      </c>
      <c r="F130" s="54"/>
    </row>
    <row r="131" spans="1:6" hidden="1" thickBot="1" x14ac:dyDescent="0.3">
      <c r="A131">
        <v>27146</v>
      </c>
      <c r="B131" t="s">
        <v>2117</v>
      </c>
      <c r="C131" t="s">
        <v>2118</v>
      </c>
      <c r="E131">
        <v>0</v>
      </c>
      <c r="F131" s="54"/>
    </row>
    <row r="132" spans="1:6" ht="15.75" thickBot="1" x14ac:dyDescent="0.3">
      <c r="A132">
        <v>27147</v>
      </c>
      <c r="B132" t="s">
        <v>2119</v>
      </c>
      <c r="C132" t="s">
        <v>2120</v>
      </c>
      <c r="D132" s="75">
        <v>5.34</v>
      </c>
      <c r="E132">
        <v>285</v>
      </c>
      <c r="F132" s="54"/>
    </row>
    <row r="133" spans="1:6" ht="15.75" thickBot="1" x14ac:dyDescent="0.3">
      <c r="A133">
        <v>27149</v>
      </c>
      <c r="B133" t="s">
        <v>2121</v>
      </c>
      <c r="C133" t="s">
        <v>2122</v>
      </c>
      <c r="D133" s="75">
        <v>6.05</v>
      </c>
      <c r="E133">
        <v>150</v>
      </c>
      <c r="F133" s="54"/>
    </row>
    <row r="134" spans="1:6" hidden="1" thickBot="1" x14ac:dyDescent="0.3">
      <c r="A134">
        <v>27148</v>
      </c>
      <c r="B134" t="s">
        <v>2123</v>
      </c>
      <c r="C134" t="s">
        <v>2124</v>
      </c>
      <c r="E134">
        <v>0</v>
      </c>
      <c r="F134" s="54"/>
    </row>
    <row r="135" spans="1:6" hidden="1" thickBot="1" x14ac:dyDescent="0.3">
      <c r="A135">
        <v>27150</v>
      </c>
      <c r="B135" t="s">
        <v>2125</v>
      </c>
      <c r="C135" t="s">
        <v>2126</v>
      </c>
      <c r="E135">
        <v>0</v>
      </c>
      <c r="F135" s="54"/>
    </row>
    <row r="136" spans="1:6" hidden="1" thickBot="1" x14ac:dyDescent="0.3">
      <c r="A136">
        <v>27151</v>
      </c>
      <c r="B136" t="s">
        <v>2127</v>
      </c>
      <c r="C136" t="s">
        <v>2126</v>
      </c>
      <c r="E136">
        <v>0</v>
      </c>
      <c r="F136" s="54"/>
    </row>
    <row r="137" spans="1:6" hidden="1" thickBot="1" x14ac:dyDescent="0.3">
      <c r="A137">
        <v>28411</v>
      </c>
      <c r="B137" t="s">
        <v>2128</v>
      </c>
      <c r="C137" t="s">
        <v>2129</v>
      </c>
      <c r="E137">
        <v>0</v>
      </c>
      <c r="F137" s="54"/>
    </row>
    <row r="138" spans="1:6" hidden="1" thickBot="1" x14ac:dyDescent="0.3">
      <c r="A138">
        <v>28413</v>
      </c>
      <c r="B138" t="s">
        <v>2130</v>
      </c>
      <c r="C138" t="s">
        <v>2131</v>
      </c>
      <c r="E138">
        <v>0</v>
      </c>
      <c r="F138" s="54"/>
    </row>
    <row r="139" spans="1:6" ht="15.75" thickBot="1" x14ac:dyDescent="0.3">
      <c r="A139">
        <v>27153</v>
      </c>
      <c r="B139" t="s">
        <v>2132</v>
      </c>
      <c r="C139" t="s">
        <v>2133</v>
      </c>
      <c r="D139" s="75">
        <v>8.23</v>
      </c>
      <c r="E139">
        <v>81</v>
      </c>
      <c r="F139" s="54"/>
    </row>
    <row r="140" spans="1:6" ht="15.75" thickBot="1" x14ac:dyDescent="0.3">
      <c r="A140">
        <v>28415</v>
      </c>
      <c r="B140" t="s">
        <v>2134</v>
      </c>
      <c r="C140" t="s">
        <v>2135</v>
      </c>
      <c r="D140" s="75">
        <v>9.3000000000000007</v>
      </c>
      <c r="E140">
        <v>1</v>
      </c>
      <c r="F140" s="54"/>
    </row>
    <row r="141" spans="1:6" hidden="1" thickBot="1" x14ac:dyDescent="0.3">
      <c r="A141">
        <v>28417</v>
      </c>
      <c r="B141" t="s">
        <v>2136</v>
      </c>
      <c r="C141" t="s">
        <v>2137</v>
      </c>
      <c r="E141">
        <v>0</v>
      </c>
      <c r="F141" s="54"/>
    </row>
    <row r="142" spans="1:6" hidden="1" thickBot="1" x14ac:dyDescent="0.3">
      <c r="A142">
        <v>27152</v>
      </c>
      <c r="B142" t="s">
        <v>2138</v>
      </c>
      <c r="C142" t="s">
        <v>2139</v>
      </c>
      <c r="E142">
        <v>0</v>
      </c>
      <c r="F142" s="54"/>
    </row>
    <row r="143" spans="1:6" hidden="1" thickBot="1" x14ac:dyDescent="0.3">
      <c r="A143">
        <v>27154</v>
      </c>
      <c r="B143" t="s">
        <v>2140</v>
      </c>
      <c r="C143" t="s">
        <v>2141</v>
      </c>
      <c r="E143">
        <v>0</v>
      </c>
      <c r="F143" s="54"/>
    </row>
    <row r="144" spans="1:6" hidden="1" thickBot="1" x14ac:dyDescent="0.3">
      <c r="A144">
        <v>27155</v>
      </c>
      <c r="B144" t="s">
        <v>2142</v>
      </c>
      <c r="C144" t="s">
        <v>2143</v>
      </c>
      <c r="E144">
        <v>0</v>
      </c>
      <c r="F144" s="54"/>
    </row>
    <row r="145" spans="1:6" hidden="1" thickBot="1" x14ac:dyDescent="0.3">
      <c r="A145">
        <v>27156</v>
      </c>
      <c r="B145" t="s">
        <v>2144</v>
      </c>
      <c r="C145" t="s">
        <v>2145</v>
      </c>
      <c r="E145">
        <v>0</v>
      </c>
      <c r="F145" s="54"/>
    </row>
    <row r="146" spans="1:6" hidden="1" thickBot="1" x14ac:dyDescent="0.3">
      <c r="A146">
        <v>27157</v>
      </c>
      <c r="B146" t="s">
        <v>2146</v>
      </c>
      <c r="C146" t="s">
        <v>2147</v>
      </c>
      <c r="E146">
        <v>0</v>
      </c>
      <c r="F146" s="54"/>
    </row>
    <row r="147" spans="1:6" hidden="1" thickBot="1" x14ac:dyDescent="0.3">
      <c r="A147">
        <v>28419</v>
      </c>
      <c r="B147" t="s">
        <v>2148</v>
      </c>
      <c r="C147" t="s">
        <v>2149</v>
      </c>
      <c r="E147">
        <v>0</v>
      </c>
      <c r="F147" s="54"/>
    </row>
    <row r="148" spans="1:6" hidden="1" thickBot="1" x14ac:dyDescent="0.3">
      <c r="A148">
        <v>27158</v>
      </c>
      <c r="B148" t="s">
        <v>2150</v>
      </c>
      <c r="C148" t="s">
        <v>2151</v>
      </c>
      <c r="E148">
        <v>0</v>
      </c>
      <c r="F148" s="54"/>
    </row>
    <row r="149" spans="1:6" hidden="1" thickBot="1" x14ac:dyDescent="0.3">
      <c r="A149">
        <v>27159</v>
      </c>
      <c r="B149" t="s">
        <v>2152</v>
      </c>
      <c r="C149" t="s">
        <v>2153</v>
      </c>
      <c r="E149">
        <v>0</v>
      </c>
      <c r="F149" s="54"/>
    </row>
    <row r="150" spans="1:6" ht="15.75" thickBot="1" x14ac:dyDescent="0.3">
      <c r="A150">
        <v>27161</v>
      </c>
      <c r="B150" t="s">
        <v>2154</v>
      </c>
      <c r="C150" t="s">
        <v>2155</v>
      </c>
      <c r="D150" s="75" t="s">
        <v>3082</v>
      </c>
      <c r="E150">
        <v>6</v>
      </c>
      <c r="F150" s="54"/>
    </row>
    <row r="151" spans="1:6" hidden="1" thickBot="1" x14ac:dyDescent="0.3">
      <c r="A151">
        <v>27160</v>
      </c>
      <c r="B151" t="s">
        <v>2156</v>
      </c>
      <c r="C151" t="s">
        <v>2157</v>
      </c>
      <c r="E151">
        <v>0</v>
      </c>
      <c r="F151" s="54"/>
    </row>
    <row r="152" spans="1:6" ht="15.75" thickBot="1" x14ac:dyDescent="0.3">
      <c r="A152">
        <v>27162</v>
      </c>
      <c r="B152" t="s">
        <v>2158</v>
      </c>
      <c r="C152" t="s">
        <v>2159</v>
      </c>
      <c r="D152" s="75">
        <v>4.6399999999999997</v>
      </c>
      <c r="E152">
        <v>1</v>
      </c>
      <c r="F152" s="54"/>
    </row>
    <row r="153" spans="1:6" ht="15.75" thickBot="1" x14ac:dyDescent="0.3">
      <c r="A153">
        <v>27163</v>
      </c>
      <c r="B153" t="s">
        <v>2160</v>
      </c>
      <c r="C153" t="s">
        <v>2161</v>
      </c>
      <c r="D153" s="75">
        <v>5.58</v>
      </c>
      <c r="E153">
        <v>871</v>
      </c>
      <c r="F153" s="54"/>
    </row>
    <row r="154" spans="1:6" hidden="1" thickBot="1" x14ac:dyDescent="0.3">
      <c r="A154">
        <v>27164</v>
      </c>
      <c r="B154" t="s">
        <v>2162</v>
      </c>
      <c r="C154" t="s">
        <v>2163</v>
      </c>
      <c r="E154">
        <v>0</v>
      </c>
      <c r="F154" s="54"/>
    </row>
    <row r="155" spans="1:6" ht="15.75" thickBot="1" x14ac:dyDescent="0.3">
      <c r="A155">
        <v>27165</v>
      </c>
      <c r="B155" t="s">
        <v>2164</v>
      </c>
      <c r="C155" t="s">
        <v>2165</v>
      </c>
      <c r="D155" s="75">
        <v>4.8600000000000003</v>
      </c>
      <c r="E155">
        <v>180</v>
      </c>
      <c r="F155" s="54"/>
    </row>
    <row r="156" spans="1:6" ht="15.75" thickBot="1" x14ac:dyDescent="0.3">
      <c r="A156">
        <v>27166</v>
      </c>
      <c r="B156" t="s">
        <v>2166</v>
      </c>
      <c r="C156" t="s">
        <v>2167</v>
      </c>
      <c r="D156" s="75">
        <v>4.74</v>
      </c>
      <c r="E156">
        <v>84</v>
      </c>
      <c r="F156" s="54"/>
    </row>
    <row r="157" spans="1:6" hidden="1" thickBot="1" x14ac:dyDescent="0.3">
      <c r="A157">
        <v>27169</v>
      </c>
      <c r="B157" t="s">
        <v>2168</v>
      </c>
      <c r="C157" t="s">
        <v>2169</v>
      </c>
      <c r="E157">
        <v>0</v>
      </c>
      <c r="F157" s="54"/>
    </row>
    <row r="158" spans="1:6" ht="15.75" thickBot="1" x14ac:dyDescent="0.3">
      <c r="A158">
        <v>27167</v>
      </c>
      <c r="B158" t="s">
        <v>2170</v>
      </c>
      <c r="C158" t="s">
        <v>2171</v>
      </c>
      <c r="D158" s="75">
        <v>5.27</v>
      </c>
      <c r="E158">
        <v>1356</v>
      </c>
      <c r="F158" s="54"/>
    </row>
    <row r="159" spans="1:6" ht="15.75" thickBot="1" x14ac:dyDescent="0.3">
      <c r="A159">
        <v>27170</v>
      </c>
      <c r="B159" t="s">
        <v>2172</v>
      </c>
      <c r="C159" t="s">
        <v>2173</v>
      </c>
      <c r="D159" s="75">
        <v>5.72</v>
      </c>
      <c r="E159">
        <v>494</v>
      </c>
      <c r="F159" s="54"/>
    </row>
    <row r="160" spans="1:6" hidden="1" thickBot="1" x14ac:dyDescent="0.3">
      <c r="A160">
        <v>27168</v>
      </c>
      <c r="B160" t="s">
        <v>2174</v>
      </c>
      <c r="C160" t="s">
        <v>2175</v>
      </c>
      <c r="E160">
        <v>0</v>
      </c>
      <c r="F160" s="54"/>
    </row>
    <row r="161" spans="1:6" ht="15.75" thickBot="1" x14ac:dyDescent="0.3">
      <c r="A161">
        <v>27171</v>
      </c>
      <c r="B161" t="s">
        <v>2176</v>
      </c>
      <c r="C161" t="s">
        <v>2177</v>
      </c>
      <c r="D161" s="75">
        <v>5.35</v>
      </c>
      <c r="E161">
        <v>638</v>
      </c>
      <c r="F161" s="54"/>
    </row>
    <row r="162" spans="1:6" ht="15.75" thickBot="1" x14ac:dyDescent="0.3">
      <c r="A162">
        <v>27172</v>
      </c>
      <c r="B162" t="s">
        <v>2178</v>
      </c>
      <c r="C162" t="s">
        <v>2179</v>
      </c>
      <c r="D162" s="75" t="s">
        <v>3082</v>
      </c>
      <c r="E162">
        <v>174</v>
      </c>
      <c r="F162" s="54"/>
    </row>
    <row r="163" spans="1:6" ht="15.75" thickBot="1" x14ac:dyDescent="0.3">
      <c r="A163">
        <v>27173</v>
      </c>
      <c r="B163" t="s">
        <v>2180</v>
      </c>
      <c r="C163" t="s">
        <v>2181</v>
      </c>
      <c r="D163" s="75" t="s">
        <v>3082</v>
      </c>
      <c r="E163">
        <v>220</v>
      </c>
      <c r="F163" s="54"/>
    </row>
    <row r="164" spans="1:6" ht="15.75" thickBot="1" x14ac:dyDescent="0.3">
      <c r="A164">
        <v>27174</v>
      </c>
      <c r="B164" t="s">
        <v>2182</v>
      </c>
      <c r="C164" t="s">
        <v>2183</v>
      </c>
      <c r="D164" s="75">
        <v>5.27</v>
      </c>
      <c r="E164">
        <v>52</v>
      </c>
      <c r="F164" s="54"/>
    </row>
    <row r="165" spans="1:6" hidden="1" thickBot="1" x14ac:dyDescent="0.3">
      <c r="A165">
        <v>27175</v>
      </c>
      <c r="B165" t="s">
        <v>2184</v>
      </c>
      <c r="C165" t="s">
        <v>2185</v>
      </c>
      <c r="E165">
        <v>0</v>
      </c>
      <c r="F165" s="54"/>
    </row>
    <row r="166" spans="1:6" ht="15.75" thickBot="1" x14ac:dyDescent="0.3">
      <c r="A166">
        <v>27177</v>
      </c>
      <c r="B166" t="s">
        <v>2186</v>
      </c>
      <c r="C166" t="s">
        <v>2187</v>
      </c>
      <c r="D166" s="75">
        <v>6.54</v>
      </c>
      <c r="E166">
        <v>130</v>
      </c>
      <c r="F166" s="54"/>
    </row>
    <row r="167" spans="1:6" hidden="1" thickBot="1" x14ac:dyDescent="0.3">
      <c r="A167">
        <v>27176</v>
      </c>
      <c r="B167" t="s">
        <v>2188</v>
      </c>
      <c r="C167" t="s">
        <v>2189</v>
      </c>
      <c r="E167">
        <v>0</v>
      </c>
      <c r="F167" s="54"/>
    </row>
    <row r="168" spans="1:6" ht="15.75" thickBot="1" x14ac:dyDescent="0.3">
      <c r="A168">
        <v>27178</v>
      </c>
      <c r="B168" t="s">
        <v>2190</v>
      </c>
      <c r="C168" t="s">
        <v>2191</v>
      </c>
      <c r="D168" s="75">
        <v>7.68</v>
      </c>
      <c r="E168">
        <v>121</v>
      </c>
      <c r="F168" s="54"/>
    </row>
    <row r="169" spans="1:6" hidden="1" thickBot="1" x14ac:dyDescent="0.3">
      <c r="A169">
        <v>27179</v>
      </c>
      <c r="B169" t="s">
        <v>2192</v>
      </c>
      <c r="C169" t="s">
        <v>2193</v>
      </c>
      <c r="E169">
        <v>0</v>
      </c>
      <c r="F169" s="54"/>
    </row>
    <row r="170" spans="1:6" ht="15.75" thickBot="1" x14ac:dyDescent="0.3">
      <c r="A170">
        <v>27180</v>
      </c>
      <c r="B170" t="s">
        <v>2194</v>
      </c>
      <c r="C170" t="s">
        <v>2195</v>
      </c>
      <c r="D170" s="75">
        <v>5.78</v>
      </c>
      <c r="E170">
        <v>52</v>
      </c>
      <c r="F170" s="54"/>
    </row>
    <row r="171" spans="1:6" ht="15.75" thickBot="1" x14ac:dyDescent="0.3">
      <c r="A171">
        <v>27181</v>
      </c>
      <c r="B171" t="s">
        <v>2196</v>
      </c>
      <c r="C171" t="s">
        <v>2197</v>
      </c>
      <c r="D171" s="75">
        <v>7.9</v>
      </c>
      <c r="E171">
        <v>275</v>
      </c>
      <c r="F171" s="54"/>
    </row>
    <row r="172" spans="1:6" ht="15.75" thickBot="1" x14ac:dyDescent="0.3">
      <c r="A172">
        <v>27182</v>
      </c>
      <c r="B172" t="s">
        <v>2198</v>
      </c>
      <c r="C172" t="s">
        <v>2199</v>
      </c>
      <c r="D172" s="75" t="s">
        <v>3082</v>
      </c>
      <c r="E172">
        <v>72</v>
      </c>
      <c r="F172" s="54"/>
    </row>
    <row r="173" spans="1:6" hidden="1" thickBot="1" x14ac:dyDescent="0.3">
      <c r="A173">
        <v>27184</v>
      </c>
      <c r="B173" t="s">
        <v>2200</v>
      </c>
      <c r="C173" t="s">
        <v>2201</v>
      </c>
      <c r="E173">
        <v>0</v>
      </c>
      <c r="F173" s="54"/>
    </row>
    <row r="174" spans="1:6" ht="15.75" thickBot="1" x14ac:dyDescent="0.3">
      <c r="A174">
        <v>27183</v>
      </c>
      <c r="B174" t="s">
        <v>2202</v>
      </c>
      <c r="C174" t="s">
        <v>2203</v>
      </c>
      <c r="D174" s="75" t="s">
        <v>3082</v>
      </c>
      <c r="E174">
        <v>2</v>
      </c>
      <c r="F174" s="54"/>
    </row>
    <row r="175" spans="1:6" ht="15.75" thickBot="1" x14ac:dyDescent="0.3">
      <c r="A175">
        <v>27185</v>
      </c>
      <c r="B175" t="s">
        <v>2204</v>
      </c>
      <c r="C175" t="s">
        <v>2205</v>
      </c>
      <c r="D175" s="75" t="s">
        <v>3082</v>
      </c>
      <c r="E175">
        <v>12</v>
      </c>
      <c r="F175" s="54"/>
    </row>
    <row r="176" spans="1:6" hidden="1" thickBot="1" x14ac:dyDescent="0.3">
      <c r="A176">
        <v>27186</v>
      </c>
      <c r="B176" t="s">
        <v>2206</v>
      </c>
      <c r="C176" t="s">
        <v>2207</v>
      </c>
      <c r="E176">
        <v>0</v>
      </c>
      <c r="F176" s="54"/>
    </row>
    <row r="177" spans="1:6" hidden="1" thickBot="1" x14ac:dyDescent="0.3">
      <c r="A177">
        <v>27016</v>
      </c>
      <c r="B177" t="s">
        <v>2208</v>
      </c>
      <c r="C177" t="s">
        <v>2205</v>
      </c>
      <c r="E177">
        <v>0</v>
      </c>
      <c r="F177" s="54"/>
    </row>
    <row r="178" spans="1:6" ht="15.75" thickBot="1" x14ac:dyDescent="0.3">
      <c r="A178">
        <v>28424</v>
      </c>
      <c r="B178" t="s">
        <v>2209</v>
      </c>
      <c r="C178" t="s">
        <v>2210</v>
      </c>
      <c r="D178" s="75" t="s">
        <v>3082</v>
      </c>
      <c r="E178">
        <v>8</v>
      </c>
      <c r="F178" s="54"/>
    </row>
    <row r="179" spans="1:6" ht="15.75" thickBot="1" x14ac:dyDescent="0.3">
      <c r="A179">
        <v>28420</v>
      </c>
      <c r="B179" t="s">
        <v>2211</v>
      </c>
      <c r="C179" t="s">
        <v>2212</v>
      </c>
      <c r="D179" s="75" t="s">
        <v>3082</v>
      </c>
      <c r="E179">
        <v>3</v>
      </c>
      <c r="F179" s="54"/>
    </row>
    <row r="180" spans="1:6" ht="15.75" thickBot="1" x14ac:dyDescent="0.3">
      <c r="A180">
        <v>28423</v>
      </c>
      <c r="B180" t="s">
        <v>2213</v>
      </c>
      <c r="C180" t="s">
        <v>2214</v>
      </c>
      <c r="D180" s="75" t="s">
        <v>3082</v>
      </c>
      <c r="E180">
        <v>8</v>
      </c>
      <c r="F180" s="54"/>
    </row>
    <row r="181" spans="1:6" ht="15.75" thickBot="1" x14ac:dyDescent="0.3">
      <c r="A181">
        <v>28425</v>
      </c>
      <c r="B181" t="s">
        <v>2215</v>
      </c>
      <c r="C181" t="s">
        <v>2216</v>
      </c>
      <c r="D181" s="75" t="s">
        <v>3082</v>
      </c>
      <c r="E181">
        <v>2</v>
      </c>
      <c r="F181" s="54"/>
    </row>
    <row r="182" spans="1:6" ht="15.75" thickBot="1" x14ac:dyDescent="0.3">
      <c r="A182">
        <v>27187</v>
      </c>
      <c r="B182" t="s">
        <v>2217</v>
      </c>
      <c r="C182" t="s">
        <v>2218</v>
      </c>
      <c r="D182" s="75" t="s">
        <v>3082</v>
      </c>
      <c r="E182">
        <v>3</v>
      </c>
      <c r="F182" s="54"/>
    </row>
    <row r="183" spans="1:6" ht="15.75" thickBot="1" x14ac:dyDescent="0.3">
      <c r="A183">
        <v>27188</v>
      </c>
      <c r="B183" t="s">
        <v>2219</v>
      </c>
      <c r="C183" t="s">
        <v>2220</v>
      </c>
      <c r="D183" s="75" t="s">
        <v>3082</v>
      </c>
      <c r="E183">
        <v>2</v>
      </c>
      <c r="F183" s="54"/>
    </row>
    <row r="184" spans="1:6" ht="15.75" thickBot="1" x14ac:dyDescent="0.3">
      <c r="A184">
        <v>28426</v>
      </c>
      <c r="B184" t="s">
        <v>2221</v>
      </c>
      <c r="C184" t="s">
        <v>2222</v>
      </c>
      <c r="D184" s="75" t="s">
        <v>3082</v>
      </c>
      <c r="E184">
        <v>1</v>
      </c>
      <c r="F184" s="54"/>
    </row>
    <row r="185" spans="1:6" ht="15.75" thickBot="1" x14ac:dyDescent="0.3">
      <c r="A185">
        <v>27189</v>
      </c>
      <c r="B185" t="s">
        <v>2223</v>
      </c>
      <c r="C185" t="s">
        <v>2224</v>
      </c>
      <c r="D185" s="75" t="s">
        <v>3082</v>
      </c>
      <c r="E185">
        <v>5</v>
      </c>
      <c r="F185" s="54"/>
    </row>
    <row r="186" spans="1:6" hidden="1" thickBot="1" x14ac:dyDescent="0.3">
      <c r="A186">
        <v>27190</v>
      </c>
      <c r="B186" t="s">
        <v>2225</v>
      </c>
      <c r="C186" t="s">
        <v>2226</v>
      </c>
      <c r="E186">
        <v>0</v>
      </c>
      <c r="F186" s="54"/>
    </row>
    <row r="187" spans="1:6" ht="15.75" thickBot="1" x14ac:dyDescent="0.3">
      <c r="A187">
        <v>27191</v>
      </c>
      <c r="B187" t="s">
        <v>2227</v>
      </c>
      <c r="C187" t="s">
        <v>2228</v>
      </c>
      <c r="D187" s="75" t="s">
        <v>3082</v>
      </c>
      <c r="E187">
        <v>16</v>
      </c>
      <c r="F187" s="54"/>
    </row>
    <row r="188" spans="1:6" ht="15.75" thickBot="1" x14ac:dyDescent="0.3">
      <c r="A188">
        <v>27192</v>
      </c>
      <c r="B188" t="s">
        <v>2229</v>
      </c>
      <c r="C188" t="s">
        <v>2230</v>
      </c>
      <c r="D188" s="75" t="s">
        <v>3082</v>
      </c>
      <c r="E188">
        <v>8</v>
      </c>
      <c r="F188" s="54"/>
    </row>
    <row r="189" spans="1:6" hidden="1" thickBot="1" x14ac:dyDescent="0.3">
      <c r="A189">
        <v>27197</v>
      </c>
      <c r="B189" t="s">
        <v>2231</v>
      </c>
      <c r="C189" t="s">
        <v>2232</v>
      </c>
      <c r="E189">
        <v>0</v>
      </c>
      <c r="F189" s="54"/>
    </row>
    <row r="190" spans="1:6" hidden="1" thickBot="1" x14ac:dyDescent="0.3">
      <c r="A190">
        <v>27195</v>
      </c>
      <c r="B190" t="s">
        <v>2233</v>
      </c>
      <c r="C190" t="s">
        <v>2234</v>
      </c>
      <c r="E190">
        <v>0</v>
      </c>
      <c r="F190" s="54"/>
    </row>
    <row r="191" spans="1:6" ht="15.75" thickBot="1" x14ac:dyDescent="0.3">
      <c r="A191">
        <v>27193</v>
      </c>
      <c r="B191" t="s">
        <v>2235</v>
      </c>
      <c r="C191" t="s">
        <v>2236</v>
      </c>
      <c r="D191" s="75" t="s">
        <v>3082</v>
      </c>
      <c r="E191">
        <v>12</v>
      </c>
      <c r="F191" s="54"/>
    </row>
    <row r="192" spans="1:6" hidden="1" thickBot="1" x14ac:dyDescent="0.3">
      <c r="A192">
        <v>27194</v>
      </c>
      <c r="B192" t="s">
        <v>2237</v>
      </c>
      <c r="C192" t="s">
        <v>2238</v>
      </c>
      <c r="E192">
        <v>0</v>
      </c>
      <c r="F192" s="54"/>
    </row>
    <row r="193" spans="1:6" hidden="1" thickBot="1" x14ac:dyDescent="0.3">
      <c r="A193">
        <v>27196</v>
      </c>
      <c r="B193" t="s">
        <v>2239</v>
      </c>
      <c r="C193" t="s">
        <v>2240</v>
      </c>
      <c r="E193">
        <v>0</v>
      </c>
      <c r="F193" s="54"/>
    </row>
    <row r="194" spans="1:6" ht="15.75" thickBot="1" x14ac:dyDescent="0.3">
      <c r="A194">
        <v>27198</v>
      </c>
      <c r="B194" t="s">
        <v>2241</v>
      </c>
      <c r="C194" t="s">
        <v>2242</v>
      </c>
      <c r="D194" s="75" t="s">
        <v>3082</v>
      </c>
      <c r="E194">
        <v>4</v>
      </c>
      <c r="F194" s="54"/>
    </row>
    <row r="195" spans="1:6" ht="15.75" thickBot="1" x14ac:dyDescent="0.3">
      <c r="A195">
        <v>28427</v>
      </c>
      <c r="B195" t="s">
        <v>2243</v>
      </c>
      <c r="C195" t="s">
        <v>2244</v>
      </c>
      <c r="D195" s="75" t="s">
        <v>3082</v>
      </c>
      <c r="E195">
        <v>9</v>
      </c>
      <c r="F195" s="54"/>
    </row>
    <row r="196" spans="1:6" hidden="1" thickBot="1" x14ac:dyDescent="0.3">
      <c r="A196">
        <v>27200</v>
      </c>
      <c r="B196" t="s">
        <v>2245</v>
      </c>
      <c r="C196" t="s">
        <v>2246</v>
      </c>
      <c r="E196">
        <v>0</v>
      </c>
      <c r="F196" s="54"/>
    </row>
    <row r="197" spans="1:6" hidden="1" thickBot="1" x14ac:dyDescent="0.3">
      <c r="A197">
        <v>27201</v>
      </c>
      <c r="B197" t="s">
        <v>2247</v>
      </c>
      <c r="C197" t="s">
        <v>2248</v>
      </c>
      <c r="E197">
        <v>0</v>
      </c>
      <c r="F197" s="54"/>
    </row>
    <row r="198" spans="1:6" ht="15.75" thickBot="1" x14ac:dyDescent="0.3">
      <c r="A198">
        <v>28432</v>
      </c>
      <c r="B198" t="s">
        <v>2249</v>
      </c>
      <c r="C198" t="s">
        <v>2250</v>
      </c>
      <c r="D198" s="75">
        <v>35.65</v>
      </c>
      <c r="E198">
        <v>154</v>
      </c>
      <c r="F198" s="54"/>
    </row>
    <row r="199" spans="1:6" hidden="1" thickBot="1" x14ac:dyDescent="0.3">
      <c r="A199">
        <v>27199</v>
      </c>
      <c r="B199" t="s">
        <v>2251</v>
      </c>
      <c r="C199" t="s">
        <v>2252</v>
      </c>
      <c r="E199">
        <v>0</v>
      </c>
      <c r="F199" s="54"/>
    </row>
    <row r="200" spans="1:6" ht="15.75" thickBot="1" x14ac:dyDescent="0.3">
      <c r="A200">
        <v>27202</v>
      </c>
      <c r="B200" t="s">
        <v>2253</v>
      </c>
      <c r="C200" t="s">
        <v>2254</v>
      </c>
      <c r="D200" s="75">
        <v>5.76</v>
      </c>
      <c r="E200">
        <v>70</v>
      </c>
      <c r="F200" s="54"/>
    </row>
    <row r="201" spans="1:6" ht="15.75" thickBot="1" x14ac:dyDescent="0.3">
      <c r="A201">
        <v>27203</v>
      </c>
      <c r="B201" t="s">
        <v>2255</v>
      </c>
      <c r="C201" t="s">
        <v>2256</v>
      </c>
      <c r="D201" s="75">
        <v>6.3</v>
      </c>
      <c r="E201">
        <v>49</v>
      </c>
      <c r="F201" s="54"/>
    </row>
    <row r="202" spans="1:6" hidden="1" thickBot="1" x14ac:dyDescent="0.3">
      <c r="A202">
        <v>27204</v>
      </c>
      <c r="B202" t="s">
        <v>2257</v>
      </c>
      <c r="C202" t="s">
        <v>2258</v>
      </c>
      <c r="E202">
        <v>0</v>
      </c>
      <c r="F202" s="54"/>
    </row>
    <row r="203" spans="1:6" hidden="1" thickBot="1" x14ac:dyDescent="0.3">
      <c r="A203">
        <v>27205</v>
      </c>
      <c r="B203" t="s">
        <v>2259</v>
      </c>
      <c r="C203" t="s">
        <v>2260</v>
      </c>
      <c r="E203">
        <v>0</v>
      </c>
      <c r="F203" s="54"/>
    </row>
    <row r="204" spans="1:6" hidden="1" thickBot="1" x14ac:dyDescent="0.3">
      <c r="A204">
        <v>27206</v>
      </c>
      <c r="B204" t="s">
        <v>2261</v>
      </c>
      <c r="C204" t="s">
        <v>2262</v>
      </c>
      <c r="E204">
        <v>0</v>
      </c>
      <c r="F204" s="54"/>
    </row>
    <row r="205" spans="1:6" hidden="1" thickBot="1" x14ac:dyDescent="0.3">
      <c r="A205">
        <v>27207</v>
      </c>
      <c r="B205" t="s">
        <v>2263</v>
      </c>
      <c r="C205" t="s">
        <v>2264</v>
      </c>
      <c r="E205">
        <v>0</v>
      </c>
      <c r="F205" s="54"/>
    </row>
    <row r="206" spans="1:6" hidden="1" thickBot="1" x14ac:dyDescent="0.3">
      <c r="A206">
        <v>27208</v>
      </c>
      <c r="B206" t="s">
        <v>2265</v>
      </c>
      <c r="C206" t="s">
        <v>2266</v>
      </c>
      <c r="E206">
        <v>0</v>
      </c>
      <c r="F206" s="54"/>
    </row>
    <row r="207" spans="1:6" hidden="1" thickBot="1" x14ac:dyDescent="0.3">
      <c r="A207">
        <v>27209</v>
      </c>
      <c r="B207" t="s">
        <v>2267</v>
      </c>
      <c r="C207" t="s">
        <v>2268</v>
      </c>
      <c r="E207">
        <v>0</v>
      </c>
      <c r="F207" s="54"/>
    </row>
    <row r="208" spans="1:6" hidden="1" thickBot="1" x14ac:dyDescent="0.3">
      <c r="A208">
        <v>27210</v>
      </c>
      <c r="B208" t="s">
        <v>2269</v>
      </c>
      <c r="C208" t="s">
        <v>2270</v>
      </c>
      <c r="E208">
        <v>0</v>
      </c>
      <c r="F208" s="54"/>
    </row>
    <row r="209" spans="1:6" hidden="1" thickBot="1" x14ac:dyDescent="0.3">
      <c r="A209">
        <v>27211</v>
      </c>
      <c r="B209" t="s">
        <v>2271</v>
      </c>
      <c r="C209" t="s">
        <v>2272</v>
      </c>
      <c r="E209">
        <v>0</v>
      </c>
      <c r="F209" s="54"/>
    </row>
    <row r="210" spans="1:6" hidden="1" thickBot="1" x14ac:dyDescent="0.3">
      <c r="A210">
        <v>27212</v>
      </c>
      <c r="B210" t="s">
        <v>2273</v>
      </c>
      <c r="C210" t="s">
        <v>2274</v>
      </c>
      <c r="E210">
        <v>0</v>
      </c>
      <c r="F210" s="54"/>
    </row>
    <row r="211" spans="1:6" hidden="1" thickBot="1" x14ac:dyDescent="0.3">
      <c r="A211">
        <v>28437</v>
      </c>
      <c r="B211" t="s">
        <v>2275</v>
      </c>
      <c r="C211" t="s">
        <v>2276</v>
      </c>
      <c r="E211">
        <v>0</v>
      </c>
      <c r="F211" s="54"/>
    </row>
    <row r="212" spans="1:6" ht="15.75" thickBot="1" x14ac:dyDescent="0.3">
      <c r="A212">
        <v>27213</v>
      </c>
      <c r="B212" t="s">
        <v>2277</v>
      </c>
      <c r="C212" t="s">
        <v>2278</v>
      </c>
      <c r="D212" s="75" t="s">
        <v>3082</v>
      </c>
      <c r="E212">
        <v>6</v>
      </c>
      <c r="F212" s="54"/>
    </row>
    <row r="213" spans="1:6" hidden="1" thickBot="1" x14ac:dyDescent="0.3">
      <c r="A213">
        <v>27214</v>
      </c>
      <c r="B213" t="s">
        <v>2279</v>
      </c>
      <c r="C213" t="s">
        <v>2280</v>
      </c>
      <c r="E213">
        <v>0</v>
      </c>
      <c r="F213" s="54"/>
    </row>
    <row r="214" spans="1:6" hidden="1" thickBot="1" x14ac:dyDescent="0.3">
      <c r="A214">
        <v>27215</v>
      </c>
      <c r="B214" t="s">
        <v>2281</v>
      </c>
      <c r="C214" t="s">
        <v>2282</v>
      </c>
      <c r="E214">
        <v>0</v>
      </c>
      <c r="F214" s="54"/>
    </row>
    <row r="215" spans="1:6" hidden="1" thickBot="1" x14ac:dyDescent="0.3">
      <c r="A215">
        <v>27220</v>
      </c>
      <c r="B215" t="s">
        <v>2283</v>
      </c>
      <c r="C215" t="s">
        <v>2284</v>
      </c>
      <c r="E215">
        <v>0</v>
      </c>
      <c r="F215" s="54"/>
    </row>
    <row r="216" spans="1:6" hidden="1" thickBot="1" x14ac:dyDescent="0.3">
      <c r="A216">
        <v>27216</v>
      </c>
      <c r="B216" t="s">
        <v>2285</v>
      </c>
      <c r="C216" t="s">
        <v>2286</v>
      </c>
      <c r="E216">
        <v>0</v>
      </c>
      <c r="F216" s="54"/>
    </row>
    <row r="217" spans="1:6" hidden="1" thickBot="1" x14ac:dyDescent="0.3">
      <c r="A217">
        <v>27217</v>
      </c>
      <c r="B217" t="s">
        <v>2287</v>
      </c>
      <c r="C217" t="s">
        <v>2288</v>
      </c>
      <c r="E217">
        <v>0</v>
      </c>
      <c r="F217" s="54"/>
    </row>
    <row r="218" spans="1:6" hidden="1" thickBot="1" x14ac:dyDescent="0.3">
      <c r="A218">
        <v>27218</v>
      </c>
      <c r="B218" t="s">
        <v>2289</v>
      </c>
      <c r="C218" t="s">
        <v>2290</v>
      </c>
      <c r="E218">
        <v>0</v>
      </c>
      <c r="F218" s="54"/>
    </row>
    <row r="219" spans="1:6" ht="15.75" thickBot="1" x14ac:dyDescent="0.3">
      <c r="A219">
        <v>27219</v>
      </c>
      <c r="B219" t="s">
        <v>2291</v>
      </c>
      <c r="C219" t="s">
        <v>2292</v>
      </c>
      <c r="D219" s="75" t="s">
        <v>3082</v>
      </c>
      <c r="E219">
        <v>1</v>
      </c>
      <c r="F219" s="54"/>
    </row>
    <row r="220" spans="1:6" hidden="1" thickBot="1" x14ac:dyDescent="0.3">
      <c r="A220">
        <v>27221</v>
      </c>
      <c r="B220" t="s">
        <v>2293</v>
      </c>
      <c r="C220" t="s">
        <v>2294</v>
      </c>
      <c r="E220">
        <v>0</v>
      </c>
      <c r="F220" s="54"/>
    </row>
    <row r="221" spans="1:6" ht="15.75" thickBot="1" x14ac:dyDescent="0.3">
      <c r="A221">
        <v>27224</v>
      </c>
      <c r="B221" t="s">
        <v>2295</v>
      </c>
      <c r="C221" t="s">
        <v>2296</v>
      </c>
      <c r="D221" s="75">
        <v>5.8</v>
      </c>
      <c r="E221">
        <v>3070</v>
      </c>
      <c r="F221" s="54"/>
    </row>
    <row r="222" spans="1:6" ht="15.75" thickBot="1" x14ac:dyDescent="0.3">
      <c r="A222">
        <v>27222</v>
      </c>
      <c r="B222" t="s">
        <v>2297</v>
      </c>
      <c r="C222" t="s">
        <v>2298</v>
      </c>
      <c r="D222" s="75">
        <v>6.36</v>
      </c>
      <c r="E222">
        <v>1647</v>
      </c>
      <c r="F222" s="54"/>
    </row>
    <row r="223" spans="1:6" hidden="1" thickBot="1" x14ac:dyDescent="0.3">
      <c r="A223">
        <v>27223</v>
      </c>
      <c r="B223" t="s">
        <v>2299</v>
      </c>
      <c r="C223" t="s">
        <v>2300</v>
      </c>
      <c r="E223">
        <v>0</v>
      </c>
      <c r="F223" s="54"/>
    </row>
    <row r="224" spans="1:6" hidden="1" thickBot="1" x14ac:dyDescent="0.3">
      <c r="A224">
        <v>28439</v>
      </c>
      <c r="B224" t="s">
        <v>2301</v>
      </c>
      <c r="C224" t="s">
        <v>2302</v>
      </c>
      <c r="E224">
        <v>0</v>
      </c>
      <c r="F224" s="54"/>
    </row>
    <row r="225" spans="1:6" hidden="1" thickBot="1" x14ac:dyDescent="0.3">
      <c r="A225">
        <v>28436</v>
      </c>
      <c r="B225" t="s">
        <v>2303</v>
      </c>
      <c r="C225" t="s">
        <v>2304</v>
      </c>
      <c r="E225">
        <v>0</v>
      </c>
      <c r="F225" s="54"/>
    </row>
    <row r="226" spans="1:6" ht="15.75" thickBot="1" x14ac:dyDescent="0.3">
      <c r="A226">
        <v>28440</v>
      </c>
      <c r="B226" t="s">
        <v>2305</v>
      </c>
      <c r="C226" t="s">
        <v>2306</v>
      </c>
      <c r="D226" s="75">
        <v>37.5</v>
      </c>
      <c r="E226">
        <v>10</v>
      </c>
      <c r="F226" s="54"/>
    </row>
    <row r="227" spans="1:6" hidden="1" thickBot="1" x14ac:dyDescent="0.3">
      <c r="A227">
        <v>27225</v>
      </c>
      <c r="B227" t="s">
        <v>2307</v>
      </c>
      <c r="C227" t="s">
        <v>2308</v>
      </c>
      <c r="E227">
        <v>0</v>
      </c>
      <c r="F227" s="54"/>
    </row>
    <row r="228" spans="1:6" ht="15.75" thickBot="1" x14ac:dyDescent="0.3">
      <c r="A228">
        <v>29311</v>
      </c>
      <c r="B228" t="s">
        <v>2309</v>
      </c>
      <c r="C228" t="s">
        <v>2310</v>
      </c>
      <c r="D228" s="75" t="s">
        <v>3082</v>
      </c>
      <c r="E228">
        <v>127</v>
      </c>
      <c r="F228" s="54"/>
    </row>
    <row r="229" spans="1:6" ht="15.75" thickBot="1" x14ac:dyDescent="0.3">
      <c r="A229">
        <v>29312</v>
      </c>
      <c r="B229" t="s">
        <v>2311</v>
      </c>
      <c r="C229" t="s">
        <v>2312</v>
      </c>
      <c r="D229" s="75" t="s">
        <v>3082</v>
      </c>
      <c r="E229">
        <v>98</v>
      </c>
      <c r="F229" s="54"/>
    </row>
    <row r="230" spans="1:6" hidden="1" thickBot="1" x14ac:dyDescent="0.3">
      <c r="A230">
        <v>27226</v>
      </c>
      <c r="B230" t="s">
        <v>2313</v>
      </c>
      <c r="C230" t="s">
        <v>2314</v>
      </c>
      <c r="E230">
        <v>0</v>
      </c>
      <c r="F230" s="54"/>
    </row>
    <row r="231" spans="1:6" ht="15.75" thickBot="1" x14ac:dyDescent="0.3">
      <c r="A231">
        <v>27227</v>
      </c>
      <c r="B231" t="s">
        <v>2315</v>
      </c>
      <c r="C231" t="s">
        <v>2316</v>
      </c>
      <c r="D231" s="75" t="s">
        <v>3082</v>
      </c>
      <c r="E231">
        <v>10</v>
      </c>
      <c r="F231" s="54"/>
    </row>
    <row r="232" spans="1:6" hidden="1" thickBot="1" x14ac:dyDescent="0.3">
      <c r="A232">
        <v>28441</v>
      </c>
      <c r="B232" t="s">
        <v>2317</v>
      </c>
      <c r="C232" t="s">
        <v>2318</v>
      </c>
      <c r="E232">
        <v>0</v>
      </c>
      <c r="F232" s="54"/>
    </row>
    <row r="233" spans="1:6" ht="15.75" thickBot="1" x14ac:dyDescent="0.3">
      <c r="A233">
        <v>28443</v>
      </c>
      <c r="B233" t="s">
        <v>2319</v>
      </c>
      <c r="C233" t="s">
        <v>2320</v>
      </c>
      <c r="D233" s="75">
        <v>10.75</v>
      </c>
      <c r="E233">
        <v>105</v>
      </c>
      <c r="F233" s="54"/>
    </row>
    <row r="234" spans="1:6" ht="15.75" thickBot="1" x14ac:dyDescent="0.3">
      <c r="A234">
        <v>27228</v>
      </c>
      <c r="B234" t="s">
        <v>2321</v>
      </c>
      <c r="C234" t="s">
        <v>2322</v>
      </c>
      <c r="D234" s="75" t="s">
        <v>3082</v>
      </c>
      <c r="E234">
        <v>6</v>
      </c>
      <c r="F234" s="54"/>
    </row>
    <row r="235" spans="1:6" hidden="1" thickBot="1" x14ac:dyDescent="0.3">
      <c r="A235">
        <v>27229</v>
      </c>
      <c r="B235" t="s">
        <v>2323</v>
      </c>
      <c r="C235" t="s">
        <v>2324</v>
      </c>
      <c r="E235">
        <v>0</v>
      </c>
      <c r="F235" s="54"/>
    </row>
    <row r="236" spans="1:6" ht="15.75" thickBot="1" x14ac:dyDescent="0.3">
      <c r="A236">
        <v>27230</v>
      </c>
      <c r="B236" t="s">
        <v>2325</v>
      </c>
      <c r="C236" t="s">
        <v>2326</v>
      </c>
      <c r="D236" s="75" t="s">
        <v>3082</v>
      </c>
      <c r="E236">
        <v>6</v>
      </c>
      <c r="F236" s="54"/>
    </row>
    <row r="237" spans="1:6" hidden="1" thickBot="1" x14ac:dyDescent="0.3">
      <c r="A237">
        <v>27231</v>
      </c>
      <c r="B237" t="s">
        <v>2327</v>
      </c>
      <c r="C237" t="s">
        <v>2328</v>
      </c>
      <c r="E237">
        <v>0</v>
      </c>
      <c r="F237" s="54"/>
    </row>
    <row r="238" spans="1:6" ht="15.75" thickBot="1" x14ac:dyDescent="0.3">
      <c r="A238">
        <v>28444</v>
      </c>
      <c r="B238" t="s">
        <v>2329</v>
      </c>
      <c r="C238" t="s">
        <v>2330</v>
      </c>
      <c r="D238" s="75" t="s">
        <v>3082</v>
      </c>
      <c r="E238">
        <v>11</v>
      </c>
      <c r="F238" s="54"/>
    </row>
    <row r="239" spans="1:6" ht="15.75" thickBot="1" x14ac:dyDescent="0.3">
      <c r="A239">
        <v>27232</v>
      </c>
      <c r="B239" t="s">
        <v>2331</v>
      </c>
      <c r="C239" t="s">
        <v>2332</v>
      </c>
      <c r="D239" s="75" t="s">
        <v>3082</v>
      </c>
      <c r="E239">
        <v>7</v>
      </c>
      <c r="F239" s="54"/>
    </row>
    <row r="240" spans="1:6" ht="15.75" thickBot="1" x14ac:dyDescent="0.3">
      <c r="A240">
        <v>28442</v>
      </c>
      <c r="B240" t="s">
        <v>2333</v>
      </c>
      <c r="C240" t="s">
        <v>2334</v>
      </c>
      <c r="D240" s="75" t="s">
        <v>3082</v>
      </c>
      <c r="E240">
        <v>5</v>
      </c>
      <c r="F240" s="54"/>
    </row>
    <row r="241" spans="1:6" ht="15.75" thickBot="1" x14ac:dyDescent="0.3">
      <c r="A241">
        <v>27233</v>
      </c>
      <c r="B241" t="s">
        <v>2335</v>
      </c>
      <c r="C241" t="s">
        <v>2336</v>
      </c>
      <c r="D241" s="75" t="s">
        <v>3082</v>
      </c>
      <c r="E241">
        <v>2</v>
      </c>
      <c r="F241" s="54"/>
    </row>
    <row r="242" spans="1:6" ht="15.75" thickBot="1" x14ac:dyDescent="0.3">
      <c r="A242">
        <v>28449</v>
      </c>
      <c r="B242" t="s">
        <v>2337</v>
      </c>
      <c r="C242" t="s">
        <v>2338</v>
      </c>
      <c r="D242" s="75" t="s">
        <v>3082</v>
      </c>
      <c r="E242">
        <v>8</v>
      </c>
      <c r="F242" s="54"/>
    </row>
    <row r="243" spans="1:6" ht="15.75" thickBot="1" x14ac:dyDescent="0.3">
      <c r="A243">
        <v>27234</v>
      </c>
      <c r="B243" t="s">
        <v>2339</v>
      </c>
      <c r="C243" t="s">
        <v>2340</v>
      </c>
      <c r="D243" s="75" t="s">
        <v>3082</v>
      </c>
      <c r="E243">
        <v>9</v>
      </c>
      <c r="F243" s="54"/>
    </row>
    <row r="244" spans="1:6" ht="15.75" thickBot="1" x14ac:dyDescent="0.3">
      <c r="A244">
        <v>28451</v>
      </c>
      <c r="B244" t="s">
        <v>2341</v>
      </c>
      <c r="C244" t="s">
        <v>2342</v>
      </c>
      <c r="D244" s="75" t="s">
        <v>3082</v>
      </c>
      <c r="E244">
        <v>1</v>
      </c>
      <c r="F244" s="54"/>
    </row>
    <row r="245" spans="1:6" ht="15.75" thickBot="1" x14ac:dyDescent="0.3">
      <c r="A245">
        <v>27235</v>
      </c>
      <c r="B245" t="s">
        <v>2343</v>
      </c>
      <c r="C245" t="s">
        <v>2344</v>
      </c>
      <c r="D245" s="75" t="s">
        <v>3082</v>
      </c>
      <c r="E245">
        <v>1</v>
      </c>
      <c r="F245" s="54"/>
    </row>
    <row r="246" spans="1:6" hidden="1" thickBot="1" x14ac:dyDescent="0.3">
      <c r="A246">
        <v>27236</v>
      </c>
      <c r="B246" t="s">
        <v>2345</v>
      </c>
      <c r="C246" t="s">
        <v>2346</v>
      </c>
      <c r="E246">
        <v>0</v>
      </c>
      <c r="F246" s="54"/>
    </row>
    <row r="247" spans="1:6" hidden="1" thickBot="1" x14ac:dyDescent="0.3">
      <c r="A247">
        <v>27237</v>
      </c>
      <c r="B247" t="s">
        <v>2347</v>
      </c>
      <c r="C247" t="s">
        <v>2348</v>
      </c>
      <c r="E247">
        <v>0</v>
      </c>
      <c r="F247" s="54"/>
    </row>
    <row r="248" spans="1:6" hidden="1" thickBot="1" x14ac:dyDescent="0.3">
      <c r="A248">
        <v>27239</v>
      </c>
      <c r="B248" t="s">
        <v>2349</v>
      </c>
      <c r="C248" t="s">
        <v>2316</v>
      </c>
      <c r="E248">
        <v>0</v>
      </c>
      <c r="F248" s="54"/>
    </row>
    <row r="249" spans="1:6" hidden="1" thickBot="1" x14ac:dyDescent="0.3">
      <c r="A249">
        <v>27238</v>
      </c>
      <c r="B249" t="s">
        <v>2350</v>
      </c>
      <c r="C249" t="s">
        <v>2351</v>
      </c>
      <c r="E249">
        <v>0</v>
      </c>
      <c r="F249" s="54"/>
    </row>
    <row r="250" spans="1:6" hidden="1" thickBot="1" x14ac:dyDescent="0.3">
      <c r="A250">
        <v>28447</v>
      </c>
      <c r="B250" t="s">
        <v>2352</v>
      </c>
      <c r="C250" t="s">
        <v>2353</v>
      </c>
      <c r="E250">
        <v>0</v>
      </c>
      <c r="F250" s="54"/>
    </row>
    <row r="251" spans="1:6" ht="15.75" thickBot="1" x14ac:dyDescent="0.3">
      <c r="A251">
        <v>28446</v>
      </c>
      <c r="B251" t="s">
        <v>2354</v>
      </c>
      <c r="C251" t="s">
        <v>2355</v>
      </c>
      <c r="D251" s="75" t="s">
        <v>3082</v>
      </c>
      <c r="E251">
        <v>12</v>
      </c>
      <c r="F251" s="54"/>
    </row>
    <row r="252" spans="1:6" ht="15.75" thickBot="1" x14ac:dyDescent="0.3">
      <c r="A252">
        <v>27240</v>
      </c>
      <c r="B252" t="s">
        <v>2356</v>
      </c>
      <c r="C252" t="s">
        <v>2357</v>
      </c>
      <c r="D252" s="75" t="s">
        <v>3082</v>
      </c>
      <c r="E252">
        <v>2</v>
      </c>
      <c r="F252" s="54"/>
    </row>
    <row r="253" spans="1:6" ht="15.75" thickBot="1" x14ac:dyDescent="0.3">
      <c r="A253">
        <v>27241</v>
      </c>
      <c r="B253" t="s">
        <v>2358</v>
      </c>
      <c r="C253" t="s">
        <v>2359</v>
      </c>
      <c r="D253" s="75">
        <v>6.61</v>
      </c>
      <c r="E253">
        <v>236</v>
      </c>
      <c r="F253" s="54"/>
    </row>
    <row r="254" spans="1:6" ht="15.75" thickBot="1" x14ac:dyDescent="0.3">
      <c r="A254">
        <v>27242</v>
      </c>
      <c r="B254" t="s">
        <v>2360</v>
      </c>
      <c r="C254" t="s">
        <v>2361</v>
      </c>
      <c r="D254" s="75">
        <v>6.53</v>
      </c>
      <c r="E254">
        <v>100</v>
      </c>
      <c r="F254" s="54"/>
    </row>
    <row r="255" spans="1:6" ht="15.75" thickBot="1" x14ac:dyDescent="0.3">
      <c r="A255">
        <v>27243</v>
      </c>
      <c r="B255" t="s">
        <v>2362</v>
      </c>
      <c r="C255" t="s">
        <v>2363</v>
      </c>
      <c r="D255" s="75">
        <v>6.74</v>
      </c>
      <c r="E255">
        <v>15</v>
      </c>
      <c r="F255" s="54"/>
    </row>
    <row r="256" spans="1:6" hidden="1" thickBot="1" x14ac:dyDescent="0.3">
      <c r="A256">
        <v>27244</v>
      </c>
      <c r="B256" t="s">
        <v>2364</v>
      </c>
      <c r="C256" t="s">
        <v>2363</v>
      </c>
      <c r="E256">
        <v>0</v>
      </c>
      <c r="F256" s="54"/>
    </row>
    <row r="257" spans="1:6" hidden="1" thickBot="1" x14ac:dyDescent="0.3">
      <c r="A257">
        <v>27245</v>
      </c>
      <c r="B257" t="s">
        <v>2365</v>
      </c>
      <c r="C257" t="s">
        <v>2366</v>
      </c>
      <c r="E257">
        <v>0</v>
      </c>
      <c r="F257" s="54"/>
    </row>
    <row r="258" spans="1:6" hidden="1" thickBot="1" x14ac:dyDescent="0.3">
      <c r="A258">
        <v>27246</v>
      </c>
      <c r="B258" t="s">
        <v>2367</v>
      </c>
      <c r="C258" t="s">
        <v>2368</v>
      </c>
      <c r="E258">
        <v>0</v>
      </c>
      <c r="F258" s="54"/>
    </row>
    <row r="259" spans="1:6" hidden="1" thickBot="1" x14ac:dyDescent="0.3">
      <c r="A259">
        <v>27247</v>
      </c>
      <c r="B259" t="s">
        <v>2369</v>
      </c>
      <c r="C259" t="s">
        <v>2370</v>
      </c>
      <c r="E259">
        <v>0</v>
      </c>
      <c r="F259" s="54"/>
    </row>
    <row r="260" spans="1:6" ht="15.75" thickBot="1" x14ac:dyDescent="0.3">
      <c r="A260">
        <v>27250</v>
      </c>
      <c r="B260" t="s">
        <v>2371</v>
      </c>
      <c r="C260" t="s">
        <v>2372</v>
      </c>
      <c r="D260" s="75" t="s">
        <v>3082</v>
      </c>
      <c r="E260">
        <v>16</v>
      </c>
      <c r="F260" s="54"/>
    </row>
    <row r="261" spans="1:6" ht="15.75" thickBot="1" x14ac:dyDescent="0.3">
      <c r="A261">
        <v>27249</v>
      </c>
      <c r="B261" t="s">
        <v>2373</v>
      </c>
      <c r="C261" t="s">
        <v>2374</v>
      </c>
      <c r="D261" s="75" t="s">
        <v>3082</v>
      </c>
      <c r="E261">
        <v>5</v>
      </c>
      <c r="F261" s="54"/>
    </row>
    <row r="262" spans="1:6" hidden="1" thickBot="1" x14ac:dyDescent="0.3">
      <c r="A262">
        <v>27248</v>
      </c>
      <c r="B262" t="s">
        <v>2375</v>
      </c>
      <c r="C262" t="s">
        <v>2376</v>
      </c>
      <c r="E262">
        <v>0</v>
      </c>
      <c r="F262" s="54"/>
    </row>
    <row r="263" spans="1:6" hidden="1" thickBot="1" x14ac:dyDescent="0.3">
      <c r="A263">
        <v>27251</v>
      </c>
      <c r="B263" t="s">
        <v>2377</v>
      </c>
      <c r="C263" t="s">
        <v>2378</v>
      </c>
      <c r="E263">
        <v>0</v>
      </c>
      <c r="F263" s="54"/>
    </row>
    <row r="264" spans="1:6" ht="15.75" thickBot="1" x14ac:dyDescent="0.3">
      <c r="A264">
        <v>27253</v>
      </c>
      <c r="B264" t="s">
        <v>2379</v>
      </c>
      <c r="C264" t="s">
        <v>2380</v>
      </c>
      <c r="D264" s="75" t="s">
        <v>3082</v>
      </c>
      <c r="E264">
        <v>2</v>
      </c>
      <c r="F264" s="54"/>
    </row>
    <row r="265" spans="1:6" hidden="1" thickBot="1" x14ac:dyDescent="0.3">
      <c r="A265">
        <v>27252</v>
      </c>
      <c r="B265" t="s">
        <v>2381</v>
      </c>
      <c r="C265" t="s">
        <v>2382</v>
      </c>
      <c r="E265">
        <v>0</v>
      </c>
      <c r="F265" s="54"/>
    </row>
    <row r="266" spans="1:6" hidden="1" thickBot="1" x14ac:dyDescent="0.3">
      <c r="A266">
        <v>27254</v>
      </c>
      <c r="B266" t="s">
        <v>2383</v>
      </c>
      <c r="C266" t="s">
        <v>2384</v>
      </c>
      <c r="E266">
        <v>0</v>
      </c>
      <c r="F266" s="54"/>
    </row>
    <row r="267" spans="1:6" ht="15.75" thickBot="1" x14ac:dyDescent="0.3">
      <c r="A267">
        <v>27255</v>
      </c>
      <c r="B267" t="s">
        <v>2385</v>
      </c>
      <c r="C267" t="s">
        <v>2386</v>
      </c>
      <c r="D267" s="75" t="s">
        <v>3082</v>
      </c>
      <c r="E267">
        <v>1</v>
      </c>
      <c r="F267" s="54"/>
    </row>
    <row r="268" spans="1:6" hidden="1" thickBot="1" x14ac:dyDescent="0.3">
      <c r="A268">
        <v>27256</v>
      </c>
      <c r="B268" t="s">
        <v>2387</v>
      </c>
      <c r="C268" t="s">
        <v>2388</v>
      </c>
      <c r="E268">
        <v>0</v>
      </c>
      <c r="F268" s="54"/>
    </row>
    <row r="269" spans="1:6" ht="15.75" thickBot="1" x14ac:dyDescent="0.3">
      <c r="A269">
        <v>27257</v>
      </c>
      <c r="B269" t="s">
        <v>2389</v>
      </c>
      <c r="C269" t="s">
        <v>2390</v>
      </c>
      <c r="D269" s="75" t="s">
        <v>3082</v>
      </c>
      <c r="E269">
        <v>8</v>
      </c>
      <c r="F269" s="54"/>
    </row>
    <row r="270" spans="1:6" ht="15.75" thickBot="1" x14ac:dyDescent="0.3">
      <c r="A270">
        <v>27258</v>
      </c>
      <c r="B270" t="s">
        <v>2391</v>
      </c>
      <c r="C270" t="s">
        <v>2392</v>
      </c>
      <c r="D270" s="75" t="s">
        <v>3082</v>
      </c>
      <c r="E270">
        <v>16</v>
      </c>
      <c r="F270" s="54"/>
    </row>
    <row r="271" spans="1:6" hidden="1" thickBot="1" x14ac:dyDescent="0.3">
      <c r="A271">
        <v>27259</v>
      </c>
      <c r="B271" t="s">
        <v>2393</v>
      </c>
      <c r="C271" t="s">
        <v>2394</v>
      </c>
      <c r="E271">
        <v>0</v>
      </c>
      <c r="F271" s="54"/>
    </row>
    <row r="272" spans="1:6" hidden="1" thickBot="1" x14ac:dyDescent="0.3">
      <c r="A272">
        <v>27260</v>
      </c>
      <c r="B272" t="s">
        <v>2395</v>
      </c>
      <c r="C272" t="s">
        <v>2396</v>
      </c>
      <c r="E272">
        <v>0</v>
      </c>
      <c r="F272" s="54"/>
    </row>
    <row r="273" spans="1:6" ht="15.75" thickBot="1" x14ac:dyDescent="0.3">
      <c r="A273">
        <v>27261</v>
      </c>
      <c r="B273" t="s">
        <v>2397</v>
      </c>
      <c r="C273" t="s">
        <v>2398</v>
      </c>
      <c r="D273" s="75">
        <v>11.13</v>
      </c>
      <c r="E273">
        <v>50</v>
      </c>
      <c r="F273" s="54"/>
    </row>
    <row r="274" spans="1:6" ht="15.75" thickBot="1" x14ac:dyDescent="0.3">
      <c r="A274">
        <v>27264</v>
      </c>
      <c r="B274" t="s">
        <v>2399</v>
      </c>
      <c r="C274" t="s">
        <v>2400</v>
      </c>
      <c r="D274" s="75">
        <v>2.89</v>
      </c>
      <c r="E274">
        <v>607</v>
      </c>
      <c r="F274" s="54"/>
    </row>
    <row r="275" spans="1:6" ht="15.75" thickBot="1" x14ac:dyDescent="0.3">
      <c r="A275">
        <v>27262</v>
      </c>
      <c r="B275" t="s">
        <v>2401</v>
      </c>
      <c r="C275" t="s">
        <v>2402</v>
      </c>
      <c r="D275" s="75">
        <v>3.58</v>
      </c>
      <c r="E275">
        <v>408</v>
      </c>
      <c r="F275" s="54"/>
    </row>
    <row r="276" spans="1:6" ht="15.75" thickBot="1" x14ac:dyDescent="0.3">
      <c r="A276">
        <v>27265</v>
      </c>
      <c r="B276" t="s">
        <v>2403</v>
      </c>
      <c r="C276" t="s">
        <v>2404</v>
      </c>
      <c r="D276" s="75">
        <v>3.69</v>
      </c>
      <c r="E276">
        <v>96</v>
      </c>
      <c r="F276" s="54"/>
    </row>
    <row r="277" spans="1:6" ht="15.75" thickBot="1" x14ac:dyDescent="0.3">
      <c r="A277">
        <v>27263</v>
      </c>
      <c r="B277" t="s">
        <v>2405</v>
      </c>
      <c r="C277" t="s">
        <v>2406</v>
      </c>
      <c r="D277" s="75">
        <v>4.04</v>
      </c>
      <c r="E277">
        <v>300</v>
      </c>
      <c r="F277" s="54"/>
    </row>
    <row r="278" spans="1:6" hidden="1" thickBot="1" x14ac:dyDescent="0.3">
      <c r="A278">
        <v>27266</v>
      </c>
      <c r="B278" t="s">
        <v>2407</v>
      </c>
      <c r="C278" t="s">
        <v>2408</v>
      </c>
      <c r="E278">
        <v>0</v>
      </c>
      <c r="F278" s="54"/>
    </row>
    <row r="279" spans="1:6" ht="15.75" thickBot="1" x14ac:dyDescent="0.3">
      <c r="A279">
        <v>27267</v>
      </c>
      <c r="B279" t="s">
        <v>2409</v>
      </c>
      <c r="C279" t="s">
        <v>2410</v>
      </c>
      <c r="D279" s="75">
        <v>4.72</v>
      </c>
      <c r="E279">
        <v>215</v>
      </c>
      <c r="F279" s="54"/>
    </row>
    <row r="280" spans="1:6" hidden="1" thickBot="1" x14ac:dyDescent="0.3">
      <c r="A280">
        <v>27268</v>
      </c>
      <c r="B280" t="s">
        <v>2411</v>
      </c>
      <c r="C280" t="s">
        <v>2412</v>
      </c>
      <c r="E280">
        <v>0</v>
      </c>
      <c r="F280" s="54"/>
    </row>
    <row r="281" spans="1:6" hidden="1" thickBot="1" x14ac:dyDescent="0.3">
      <c r="A281">
        <v>28453</v>
      </c>
      <c r="B281" t="s">
        <v>2413</v>
      </c>
      <c r="C281" t="s">
        <v>2414</v>
      </c>
      <c r="E281">
        <v>0</v>
      </c>
      <c r="F281" s="54"/>
    </row>
    <row r="282" spans="1:6" ht="15.75" thickBot="1" x14ac:dyDescent="0.3">
      <c r="A282">
        <v>28448</v>
      </c>
      <c r="B282" t="s">
        <v>2415</v>
      </c>
      <c r="C282" t="s">
        <v>2416</v>
      </c>
      <c r="D282" s="75">
        <v>14.2</v>
      </c>
      <c r="E282">
        <v>1</v>
      </c>
      <c r="F282" s="54"/>
    </row>
    <row r="283" spans="1:6" hidden="1" thickBot="1" x14ac:dyDescent="0.3">
      <c r="A283">
        <v>27269</v>
      </c>
      <c r="B283" t="s">
        <v>2417</v>
      </c>
      <c r="C283" t="s">
        <v>2418</v>
      </c>
      <c r="E283">
        <v>0</v>
      </c>
      <c r="F283" s="54"/>
    </row>
    <row r="284" spans="1:6" hidden="1" thickBot="1" x14ac:dyDescent="0.3">
      <c r="A284">
        <v>28458</v>
      </c>
      <c r="B284" t="s">
        <v>2419</v>
      </c>
      <c r="C284" t="s">
        <v>2420</v>
      </c>
      <c r="E284">
        <v>0</v>
      </c>
      <c r="F284" s="54"/>
    </row>
    <row r="285" spans="1:6" hidden="1" thickBot="1" x14ac:dyDescent="0.3">
      <c r="A285">
        <v>27270</v>
      </c>
      <c r="B285" t="s">
        <v>2421</v>
      </c>
      <c r="C285" t="s">
        <v>2422</v>
      </c>
      <c r="E285">
        <v>0</v>
      </c>
      <c r="F285" s="54"/>
    </row>
    <row r="286" spans="1:6" hidden="1" thickBot="1" x14ac:dyDescent="0.3">
      <c r="A286">
        <v>27271</v>
      </c>
      <c r="B286" t="s">
        <v>2423</v>
      </c>
      <c r="C286" t="s">
        <v>2424</v>
      </c>
      <c r="E286">
        <v>0</v>
      </c>
      <c r="F286" s="54"/>
    </row>
    <row r="287" spans="1:6" hidden="1" thickBot="1" x14ac:dyDescent="0.3">
      <c r="A287">
        <v>28377</v>
      </c>
      <c r="B287" t="s">
        <v>2425</v>
      </c>
      <c r="C287" t="s">
        <v>2426</v>
      </c>
      <c r="E287">
        <v>0</v>
      </c>
      <c r="F287" s="54"/>
    </row>
    <row r="288" spans="1:6" hidden="1" thickBot="1" x14ac:dyDescent="0.3">
      <c r="A288">
        <v>28375</v>
      </c>
      <c r="B288" t="s">
        <v>2427</v>
      </c>
      <c r="C288" t="s">
        <v>2428</v>
      </c>
      <c r="E288">
        <v>0</v>
      </c>
      <c r="F288" s="54"/>
    </row>
    <row r="289" spans="1:6" hidden="1" thickBot="1" x14ac:dyDescent="0.3">
      <c r="A289">
        <v>28374</v>
      </c>
      <c r="B289" t="s">
        <v>2429</v>
      </c>
      <c r="C289" t="s">
        <v>2430</v>
      </c>
      <c r="E289">
        <v>0</v>
      </c>
      <c r="F289" s="54"/>
    </row>
    <row r="290" spans="1:6" hidden="1" thickBot="1" x14ac:dyDescent="0.3">
      <c r="A290">
        <v>28378</v>
      </c>
      <c r="B290" t="s">
        <v>2431</v>
      </c>
      <c r="C290" t="s">
        <v>2432</v>
      </c>
      <c r="E290">
        <v>0</v>
      </c>
      <c r="F290" s="54"/>
    </row>
    <row r="291" spans="1:6" hidden="1" thickBot="1" x14ac:dyDescent="0.3">
      <c r="A291">
        <v>28372</v>
      </c>
      <c r="B291" t="s">
        <v>2433</v>
      </c>
      <c r="C291" t="s">
        <v>2434</v>
      </c>
      <c r="E291">
        <v>0</v>
      </c>
      <c r="F291" s="54"/>
    </row>
    <row r="292" spans="1:6" hidden="1" thickBot="1" x14ac:dyDescent="0.3">
      <c r="A292">
        <v>28376</v>
      </c>
      <c r="B292" t="s">
        <v>2435</v>
      </c>
      <c r="C292" t="s">
        <v>2436</v>
      </c>
      <c r="E292">
        <v>0</v>
      </c>
      <c r="F292" s="54"/>
    </row>
    <row r="293" spans="1:6" hidden="1" thickBot="1" x14ac:dyDescent="0.3">
      <c r="A293">
        <v>28379</v>
      </c>
      <c r="B293" t="s">
        <v>2437</v>
      </c>
      <c r="C293" t="s">
        <v>2438</v>
      </c>
      <c r="E293">
        <v>0</v>
      </c>
      <c r="F293" s="54"/>
    </row>
    <row r="294" spans="1:6" ht="15.75" thickBot="1" x14ac:dyDescent="0.3">
      <c r="A294">
        <v>27278</v>
      </c>
      <c r="B294" t="s">
        <v>2439</v>
      </c>
      <c r="C294" t="s">
        <v>2440</v>
      </c>
      <c r="D294" s="75">
        <v>16.36</v>
      </c>
      <c r="E294">
        <v>6</v>
      </c>
      <c r="F294" s="54"/>
    </row>
    <row r="295" spans="1:6" ht="15.75" thickBot="1" x14ac:dyDescent="0.3">
      <c r="A295">
        <v>27282</v>
      </c>
      <c r="B295" t="s">
        <v>2441</v>
      </c>
      <c r="C295" t="s">
        <v>2442</v>
      </c>
      <c r="D295" s="75">
        <v>17.86</v>
      </c>
      <c r="E295">
        <v>74</v>
      </c>
      <c r="F295" s="54"/>
    </row>
    <row r="296" spans="1:6" hidden="1" thickBot="1" x14ac:dyDescent="0.3">
      <c r="A296">
        <v>27283</v>
      </c>
      <c r="B296" t="s">
        <v>2443</v>
      </c>
      <c r="C296" t="s">
        <v>2444</v>
      </c>
      <c r="E296">
        <v>0</v>
      </c>
      <c r="F296" s="54"/>
    </row>
    <row r="297" spans="1:6" hidden="1" thickBot="1" x14ac:dyDescent="0.3">
      <c r="A297">
        <v>27284</v>
      </c>
      <c r="B297" t="s">
        <v>2445</v>
      </c>
      <c r="C297" t="s">
        <v>2446</v>
      </c>
      <c r="E297">
        <v>0</v>
      </c>
      <c r="F297" s="54"/>
    </row>
    <row r="298" spans="1:6" ht="15.75" thickBot="1" x14ac:dyDescent="0.3">
      <c r="A298">
        <v>27285</v>
      </c>
      <c r="B298" t="s">
        <v>2447</v>
      </c>
      <c r="C298" t="s">
        <v>2448</v>
      </c>
      <c r="D298" s="75">
        <v>3.51</v>
      </c>
      <c r="E298">
        <v>75</v>
      </c>
      <c r="F298" s="54"/>
    </row>
    <row r="299" spans="1:6" hidden="1" thickBot="1" x14ac:dyDescent="0.3">
      <c r="A299">
        <v>27286</v>
      </c>
      <c r="B299" t="s">
        <v>2449</v>
      </c>
      <c r="C299" t="s">
        <v>2450</v>
      </c>
      <c r="E299">
        <v>0</v>
      </c>
      <c r="F299" s="54"/>
    </row>
    <row r="300" spans="1:6" hidden="1" thickBot="1" x14ac:dyDescent="0.3">
      <c r="A300">
        <v>28526</v>
      </c>
      <c r="B300" t="s">
        <v>2451</v>
      </c>
      <c r="C300" t="s">
        <v>2452</v>
      </c>
      <c r="E300">
        <v>0</v>
      </c>
      <c r="F300" s="54"/>
    </row>
    <row r="301" spans="1:6" hidden="1" thickBot="1" x14ac:dyDescent="0.3">
      <c r="A301">
        <v>28529</v>
      </c>
      <c r="B301" t="s">
        <v>2453</v>
      </c>
      <c r="C301" t="s">
        <v>2454</v>
      </c>
      <c r="E301">
        <v>0</v>
      </c>
      <c r="F301" s="54"/>
    </row>
    <row r="302" spans="1:6" ht="15.75" thickBot="1" x14ac:dyDescent="0.3">
      <c r="A302">
        <v>28532</v>
      </c>
      <c r="B302" t="s">
        <v>2455</v>
      </c>
      <c r="C302" t="s">
        <v>2456</v>
      </c>
      <c r="D302" s="75">
        <v>5.13</v>
      </c>
      <c r="E302">
        <v>205</v>
      </c>
      <c r="F302" s="54"/>
    </row>
    <row r="303" spans="1:6" hidden="1" thickBot="1" x14ac:dyDescent="0.3">
      <c r="A303">
        <v>27287</v>
      </c>
      <c r="B303" t="s">
        <v>2457</v>
      </c>
      <c r="C303" t="s">
        <v>2458</v>
      </c>
      <c r="E303">
        <v>0</v>
      </c>
      <c r="F303" s="54"/>
    </row>
    <row r="304" spans="1:6" hidden="1" thickBot="1" x14ac:dyDescent="0.3">
      <c r="A304">
        <v>27289</v>
      </c>
      <c r="B304" t="s">
        <v>2459</v>
      </c>
      <c r="C304" t="s">
        <v>2460</v>
      </c>
      <c r="E304">
        <v>0</v>
      </c>
      <c r="F304" s="54"/>
    </row>
    <row r="305" spans="1:6" ht="15.75" thickBot="1" x14ac:dyDescent="0.3">
      <c r="A305">
        <v>27291</v>
      </c>
      <c r="B305" t="s">
        <v>2461</v>
      </c>
      <c r="C305" t="s">
        <v>2462</v>
      </c>
      <c r="D305" s="75">
        <v>10.039999999999999</v>
      </c>
      <c r="E305">
        <v>72</v>
      </c>
      <c r="F305" s="54"/>
    </row>
    <row r="306" spans="1:6" ht="15.75" thickBot="1" x14ac:dyDescent="0.3">
      <c r="A306">
        <v>27288</v>
      </c>
      <c r="B306" t="s">
        <v>2463</v>
      </c>
      <c r="C306" t="s">
        <v>2464</v>
      </c>
      <c r="D306" s="75">
        <v>11.2</v>
      </c>
      <c r="E306">
        <v>107</v>
      </c>
      <c r="F306" s="54"/>
    </row>
    <row r="307" spans="1:6" hidden="1" thickBot="1" x14ac:dyDescent="0.3">
      <c r="A307">
        <v>27290</v>
      </c>
      <c r="B307" t="s">
        <v>2465</v>
      </c>
      <c r="C307" t="s">
        <v>2466</v>
      </c>
      <c r="E307">
        <v>0</v>
      </c>
      <c r="F307" s="54"/>
    </row>
    <row r="308" spans="1:6" hidden="1" thickBot="1" x14ac:dyDescent="0.3">
      <c r="A308">
        <v>27293</v>
      </c>
      <c r="B308" t="s">
        <v>2467</v>
      </c>
      <c r="C308" t="s">
        <v>2468</v>
      </c>
      <c r="E308">
        <v>0</v>
      </c>
      <c r="F308" s="54"/>
    </row>
    <row r="309" spans="1:6" hidden="1" thickBot="1" x14ac:dyDescent="0.3">
      <c r="A309">
        <v>27292</v>
      </c>
      <c r="B309" t="s">
        <v>2469</v>
      </c>
      <c r="C309" t="s">
        <v>2470</v>
      </c>
      <c r="E309">
        <v>0</v>
      </c>
      <c r="F309" s="54"/>
    </row>
    <row r="310" spans="1:6" hidden="1" thickBot="1" x14ac:dyDescent="0.3">
      <c r="A310">
        <v>27295</v>
      </c>
      <c r="B310" t="s">
        <v>2471</v>
      </c>
      <c r="C310" t="s">
        <v>2472</v>
      </c>
      <c r="E310">
        <v>0</v>
      </c>
      <c r="F310" s="54"/>
    </row>
    <row r="311" spans="1:6" hidden="1" thickBot="1" x14ac:dyDescent="0.3">
      <c r="A311">
        <v>27294</v>
      </c>
      <c r="B311" t="s">
        <v>2473</v>
      </c>
      <c r="C311" t="s">
        <v>2474</v>
      </c>
      <c r="E311">
        <v>0</v>
      </c>
      <c r="F311" s="54"/>
    </row>
    <row r="312" spans="1:6" hidden="1" thickBot="1" x14ac:dyDescent="0.3">
      <c r="A312">
        <v>28544</v>
      </c>
      <c r="B312" t="s">
        <v>2475</v>
      </c>
      <c r="C312" t="s">
        <v>2476</v>
      </c>
      <c r="E312">
        <v>0</v>
      </c>
      <c r="F312" s="54"/>
    </row>
    <row r="313" spans="1:6" hidden="1" thickBot="1" x14ac:dyDescent="0.3">
      <c r="A313">
        <v>27296</v>
      </c>
      <c r="B313" t="s">
        <v>2477</v>
      </c>
      <c r="C313" t="s">
        <v>2478</v>
      </c>
      <c r="E313">
        <v>0</v>
      </c>
      <c r="F313" s="54"/>
    </row>
    <row r="314" spans="1:6" hidden="1" thickBot="1" x14ac:dyDescent="0.3">
      <c r="A314">
        <v>27297</v>
      </c>
      <c r="B314" t="s">
        <v>2479</v>
      </c>
      <c r="C314" t="s">
        <v>2480</v>
      </c>
      <c r="E314">
        <v>0</v>
      </c>
      <c r="F314" s="54"/>
    </row>
    <row r="315" spans="1:6" hidden="1" thickBot="1" x14ac:dyDescent="0.3">
      <c r="A315">
        <v>27298</v>
      </c>
      <c r="B315" t="s">
        <v>2481</v>
      </c>
      <c r="C315" t="s">
        <v>2482</v>
      </c>
      <c r="E315">
        <v>0</v>
      </c>
      <c r="F315" s="54"/>
    </row>
    <row r="316" spans="1:6" hidden="1" thickBot="1" x14ac:dyDescent="0.3">
      <c r="A316">
        <v>28543</v>
      </c>
      <c r="B316" t="s">
        <v>2483</v>
      </c>
      <c r="C316" t="s">
        <v>2484</v>
      </c>
      <c r="E316">
        <v>0</v>
      </c>
      <c r="F316" s="54"/>
    </row>
    <row r="317" spans="1:6" hidden="1" thickBot="1" x14ac:dyDescent="0.3">
      <c r="A317">
        <v>27299</v>
      </c>
      <c r="B317" t="s">
        <v>2485</v>
      </c>
      <c r="C317" t="s">
        <v>2486</v>
      </c>
      <c r="E317">
        <v>0</v>
      </c>
      <c r="F317" s="54"/>
    </row>
    <row r="318" spans="1:6" hidden="1" thickBot="1" x14ac:dyDescent="0.3">
      <c r="A318">
        <v>28548</v>
      </c>
      <c r="B318" t="s">
        <v>2487</v>
      </c>
      <c r="C318" t="s">
        <v>2488</v>
      </c>
      <c r="E318">
        <v>0</v>
      </c>
      <c r="F318" s="54"/>
    </row>
    <row r="319" spans="1:6" hidden="1" thickBot="1" x14ac:dyDescent="0.3">
      <c r="A319">
        <v>28550</v>
      </c>
      <c r="B319" t="s">
        <v>2489</v>
      </c>
      <c r="C319" t="s">
        <v>2490</v>
      </c>
      <c r="E319">
        <v>0</v>
      </c>
      <c r="F319" s="54"/>
    </row>
    <row r="320" spans="1:6" hidden="1" thickBot="1" x14ac:dyDescent="0.3">
      <c r="A320">
        <v>27302</v>
      </c>
      <c r="B320" t="s">
        <v>2491</v>
      </c>
      <c r="C320" t="s">
        <v>2492</v>
      </c>
      <c r="E320">
        <v>0</v>
      </c>
      <c r="F320" s="54"/>
    </row>
    <row r="321" spans="1:6" hidden="1" thickBot="1" x14ac:dyDescent="0.3">
      <c r="A321">
        <v>27301</v>
      </c>
      <c r="B321" t="s">
        <v>2493</v>
      </c>
      <c r="C321" t="s">
        <v>2494</v>
      </c>
      <c r="E321">
        <v>0</v>
      </c>
      <c r="F321" s="54"/>
    </row>
    <row r="322" spans="1:6" hidden="1" thickBot="1" x14ac:dyDescent="0.3">
      <c r="A322">
        <v>27303</v>
      </c>
      <c r="B322" t="s">
        <v>2495</v>
      </c>
      <c r="C322" t="s">
        <v>2496</v>
      </c>
      <c r="E322">
        <v>0</v>
      </c>
      <c r="F322" s="54"/>
    </row>
    <row r="323" spans="1:6" hidden="1" thickBot="1" x14ac:dyDescent="0.3">
      <c r="A323">
        <v>27304</v>
      </c>
      <c r="B323" t="s">
        <v>2497</v>
      </c>
      <c r="C323" t="s">
        <v>2498</v>
      </c>
      <c r="E323">
        <v>0</v>
      </c>
      <c r="F323" s="54"/>
    </row>
    <row r="324" spans="1:6" hidden="1" thickBot="1" x14ac:dyDescent="0.3">
      <c r="A324">
        <v>27305</v>
      </c>
      <c r="B324" t="s">
        <v>2499</v>
      </c>
      <c r="C324" t="s">
        <v>2500</v>
      </c>
      <c r="E324">
        <v>0</v>
      </c>
      <c r="F324" s="54"/>
    </row>
    <row r="325" spans="1:6" hidden="1" thickBot="1" x14ac:dyDescent="0.3">
      <c r="A325">
        <v>27306</v>
      </c>
      <c r="B325" t="s">
        <v>2501</v>
      </c>
      <c r="C325" t="s">
        <v>2502</v>
      </c>
      <c r="E325">
        <v>0</v>
      </c>
      <c r="F325" s="54"/>
    </row>
    <row r="326" spans="1:6" hidden="1" thickBot="1" x14ac:dyDescent="0.3">
      <c r="A326">
        <v>27308</v>
      </c>
      <c r="B326" t="s">
        <v>2503</v>
      </c>
      <c r="C326" t="s">
        <v>2504</v>
      </c>
      <c r="E326">
        <v>0</v>
      </c>
      <c r="F326" s="54"/>
    </row>
    <row r="327" spans="1:6" hidden="1" thickBot="1" x14ac:dyDescent="0.3">
      <c r="A327">
        <v>27307</v>
      </c>
      <c r="B327" t="s">
        <v>2505</v>
      </c>
      <c r="C327" t="s">
        <v>2506</v>
      </c>
      <c r="E327">
        <v>0</v>
      </c>
      <c r="F327" s="54"/>
    </row>
    <row r="328" spans="1:6" hidden="1" thickBot="1" x14ac:dyDescent="0.3">
      <c r="A328">
        <v>28568</v>
      </c>
      <c r="B328" t="s">
        <v>2507</v>
      </c>
      <c r="C328" t="s">
        <v>2490</v>
      </c>
      <c r="E328">
        <v>0</v>
      </c>
      <c r="F328" s="54"/>
    </row>
    <row r="329" spans="1:6" hidden="1" thickBot="1" x14ac:dyDescent="0.3">
      <c r="A329">
        <v>28565</v>
      </c>
      <c r="B329" t="s">
        <v>2508</v>
      </c>
      <c r="C329" t="s">
        <v>2509</v>
      </c>
      <c r="E329">
        <v>0</v>
      </c>
      <c r="F329" s="54"/>
    </row>
    <row r="330" spans="1:6" hidden="1" thickBot="1" x14ac:dyDescent="0.3">
      <c r="A330">
        <v>28569</v>
      </c>
      <c r="B330" t="s">
        <v>2510</v>
      </c>
      <c r="C330" t="s">
        <v>2511</v>
      </c>
      <c r="E330">
        <v>0</v>
      </c>
      <c r="F330" s="54"/>
    </row>
    <row r="331" spans="1:6" ht="15.75" thickBot="1" x14ac:dyDescent="0.3">
      <c r="A331">
        <v>28574</v>
      </c>
      <c r="B331" t="s">
        <v>2512</v>
      </c>
      <c r="C331" t="s">
        <v>2513</v>
      </c>
      <c r="D331" s="75" t="s">
        <v>3082</v>
      </c>
      <c r="E331">
        <v>467</v>
      </c>
      <c r="F331" s="54"/>
    </row>
    <row r="332" spans="1:6" hidden="1" thickBot="1" x14ac:dyDescent="0.3">
      <c r="A332">
        <v>28570</v>
      </c>
      <c r="B332" t="s">
        <v>2514</v>
      </c>
      <c r="C332" t="s">
        <v>2515</v>
      </c>
      <c r="E332">
        <v>0</v>
      </c>
      <c r="F332" s="54"/>
    </row>
    <row r="333" spans="1:6" hidden="1" thickBot="1" x14ac:dyDescent="0.3">
      <c r="A333">
        <v>28571</v>
      </c>
      <c r="B333" t="s">
        <v>2516</v>
      </c>
      <c r="C333" t="s">
        <v>2517</v>
      </c>
      <c r="E333">
        <v>0</v>
      </c>
      <c r="F333" s="54"/>
    </row>
    <row r="334" spans="1:6" hidden="1" thickBot="1" x14ac:dyDescent="0.3">
      <c r="A334">
        <v>28573</v>
      </c>
      <c r="B334" t="s">
        <v>2518</v>
      </c>
      <c r="C334" t="s">
        <v>2519</v>
      </c>
      <c r="E334">
        <v>0</v>
      </c>
      <c r="F334" s="54"/>
    </row>
    <row r="335" spans="1:6" hidden="1" thickBot="1" x14ac:dyDescent="0.3">
      <c r="A335">
        <v>28575</v>
      </c>
      <c r="B335" t="s">
        <v>2520</v>
      </c>
      <c r="C335" t="s">
        <v>2521</v>
      </c>
      <c r="E335">
        <v>0</v>
      </c>
      <c r="F335" s="54"/>
    </row>
    <row r="336" spans="1:6" hidden="1" thickBot="1" x14ac:dyDescent="0.3">
      <c r="A336">
        <v>28572</v>
      </c>
      <c r="B336" t="s">
        <v>2522</v>
      </c>
      <c r="C336" t="s">
        <v>2523</v>
      </c>
      <c r="E336">
        <v>0</v>
      </c>
      <c r="F336" s="54"/>
    </row>
    <row r="337" spans="1:6" ht="15.75" thickBot="1" x14ac:dyDescent="0.3">
      <c r="A337">
        <v>28576</v>
      </c>
      <c r="B337" t="s">
        <v>2524</v>
      </c>
      <c r="C337" t="s">
        <v>2525</v>
      </c>
      <c r="D337" s="75" t="s">
        <v>3082</v>
      </c>
      <c r="E337">
        <v>4</v>
      </c>
      <c r="F337" s="54"/>
    </row>
    <row r="338" spans="1:6" ht="15.75" thickBot="1" x14ac:dyDescent="0.3">
      <c r="A338">
        <v>28578</v>
      </c>
      <c r="B338" t="s">
        <v>2526</v>
      </c>
      <c r="C338" t="s">
        <v>2527</v>
      </c>
      <c r="D338" s="75" t="s">
        <v>3082</v>
      </c>
      <c r="E338">
        <v>62</v>
      </c>
      <c r="F338" s="54"/>
    </row>
    <row r="339" spans="1:6" ht="15.75" thickBot="1" x14ac:dyDescent="0.3">
      <c r="A339">
        <v>28577</v>
      </c>
      <c r="B339" t="s">
        <v>2528</v>
      </c>
      <c r="C339" t="s">
        <v>2529</v>
      </c>
      <c r="D339" s="75" t="s">
        <v>3082</v>
      </c>
      <c r="E339">
        <v>25</v>
      </c>
      <c r="F339" s="54"/>
    </row>
    <row r="340" spans="1:6" ht="15.75" thickBot="1" x14ac:dyDescent="0.3">
      <c r="A340">
        <v>28579</v>
      </c>
      <c r="B340" t="s">
        <v>2530</v>
      </c>
      <c r="C340" t="s">
        <v>2531</v>
      </c>
      <c r="D340" s="75" t="s">
        <v>3082</v>
      </c>
      <c r="E340">
        <v>36</v>
      </c>
      <c r="F340" s="54"/>
    </row>
    <row r="341" spans="1:6" hidden="1" thickBot="1" x14ac:dyDescent="0.3">
      <c r="A341">
        <v>28580</v>
      </c>
      <c r="B341" t="s">
        <v>2532</v>
      </c>
      <c r="C341" t="s">
        <v>2533</v>
      </c>
      <c r="E341">
        <v>0</v>
      </c>
      <c r="F341" s="54"/>
    </row>
    <row r="342" spans="1:6" hidden="1" thickBot="1" x14ac:dyDescent="0.3">
      <c r="A342">
        <v>28581</v>
      </c>
      <c r="B342" t="s">
        <v>2534</v>
      </c>
      <c r="C342" t="s">
        <v>2535</v>
      </c>
      <c r="E342">
        <v>0</v>
      </c>
      <c r="F342" s="54"/>
    </row>
    <row r="343" spans="1:6" hidden="1" thickBot="1" x14ac:dyDescent="0.3">
      <c r="A343">
        <v>28583</v>
      </c>
      <c r="B343" t="s">
        <v>2536</v>
      </c>
      <c r="C343" t="s">
        <v>2537</v>
      </c>
      <c r="E343">
        <v>0</v>
      </c>
      <c r="F343" s="54"/>
    </row>
    <row r="344" spans="1:6" hidden="1" thickBot="1" x14ac:dyDescent="0.3">
      <c r="A344">
        <v>28582</v>
      </c>
      <c r="B344" t="s">
        <v>2538</v>
      </c>
      <c r="C344" t="s">
        <v>2539</v>
      </c>
      <c r="E344">
        <v>0</v>
      </c>
      <c r="F344" s="54"/>
    </row>
    <row r="345" spans="1:6" ht="15.75" thickBot="1" x14ac:dyDescent="0.3">
      <c r="A345">
        <v>28588</v>
      </c>
      <c r="B345" t="s">
        <v>2540</v>
      </c>
      <c r="C345" t="s">
        <v>2541</v>
      </c>
      <c r="D345" s="75" t="s">
        <v>3082</v>
      </c>
      <c r="E345">
        <v>270</v>
      </c>
      <c r="F345" s="54"/>
    </row>
    <row r="346" spans="1:6" hidden="1" thickBot="1" x14ac:dyDescent="0.3">
      <c r="A346">
        <v>28584</v>
      </c>
      <c r="B346" t="s">
        <v>2542</v>
      </c>
      <c r="C346" t="s">
        <v>2543</v>
      </c>
      <c r="E346">
        <v>0</v>
      </c>
      <c r="F346" s="54"/>
    </row>
    <row r="347" spans="1:6" hidden="1" thickBot="1" x14ac:dyDescent="0.3">
      <c r="A347">
        <v>28587</v>
      </c>
      <c r="B347" t="s">
        <v>2544</v>
      </c>
      <c r="C347" t="s">
        <v>2545</v>
      </c>
      <c r="E347">
        <v>0</v>
      </c>
      <c r="F347" s="54"/>
    </row>
    <row r="348" spans="1:6" hidden="1" thickBot="1" x14ac:dyDescent="0.3">
      <c r="A348">
        <v>28585</v>
      </c>
      <c r="B348" t="s">
        <v>2546</v>
      </c>
      <c r="C348" t="s">
        <v>2547</v>
      </c>
      <c r="E348">
        <v>0</v>
      </c>
      <c r="F348" s="54"/>
    </row>
    <row r="349" spans="1:6" hidden="1" thickBot="1" x14ac:dyDescent="0.3">
      <c r="A349">
        <v>28586</v>
      </c>
      <c r="B349" t="s">
        <v>2548</v>
      </c>
      <c r="C349" t="s">
        <v>2549</v>
      </c>
      <c r="E349">
        <v>0</v>
      </c>
      <c r="F349" s="54"/>
    </row>
    <row r="350" spans="1:6" hidden="1" thickBot="1" x14ac:dyDescent="0.3">
      <c r="A350">
        <v>28589</v>
      </c>
      <c r="B350" t="s">
        <v>2550</v>
      </c>
      <c r="C350" t="s">
        <v>2551</v>
      </c>
      <c r="E350">
        <v>0</v>
      </c>
      <c r="F350" s="54"/>
    </row>
    <row r="351" spans="1:6" hidden="1" thickBot="1" x14ac:dyDescent="0.3">
      <c r="A351">
        <v>28590</v>
      </c>
      <c r="B351" t="s">
        <v>2552</v>
      </c>
      <c r="C351" t="s">
        <v>2552</v>
      </c>
      <c r="E351">
        <v>0</v>
      </c>
      <c r="F351" s="54"/>
    </row>
    <row r="352" spans="1:6" hidden="1" thickBot="1" x14ac:dyDescent="0.3">
      <c r="A352">
        <v>27314</v>
      </c>
      <c r="B352" t="s">
        <v>2553</v>
      </c>
      <c r="C352" t="s">
        <v>2554</v>
      </c>
      <c r="E352">
        <v>0</v>
      </c>
      <c r="F352" s="54"/>
    </row>
    <row r="353" spans="1:6" ht="15.75" thickBot="1" x14ac:dyDescent="0.3">
      <c r="A353">
        <v>27315</v>
      </c>
      <c r="B353" t="s">
        <v>2555</v>
      </c>
      <c r="C353" t="s">
        <v>2556</v>
      </c>
      <c r="D353" s="75">
        <v>40</v>
      </c>
      <c r="E353">
        <v>3</v>
      </c>
      <c r="F353" s="54"/>
    </row>
    <row r="354" spans="1:6" hidden="1" thickBot="1" x14ac:dyDescent="0.3">
      <c r="A354">
        <v>27316</v>
      </c>
      <c r="B354" t="s">
        <v>2557</v>
      </c>
      <c r="C354" t="s">
        <v>2558</v>
      </c>
      <c r="E354">
        <v>0</v>
      </c>
      <c r="F354" s="54"/>
    </row>
    <row r="355" spans="1:6" hidden="1" thickBot="1" x14ac:dyDescent="0.3">
      <c r="A355">
        <v>27317</v>
      </c>
      <c r="B355" t="s">
        <v>2559</v>
      </c>
      <c r="C355" t="s">
        <v>2560</v>
      </c>
      <c r="E355">
        <v>0</v>
      </c>
      <c r="F355" s="54"/>
    </row>
    <row r="356" spans="1:6" ht="15.75" thickBot="1" x14ac:dyDescent="0.3">
      <c r="A356">
        <v>27319</v>
      </c>
      <c r="B356" t="s">
        <v>2561</v>
      </c>
      <c r="C356" t="s">
        <v>2562</v>
      </c>
      <c r="D356" s="75">
        <v>23.5</v>
      </c>
      <c r="E356">
        <v>36</v>
      </c>
      <c r="F356" s="54"/>
    </row>
    <row r="357" spans="1:6" ht="15.75" thickBot="1" x14ac:dyDescent="0.3">
      <c r="A357">
        <v>27318</v>
      </c>
      <c r="B357" t="s">
        <v>2563</v>
      </c>
      <c r="C357" t="s">
        <v>2564</v>
      </c>
      <c r="D357" s="75">
        <v>26.5</v>
      </c>
      <c r="E357">
        <v>111</v>
      </c>
      <c r="F357" s="54"/>
    </row>
    <row r="358" spans="1:6" hidden="1" thickBot="1" x14ac:dyDescent="0.3">
      <c r="A358">
        <v>27320</v>
      </c>
      <c r="B358" t="s">
        <v>2565</v>
      </c>
      <c r="C358" t="s">
        <v>2566</v>
      </c>
      <c r="E358">
        <v>0</v>
      </c>
      <c r="F358" s="54"/>
    </row>
    <row r="359" spans="1:6" hidden="1" thickBot="1" x14ac:dyDescent="0.3">
      <c r="A359">
        <v>27321</v>
      </c>
      <c r="B359" t="s">
        <v>2567</v>
      </c>
      <c r="C359" t="s">
        <v>2568</v>
      </c>
      <c r="E359">
        <v>0</v>
      </c>
      <c r="F359" s="54"/>
    </row>
    <row r="360" spans="1:6" hidden="1" thickBot="1" x14ac:dyDescent="0.3">
      <c r="A360">
        <v>27322</v>
      </c>
      <c r="B360" t="s">
        <v>2569</v>
      </c>
      <c r="C360" t="s">
        <v>2570</v>
      </c>
      <c r="E360">
        <v>0</v>
      </c>
      <c r="F360" s="54"/>
    </row>
    <row r="361" spans="1:6" hidden="1" thickBot="1" x14ac:dyDescent="0.3">
      <c r="A361">
        <v>27325</v>
      </c>
      <c r="B361" t="s">
        <v>2571</v>
      </c>
      <c r="C361" t="s">
        <v>2572</v>
      </c>
      <c r="E361">
        <v>0</v>
      </c>
      <c r="F361" s="54"/>
    </row>
    <row r="362" spans="1:6" hidden="1" thickBot="1" x14ac:dyDescent="0.3">
      <c r="A362">
        <v>27326</v>
      </c>
      <c r="B362" t="s">
        <v>2573</v>
      </c>
      <c r="C362" t="s">
        <v>2574</v>
      </c>
      <c r="E362">
        <v>0</v>
      </c>
      <c r="F362" s="54"/>
    </row>
    <row r="363" spans="1:6" hidden="1" thickBot="1" x14ac:dyDescent="0.3">
      <c r="A363">
        <v>28640</v>
      </c>
      <c r="B363" t="s">
        <v>2575</v>
      </c>
      <c r="C363" t="s">
        <v>2490</v>
      </c>
      <c r="E363">
        <v>0</v>
      </c>
      <c r="F363" s="54"/>
    </row>
    <row r="364" spans="1:6" hidden="1" thickBot="1" x14ac:dyDescent="0.3">
      <c r="A364">
        <v>28650</v>
      </c>
      <c r="B364" t="s">
        <v>2576</v>
      </c>
      <c r="C364" t="s">
        <v>2577</v>
      </c>
      <c r="E364">
        <v>0</v>
      </c>
      <c r="F364" s="54"/>
    </row>
    <row r="365" spans="1:6" hidden="1" thickBot="1" x14ac:dyDescent="0.3">
      <c r="A365">
        <v>27347</v>
      </c>
      <c r="B365" t="s">
        <v>2578</v>
      </c>
      <c r="C365" t="s">
        <v>2579</v>
      </c>
      <c r="E365">
        <v>0</v>
      </c>
      <c r="F365" s="54"/>
    </row>
    <row r="366" spans="1:6" hidden="1" thickBot="1" x14ac:dyDescent="0.3">
      <c r="A366">
        <v>27013</v>
      </c>
      <c r="B366" t="s">
        <v>2580</v>
      </c>
      <c r="C366" t="s">
        <v>2579</v>
      </c>
      <c r="E366">
        <v>0</v>
      </c>
      <c r="F366" s="54"/>
    </row>
    <row r="367" spans="1:6" hidden="1" thickBot="1" x14ac:dyDescent="0.3">
      <c r="A367">
        <v>28656</v>
      </c>
      <c r="B367" t="s">
        <v>2581</v>
      </c>
      <c r="C367" t="s">
        <v>2582</v>
      </c>
      <c r="E367">
        <v>0</v>
      </c>
      <c r="F367" s="54"/>
    </row>
    <row r="368" spans="1:6" ht="15.75" thickBot="1" x14ac:dyDescent="0.3">
      <c r="A368">
        <v>27350</v>
      </c>
      <c r="B368" t="s">
        <v>2583</v>
      </c>
      <c r="C368" t="s">
        <v>2584</v>
      </c>
      <c r="D368" s="75" t="s">
        <v>3082</v>
      </c>
      <c r="E368">
        <v>134</v>
      </c>
      <c r="F368" s="54"/>
    </row>
    <row r="369" spans="1:6" hidden="1" thickBot="1" x14ac:dyDescent="0.3">
      <c r="A369">
        <v>27348</v>
      </c>
      <c r="B369" t="s">
        <v>2585</v>
      </c>
      <c r="C369" t="s">
        <v>2586</v>
      </c>
      <c r="E369">
        <v>0</v>
      </c>
      <c r="F369" s="54"/>
    </row>
    <row r="370" spans="1:6" ht="15.75" thickBot="1" x14ac:dyDescent="0.3">
      <c r="A370">
        <v>27349</v>
      </c>
      <c r="B370" t="s">
        <v>2587</v>
      </c>
      <c r="C370" t="s">
        <v>2588</v>
      </c>
      <c r="D370" s="75">
        <v>43.44</v>
      </c>
      <c r="E370">
        <v>7</v>
      </c>
      <c r="F370" s="54"/>
    </row>
    <row r="371" spans="1:6" hidden="1" thickBot="1" x14ac:dyDescent="0.3">
      <c r="A371">
        <v>27351</v>
      </c>
      <c r="B371" t="s">
        <v>2589</v>
      </c>
      <c r="C371" t="s">
        <v>2590</v>
      </c>
      <c r="E371">
        <v>0</v>
      </c>
      <c r="F371" s="54"/>
    </row>
    <row r="372" spans="1:6" hidden="1" thickBot="1" x14ac:dyDescent="0.3">
      <c r="A372">
        <v>27352</v>
      </c>
      <c r="B372" t="s">
        <v>2591</v>
      </c>
      <c r="C372" t="s">
        <v>2590</v>
      </c>
      <c r="E372">
        <v>0</v>
      </c>
      <c r="F372" s="54"/>
    </row>
    <row r="373" spans="1:6" ht="15.75" thickBot="1" x14ac:dyDescent="0.3">
      <c r="A373">
        <v>27354</v>
      </c>
      <c r="B373" t="s">
        <v>2592</v>
      </c>
      <c r="C373" t="s">
        <v>2593</v>
      </c>
      <c r="D373" s="75" t="s">
        <v>3082</v>
      </c>
      <c r="E373">
        <v>6</v>
      </c>
      <c r="F373" s="54"/>
    </row>
    <row r="374" spans="1:6" hidden="1" thickBot="1" x14ac:dyDescent="0.3">
      <c r="A374">
        <v>27353</v>
      </c>
      <c r="B374" t="s">
        <v>2594</v>
      </c>
      <c r="C374" t="s">
        <v>2593</v>
      </c>
      <c r="E374">
        <v>0</v>
      </c>
      <c r="F374" s="54"/>
    </row>
    <row r="375" spans="1:6" ht="15.75" thickBot="1" x14ac:dyDescent="0.3">
      <c r="A375">
        <v>27355</v>
      </c>
      <c r="B375" t="s">
        <v>2595</v>
      </c>
      <c r="C375" t="s">
        <v>2596</v>
      </c>
      <c r="D375" s="75">
        <v>44.99</v>
      </c>
      <c r="E375">
        <v>3</v>
      </c>
      <c r="F375" s="54"/>
    </row>
    <row r="376" spans="1:6" ht="15.75" thickBot="1" x14ac:dyDescent="0.3">
      <c r="A376">
        <v>27356</v>
      </c>
      <c r="B376" t="s">
        <v>2597</v>
      </c>
      <c r="C376" t="s">
        <v>2598</v>
      </c>
      <c r="D376" s="75" t="s">
        <v>3082</v>
      </c>
      <c r="E376">
        <v>37</v>
      </c>
      <c r="F376" s="54"/>
    </row>
    <row r="377" spans="1:6" hidden="1" thickBot="1" x14ac:dyDescent="0.3">
      <c r="A377">
        <v>27357</v>
      </c>
      <c r="B377" t="s">
        <v>2599</v>
      </c>
      <c r="C377" t="s">
        <v>2600</v>
      </c>
      <c r="E377">
        <v>0</v>
      </c>
      <c r="F377" s="54"/>
    </row>
    <row r="378" spans="1:6" hidden="1" thickBot="1" x14ac:dyDescent="0.3">
      <c r="A378">
        <v>27358</v>
      </c>
      <c r="B378" t="s">
        <v>2601</v>
      </c>
      <c r="C378" t="s">
        <v>2602</v>
      </c>
      <c r="E378">
        <v>0</v>
      </c>
      <c r="F378" s="54"/>
    </row>
    <row r="379" spans="1:6" hidden="1" thickBot="1" x14ac:dyDescent="0.3">
      <c r="A379">
        <v>27359</v>
      </c>
      <c r="B379" t="s">
        <v>2603</v>
      </c>
      <c r="C379" t="s">
        <v>2604</v>
      </c>
      <c r="E379">
        <v>0</v>
      </c>
      <c r="F379" s="54"/>
    </row>
    <row r="380" spans="1:6" hidden="1" thickBot="1" x14ac:dyDescent="0.3">
      <c r="A380">
        <v>27360</v>
      </c>
      <c r="B380" t="s">
        <v>2605</v>
      </c>
      <c r="C380" t="s">
        <v>2606</v>
      </c>
      <c r="E380">
        <v>0</v>
      </c>
      <c r="F380" s="54"/>
    </row>
    <row r="381" spans="1:6" hidden="1" thickBot="1" x14ac:dyDescent="0.3">
      <c r="A381">
        <v>27361</v>
      </c>
      <c r="B381" t="s">
        <v>2607</v>
      </c>
      <c r="C381" t="s">
        <v>2608</v>
      </c>
      <c r="E381">
        <v>0</v>
      </c>
      <c r="F381" s="54"/>
    </row>
    <row r="382" spans="1:6" hidden="1" thickBot="1" x14ac:dyDescent="0.3">
      <c r="A382">
        <v>27362</v>
      </c>
      <c r="B382" t="s">
        <v>2609</v>
      </c>
      <c r="C382" t="s">
        <v>2610</v>
      </c>
      <c r="E382">
        <v>0</v>
      </c>
      <c r="F382" s="54"/>
    </row>
    <row r="383" spans="1:6" hidden="1" thickBot="1" x14ac:dyDescent="0.3">
      <c r="A383">
        <v>27364</v>
      </c>
      <c r="B383" t="s">
        <v>2611</v>
      </c>
      <c r="C383" t="s">
        <v>2612</v>
      </c>
      <c r="E383">
        <v>0</v>
      </c>
      <c r="F383" s="54"/>
    </row>
    <row r="384" spans="1:6" hidden="1" thickBot="1" x14ac:dyDescent="0.3">
      <c r="A384">
        <v>27363</v>
      </c>
      <c r="B384" t="s">
        <v>2613</v>
      </c>
      <c r="C384" t="s">
        <v>2614</v>
      </c>
      <c r="E384">
        <v>0</v>
      </c>
      <c r="F384" s="54"/>
    </row>
    <row r="385" spans="1:6" hidden="1" thickBot="1" x14ac:dyDescent="0.3">
      <c r="A385">
        <v>27365</v>
      </c>
      <c r="B385" t="s">
        <v>2615</v>
      </c>
      <c r="C385" t="s">
        <v>2616</v>
      </c>
      <c r="E385">
        <v>0</v>
      </c>
      <c r="F385" s="54"/>
    </row>
    <row r="386" spans="1:6" hidden="1" thickBot="1" x14ac:dyDescent="0.3">
      <c r="A386">
        <v>27366</v>
      </c>
      <c r="B386" t="s">
        <v>2617</v>
      </c>
      <c r="C386" t="s">
        <v>2618</v>
      </c>
      <c r="E386">
        <v>0</v>
      </c>
      <c r="F386" s="54"/>
    </row>
    <row r="387" spans="1:6" hidden="1" thickBot="1" x14ac:dyDescent="0.3">
      <c r="A387">
        <v>27367</v>
      </c>
      <c r="B387" t="s">
        <v>2619</v>
      </c>
      <c r="C387" t="s">
        <v>2620</v>
      </c>
      <c r="E387">
        <v>0</v>
      </c>
      <c r="F387" s="54"/>
    </row>
    <row r="388" spans="1:6" hidden="1" thickBot="1" x14ac:dyDescent="0.3">
      <c r="A388">
        <v>27368</v>
      </c>
      <c r="B388" t="s">
        <v>2621</v>
      </c>
      <c r="C388" t="s">
        <v>2622</v>
      </c>
      <c r="E388">
        <v>0</v>
      </c>
      <c r="F388" s="54"/>
    </row>
    <row r="389" spans="1:6" hidden="1" thickBot="1" x14ac:dyDescent="0.3">
      <c r="A389">
        <v>27370</v>
      </c>
      <c r="B389" t="s">
        <v>2623</v>
      </c>
      <c r="C389" t="s">
        <v>2624</v>
      </c>
      <c r="E389">
        <v>0</v>
      </c>
      <c r="F389" s="54"/>
    </row>
    <row r="390" spans="1:6" hidden="1" thickBot="1" x14ac:dyDescent="0.3">
      <c r="A390">
        <v>27371</v>
      </c>
      <c r="B390" t="s">
        <v>2625</v>
      </c>
      <c r="C390" t="s">
        <v>2626</v>
      </c>
      <c r="E390">
        <v>0</v>
      </c>
      <c r="F390" s="54"/>
    </row>
    <row r="391" spans="1:6" hidden="1" thickBot="1" x14ac:dyDescent="0.3">
      <c r="A391">
        <v>27369</v>
      </c>
      <c r="B391" t="s">
        <v>2627</v>
      </c>
      <c r="C391" t="s">
        <v>2579</v>
      </c>
      <c r="E391">
        <v>0</v>
      </c>
      <c r="F391" s="54"/>
    </row>
    <row r="392" spans="1:6" ht="15.75" thickBot="1" x14ac:dyDescent="0.3">
      <c r="A392">
        <v>27372</v>
      </c>
      <c r="B392" t="s">
        <v>2628</v>
      </c>
      <c r="C392" t="s">
        <v>2629</v>
      </c>
      <c r="D392" s="75">
        <v>43.44</v>
      </c>
      <c r="E392">
        <v>47</v>
      </c>
      <c r="F392" s="54"/>
    </row>
    <row r="393" spans="1:6" hidden="1" thickBot="1" x14ac:dyDescent="0.3">
      <c r="A393">
        <v>27373</v>
      </c>
      <c r="B393" t="s">
        <v>2630</v>
      </c>
      <c r="C393" t="s">
        <v>2631</v>
      </c>
      <c r="E393">
        <v>0</v>
      </c>
      <c r="F393" s="54"/>
    </row>
    <row r="394" spans="1:6" ht="15.75" thickBot="1" x14ac:dyDescent="0.3">
      <c r="A394">
        <v>27374</v>
      </c>
      <c r="B394" t="s">
        <v>2632</v>
      </c>
      <c r="C394" t="s">
        <v>2633</v>
      </c>
      <c r="D394" s="75" t="s">
        <v>3082</v>
      </c>
      <c r="E394">
        <v>24</v>
      </c>
      <c r="F394" s="54"/>
    </row>
    <row r="395" spans="1:6" hidden="1" thickBot="1" x14ac:dyDescent="0.3">
      <c r="A395">
        <v>27375</v>
      </c>
      <c r="B395" t="s">
        <v>2634</v>
      </c>
      <c r="C395" t="s">
        <v>2635</v>
      </c>
      <c r="E395">
        <v>0</v>
      </c>
      <c r="F395" s="54"/>
    </row>
    <row r="396" spans="1:6" ht="15.75" thickBot="1" x14ac:dyDescent="0.3">
      <c r="A396">
        <v>27376</v>
      </c>
      <c r="B396" t="s">
        <v>2636</v>
      </c>
      <c r="C396" t="s">
        <v>2637</v>
      </c>
      <c r="D396" s="75">
        <v>51.2</v>
      </c>
      <c r="E396">
        <v>3</v>
      </c>
      <c r="F396" s="54"/>
    </row>
    <row r="397" spans="1:6" ht="15.75" thickBot="1" x14ac:dyDescent="0.3">
      <c r="A397">
        <v>27377</v>
      </c>
      <c r="B397" t="s">
        <v>2638</v>
      </c>
      <c r="C397" t="s">
        <v>2639</v>
      </c>
      <c r="D397" s="75">
        <v>52.75</v>
      </c>
      <c r="E397">
        <v>1</v>
      </c>
      <c r="F397" s="54"/>
    </row>
    <row r="398" spans="1:6" hidden="1" thickBot="1" x14ac:dyDescent="0.3">
      <c r="A398">
        <v>27378</v>
      </c>
      <c r="B398" t="s">
        <v>2640</v>
      </c>
      <c r="C398" t="s">
        <v>2641</v>
      </c>
      <c r="E398">
        <v>0</v>
      </c>
      <c r="F398" s="54"/>
    </row>
    <row r="399" spans="1:6" hidden="1" thickBot="1" x14ac:dyDescent="0.3">
      <c r="A399">
        <v>27379</v>
      </c>
      <c r="B399" t="s">
        <v>2642</v>
      </c>
      <c r="C399" t="s">
        <v>2643</v>
      </c>
      <c r="E399">
        <v>0</v>
      </c>
      <c r="F399" s="54"/>
    </row>
    <row r="400" spans="1:6" hidden="1" thickBot="1" x14ac:dyDescent="0.3">
      <c r="A400">
        <v>28657</v>
      </c>
      <c r="B400" t="s">
        <v>2644</v>
      </c>
      <c r="C400" t="s">
        <v>2645</v>
      </c>
      <c r="E400">
        <v>0</v>
      </c>
      <c r="F400" s="54"/>
    </row>
    <row r="401" spans="1:6" ht="15.75" thickBot="1" x14ac:dyDescent="0.3">
      <c r="A401">
        <v>27380</v>
      </c>
      <c r="B401" t="s">
        <v>2646</v>
      </c>
      <c r="C401" t="s">
        <v>2647</v>
      </c>
      <c r="D401" s="75">
        <v>43.68</v>
      </c>
      <c r="E401">
        <v>2</v>
      </c>
      <c r="F401" s="54"/>
    </row>
    <row r="402" spans="1:6" ht="15.75" thickBot="1" x14ac:dyDescent="0.3">
      <c r="A402">
        <v>27381</v>
      </c>
      <c r="B402" t="s">
        <v>2648</v>
      </c>
      <c r="C402" t="s">
        <v>2649</v>
      </c>
      <c r="D402" s="75" t="s">
        <v>3082</v>
      </c>
      <c r="E402">
        <v>1</v>
      </c>
      <c r="F402" s="54"/>
    </row>
    <row r="403" spans="1:6" ht="15.75" thickBot="1" x14ac:dyDescent="0.3">
      <c r="A403">
        <v>27382</v>
      </c>
      <c r="B403" t="s">
        <v>2650</v>
      </c>
      <c r="C403" t="s">
        <v>2651</v>
      </c>
      <c r="D403" s="75">
        <v>52.21</v>
      </c>
      <c r="E403">
        <v>7</v>
      </c>
      <c r="F403" s="54"/>
    </row>
    <row r="404" spans="1:6" ht="15.75" thickBot="1" x14ac:dyDescent="0.3">
      <c r="A404">
        <v>27384</v>
      </c>
      <c r="B404" t="s">
        <v>2652</v>
      </c>
      <c r="C404" t="s">
        <v>2653</v>
      </c>
      <c r="D404" s="75">
        <v>54.3</v>
      </c>
      <c r="E404">
        <v>32</v>
      </c>
      <c r="F404" s="54"/>
    </row>
    <row r="405" spans="1:6" ht="15.75" thickBot="1" x14ac:dyDescent="0.3">
      <c r="A405">
        <v>27383</v>
      </c>
      <c r="B405" t="s">
        <v>2654</v>
      </c>
      <c r="C405" t="s">
        <v>2655</v>
      </c>
      <c r="D405" s="75">
        <v>52.71</v>
      </c>
      <c r="E405">
        <v>9</v>
      </c>
      <c r="F405" s="54"/>
    </row>
    <row r="406" spans="1:6" ht="15.75" thickBot="1" x14ac:dyDescent="0.3">
      <c r="A406">
        <v>27386</v>
      </c>
      <c r="B406" t="s">
        <v>2656</v>
      </c>
      <c r="C406" t="s">
        <v>2657</v>
      </c>
      <c r="D406" s="75">
        <v>54.22</v>
      </c>
      <c r="E406">
        <v>12</v>
      </c>
      <c r="F406" s="54"/>
    </row>
    <row r="407" spans="1:6" hidden="1" thickBot="1" x14ac:dyDescent="0.3">
      <c r="A407">
        <v>28659</v>
      </c>
      <c r="B407" t="s">
        <v>2658</v>
      </c>
      <c r="C407" t="s">
        <v>2659</v>
      </c>
      <c r="E407">
        <v>0</v>
      </c>
      <c r="F407" s="54"/>
    </row>
    <row r="408" spans="1:6" hidden="1" thickBot="1" x14ac:dyDescent="0.3">
      <c r="A408">
        <v>27385</v>
      </c>
      <c r="B408" t="s">
        <v>2660</v>
      </c>
      <c r="C408" t="s">
        <v>2661</v>
      </c>
      <c r="E408">
        <v>0</v>
      </c>
      <c r="F408" s="54"/>
    </row>
    <row r="409" spans="1:6" hidden="1" thickBot="1" x14ac:dyDescent="0.3">
      <c r="A409">
        <v>27387</v>
      </c>
      <c r="B409" t="s">
        <v>2662</v>
      </c>
      <c r="C409" t="s">
        <v>2661</v>
      </c>
      <c r="E409">
        <v>0</v>
      </c>
      <c r="F409" s="54"/>
    </row>
    <row r="410" spans="1:6" hidden="1" thickBot="1" x14ac:dyDescent="0.3">
      <c r="A410">
        <v>28660</v>
      </c>
      <c r="B410" t="s">
        <v>2663</v>
      </c>
      <c r="C410" t="s">
        <v>2490</v>
      </c>
      <c r="E410">
        <v>0</v>
      </c>
      <c r="F410" s="54"/>
    </row>
    <row r="411" spans="1:6" hidden="1" thickBot="1" x14ac:dyDescent="0.3">
      <c r="A411">
        <v>27388</v>
      </c>
      <c r="B411" t="s">
        <v>2664</v>
      </c>
      <c r="C411" t="s">
        <v>2665</v>
      </c>
      <c r="E411">
        <v>0</v>
      </c>
      <c r="F411" s="54"/>
    </row>
    <row r="412" spans="1:6" hidden="1" thickBot="1" x14ac:dyDescent="0.3">
      <c r="A412">
        <v>28658</v>
      </c>
      <c r="B412" t="s">
        <v>2666</v>
      </c>
      <c r="C412" t="s">
        <v>2490</v>
      </c>
      <c r="E412">
        <v>0</v>
      </c>
      <c r="F412" s="54"/>
    </row>
    <row r="413" spans="1:6" hidden="1" thickBot="1" x14ac:dyDescent="0.3">
      <c r="A413">
        <v>28669</v>
      </c>
      <c r="B413" t="s">
        <v>2667</v>
      </c>
      <c r="C413" t="s">
        <v>2668</v>
      </c>
      <c r="E413">
        <v>0</v>
      </c>
      <c r="F413" s="54"/>
    </row>
    <row r="414" spans="1:6" hidden="1" thickBot="1" x14ac:dyDescent="0.3">
      <c r="A414">
        <v>28682</v>
      </c>
      <c r="B414" t="s">
        <v>2669</v>
      </c>
      <c r="C414" t="s">
        <v>2670</v>
      </c>
      <c r="E414">
        <v>0</v>
      </c>
      <c r="F414" s="54"/>
    </row>
    <row r="415" spans="1:6" hidden="1" thickBot="1" x14ac:dyDescent="0.3">
      <c r="A415">
        <v>27390</v>
      </c>
      <c r="B415" t="s">
        <v>2671</v>
      </c>
      <c r="C415" t="s">
        <v>2672</v>
      </c>
      <c r="E415">
        <v>0</v>
      </c>
      <c r="F415" s="54"/>
    </row>
    <row r="416" spans="1:6" hidden="1" thickBot="1" x14ac:dyDescent="0.3">
      <c r="A416">
        <v>28688</v>
      </c>
      <c r="B416" t="s">
        <v>2673</v>
      </c>
      <c r="C416" t="s">
        <v>2674</v>
      </c>
      <c r="E416">
        <v>0</v>
      </c>
      <c r="F416" s="54"/>
    </row>
    <row r="417" spans="1:6" hidden="1" thickBot="1" x14ac:dyDescent="0.3">
      <c r="A417">
        <v>28694</v>
      </c>
      <c r="B417" t="s">
        <v>2675</v>
      </c>
      <c r="C417" t="s">
        <v>2676</v>
      </c>
      <c r="E417">
        <v>0</v>
      </c>
      <c r="F417" s="54"/>
    </row>
    <row r="418" spans="1:6" hidden="1" thickBot="1" x14ac:dyDescent="0.3">
      <c r="A418">
        <v>28696</v>
      </c>
      <c r="B418" t="s">
        <v>2677</v>
      </c>
      <c r="C418" t="s">
        <v>2678</v>
      </c>
      <c r="E418">
        <v>0</v>
      </c>
      <c r="F418" s="54"/>
    </row>
    <row r="419" spans="1:6" hidden="1" thickBot="1" x14ac:dyDescent="0.3">
      <c r="A419">
        <v>28698</v>
      </c>
      <c r="B419" t="s">
        <v>2679</v>
      </c>
      <c r="C419" t="s">
        <v>2680</v>
      </c>
      <c r="E419">
        <v>0</v>
      </c>
      <c r="F419" s="54"/>
    </row>
    <row r="420" spans="1:6" hidden="1" thickBot="1" x14ac:dyDescent="0.3">
      <c r="A420">
        <v>27020</v>
      </c>
      <c r="B420" t="s">
        <v>2681</v>
      </c>
      <c r="C420" t="s">
        <v>2682</v>
      </c>
      <c r="E420">
        <v>0</v>
      </c>
      <c r="F420" s="54"/>
    </row>
    <row r="421" spans="1:6" hidden="1" thickBot="1" x14ac:dyDescent="0.3">
      <c r="A421">
        <v>27395</v>
      </c>
      <c r="B421" t="s">
        <v>2683</v>
      </c>
      <c r="C421" t="s">
        <v>2684</v>
      </c>
      <c r="E421">
        <v>0</v>
      </c>
      <c r="F421" s="54"/>
    </row>
    <row r="422" spans="1:6" hidden="1" thickBot="1" x14ac:dyDescent="0.3">
      <c r="A422">
        <v>27396</v>
      </c>
      <c r="B422" t="s">
        <v>2685</v>
      </c>
      <c r="C422" t="s">
        <v>2686</v>
      </c>
      <c r="E422">
        <v>0</v>
      </c>
      <c r="F422" s="54"/>
    </row>
    <row r="423" spans="1:6" hidden="1" thickBot="1" x14ac:dyDescent="0.3">
      <c r="A423">
        <v>27397</v>
      </c>
      <c r="B423" t="s">
        <v>2687</v>
      </c>
      <c r="C423" t="s">
        <v>2688</v>
      </c>
      <c r="E423">
        <v>0</v>
      </c>
      <c r="F423" s="54"/>
    </row>
    <row r="424" spans="1:6" hidden="1" thickBot="1" x14ac:dyDescent="0.3">
      <c r="A424">
        <v>27399</v>
      </c>
      <c r="B424" t="s">
        <v>2689</v>
      </c>
      <c r="C424" t="s">
        <v>2690</v>
      </c>
      <c r="E424">
        <v>0</v>
      </c>
      <c r="F424" s="54"/>
    </row>
    <row r="425" spans="1:6" hidden="1" thickBot="1" x14ac:dyDescent="0.3">
      <c r="A425">
        <v>27398</v>
      </c>
      <c r="B425" t="s">
        <v>2691</v>
      </c>
      <c r="C425" t="s">
        <v>2692</v>
      </c>
      <c r="E425">
        <v>0</v>
      </c>
      <c r="F425" s="54"/>
    </row>
    <row r="426" spans="1:6" hidden="1" thickBot="1" x14ac:dyDescent="0.3">
      <c r="A426">
        <v>27400</v>
      </c>
      <c r="B426" t="s">
        <v>2693</v>
      </c>
      <c r="C426" t="s">
        <v>2694</v>
      </c>
      <c r="E426">
        <v>0</v>
      </c>
      <c r="F426" s="54"/>
    </row>
    <row r="427" spans="1:6" ht="15.75" thickBot="1" x14ac:dyDescent="0.3">
      <c r="A427">
        <v>27401</v>
      </c>
      <c r="B427" t="s">
        <v>2695</v>
      </c>
      <c r="C427" t="s">
        <v>2696</v>
      </c>
      <c r="D427" s="75">
        <v>18.82</v>
      </c>
      <c r="E427">
        <v>72</v>
      </c>
      <c r="F427" s="54"/>
    </row>
    <row r="428" spans="1:6" ht="15.75" thickBot="1" x14ac:dyDescent="0.3">
      <c r="A428">
        <v>27402</v>
      </c>
      <c r="B428" t="s">
        <v>2697</v>
      </c>
      <c r="C428" t="s">
        <v>2698</v>
      </c>
      <c r="D428" s="75">
        <v>23.91</v>
      </c>
      <c r="E428">
        <v>90</v>
      </c>
      <c r="F428" s="54"/>
    </row>
    <row r="429" spans="1:6" ht="15.75" thickBot="1" x14ac:dyDescent="0.3">
      <c r="A429">
        <v>27403</v>
      </c>
      <c r="B429" t="s">
        <v>2699</v>
      </c>
      <c r="C429" t="s">
        <v>2700</v>
      </c>
      <c r="D429" s="75">
        <v>24.1</v>
      </c>
      <c r="E429">
        <v>1533</v>
      </c>
      <c r="F429" s="54"/>
    </row>
    <row r="430" spans="1:6" ht="15.75" thickBot="1" x14ac:dyDescent="0.3">
      <c r="A430">
        <v>27404</v>
      </c>
      <c r="B430" t="s">
        <v>2701</v>
      </c>
      <c r="C430" t="s">
        <v>2702</v>
      </c>
      <c r="D430" s="75">
        <v>16.809999999999999</v>
      </c>
      <c r="E430">
        <v>414</v>
      </c>
      <c r="F430" s="54"/>
    </row>
    <row r="431" spans="1:6" hidden="1" thickBot="1" x14ac:dyDescent="0.3">
      <c r="A431">
        <v>28714</v>
      </c>
      <c r="B431" t="s">
        <v>2703</v>
      </c>
      <c r="C431" t="s">
        <v>2704</v>
      </c>
      <c r="E431">
        <v>0</v>
      </c>
      <c r="F431" s="54"/>
    </row>
    <row r="432" spans="1:6" hidden="1" thickBot="1" x14ac:dyDescent="0.3">
      <c r="A432">
        <v>28716</v>
      </c>
      <c r="B432" t="s">
        <v>2705</v>
      </c>
      <c r="C432" t="s">
        <v>2706</v>
      </c>
      <c r="E432">
        <v>0</v>
      </c>
      <c r="F432" s="54"/>
    </row>
    <row r="433" spans="1:6" ht="15.75" thickBot="1" x14ac:dyDescent="0.3">
      <c r="A433">
        <v>28715</v>
      </c>
      <c r="B433" t="s">
        <v>2707</v>
      </c>
      <c r="C433" t="s">
        <v>2708</v>
      </c>
      <c r="D433" s="75" t="s">
        <v>3082</v>
      </c>
      <c r="E433">
        <v>81</v>
      </c>
      <c r="F433" s="54"/>
    </row>
    <row r="434" spans="1:6" ht="15.75" thickBot="1" x14ac:dyDescent="0.3">
      <c r="A434">
        <v>28718</v>
      </c>
      <c r="B434" t="s">
        <v>2709</v>
      </c>
      <c r="C434" t="s">
        <v>2710</v>
      </c>
      <c r="D434" s="75" t="s">
        <v>3082</v>
      </c>
      <c r="E434">
        <v>70</v>
      </c>
      <c r="F434" s="54"/>
    </row>
    <row r="435" spans="1:6" ht="15.75" thickBot="1" x14ac:dyDescent="0.3">
      <c r="A435">
        <v>28717</v>
      </c>
      <c r="B435" t="s">
        <v>2711</v>
      </c>
      <c r="C435" t="s">
        <v>2712</v>
      </c>
      <c r="D435" s="75" t="s">
        <v>3082</v>
      </c>
      <c r="E435">
        <v>210</v>
      </c>
      <c r="F435" s="54"/>
    </row>
    <row r="436" spans="1:6" hidden="1" thickBot="1" x14ac:dyDescent="0.3">
      <c r="A436">
        <v>28721</v>
      </c>
      <c r="B436" t="s">
        <v>2713</v>
      </c>
      <c r="C436" t="s">
        <v>2714</v>
      </c>
      <c r="E436">
        <v>0</v>
      </c>
      <c r="F436" s="54"/>
    </row>
    <row r="437" spans="1:6" hidden="1" thickBot="1" x14ac:dyDescent="0.3">
      <c r="A437">
        <v>28719</v>
      </c>
      <c r="B437" t="s">
        <v>2715</v>
      </c>
      <c r="C437" t="s">
        <v>2716</v>
      </c>
      <c r="E437">
        <v>0</v>
      </c>
      <c r="F437" s="54"/>
    </row>
    <row r="438" spans="1:6" hidden="1" thickBot="1" x14ac:dyDescent="0.3">
      <c r="A438">
        <v>28720</v>
      </c>
      <c r="B438" t="s">
        <v>2717</v>
      </c>
      <c r="C438" t="s">
        <v>2718</v>
      </c>
      <c r="E438">
        <v>0</v>
      </c>
      <c r="F438" s="54"/>
    </row>
    <row r="439" spans="1:6" hidden="1" thickBot="1" x14ac:dyDescent="0.3">
      <c r="A439">
        <v>28722</v>
      </c>
      <c r="B439" t="s">
        <v>2719</v>
      </c>
      <c r="C439" t="s">
        <v>2720</v>
      </c>
      <c r="E439">
        <v>0</v>
      </c>
      <c r="F439" s="54"/>
    </row>
    <row r="440" spans="1:6" ht="15.75" thickBot="1" x14ac:dyDescent="0.3">
      <c r="A440">
        <v>28727</v>
      </c>
      <c r="B440" t="s">
        <v>2721</v>
      </c>
      <c r="C440" t="s">
        <v>2722</v>
      </c>
      <c r="D440" s="75" t="s">
        <v>3082</v>
      </c>
      <c r="E440">
        <v>19</v>
      </c>
      <c r="F440" s="54"/>
    </row>
    <row r="441" spans="1:6" ht="15.75" thickBot="1" x14ac:dyDescent="0.3">
      <c r="A441">
        <v>29329</v>
      </c>
      <c r="B441" t="s">
        <v>2723</v>
      </c>
      <c r="C441" t="s">
        <v>2723</v>
      </c>
      <c r="D441" s="75" t="s">
        <v>3082</v>
      </c>
      <c r="E441">
        <v>128</v>
      </c>
      <c r="F441" s="54"/>
    </row>
    <row r="442" spans="1:6" ht="15.75" thickBot="1" x14ac:dyDescent="0.3">
      <c r="A442">
        <v>28724</v>
      </c>
      <c r="B442" t="s">
        <v>2724</v>
      </c>
      <c r="C442" t="s">
        <v>2725</v>
      </c>
      <c r="D442" s="75" t="s">
        <v>3082</v>
      </c>
      <c r="E442">
        <v>35</v>
      </c>
      <c r="F442" s="54"/>
    </row>
    <row r="443" spans="1:6" hidden="1" thickBot="1" x14ac:dyDescent="0.3">
      <c r="A443">
        <v>28726</v>
      </c>
      <c r="B443" t="s">
        <v>2726</v>
      </c>
      <c r="C443" t="s">
        <v>2727</v>
      </c>
      <c r="E443">
        <v>0</v>
      </c>
      <c r="F443" s="54"/>
    </row>
    <row r="444" spans="1:6" hidden="1" thickBot="1" x14ac:dyDescent="0.3">
      <c r="A444">
        <v>28725</v>
      </c>
      <c r="B444" t="s">
        <v>2728</v>
      </c>
      <c r="C444" t="s">
        <v>2729</v>
      </c>
      <c r="E444">
        <v>0</v>
      </c>
      <c r="F444" s="54"/>
    </row>
    <row r="445" spans="1:6" hidden="1" thickBot="1" x14ac:dyDescent="0.3">
      <c r="A445">
        <v>28729</v>
      </c>
      <c r="B445" t="s">
        <v>2730</v>
      </c>
      <c r="C445" t="s">
        <v>2670</v>
      </c>
      <c r="E445">
        <v>0</v>
      </c>
      <c r="F445" s="54"/>
    </row>
    <row r="446" spans="1:6" ht="15.75" thickBot="1" x14ac:dyDescent="0.3">
      <c r="A446">
        <v>28730</v>
      </c>
      <c r="B446" t="s">
        <v>2731</v>
      </c>
      <c r="C446" t="s">
        <v>2732</v>
      </c>
      <c r="D446" s="75" t="s">
        <v>3082</v>
      </c>
      <c r="E446">
        <v>350</v>
      </c>
      <c r="F446" s="54"/>
    </row>
    <row r="447" spans="1:6" hidden="1" thickBot="1" x14ac:dyDescent="0.3">
      <c r="A447">
        <v>28728</v>
      </c>
      <c r="B447" t="s">
        <v>2733</v>
      </c>
      <c r="C447" t="s">
        <v>2734</v>
      </c>
      <c r="E447">
        <v>0</v>
      </c>
      <c r="F447" s="54"/>
    </row>
    <row r="448" spans="1:6" hidden="1" thickBot="1" x14ac:dyDescent="0.3">
      <c r="A448">
        <v>28731</v>
      </c>
      <c r="B448" t="s">
        <v>2735</v>
      </c>
      <c r="C448" t="s">
        <v>2736</v>
      </c>
      <c r="E448">
        <v>0</v>
      </c>
      <c r="F448" s="54"/>
    </row>
    <row r="449" spans="1:6" hidden="1" thickBot="1" x14ac:dyDescent="0.3">
      <c r="A449">
        <v>28732</v>
      </c>
      <c r="B449" t="s">
        <v>2737</v>
      </c>
      <c r="C449" t="s">
        <v>2738</v>
      </c>
      <c r="E449">
        <v>0</v>
      </c>
      <c r="F449" s="54"/>
    </row>
    <row r="450" spans="1:6" hidden="1" thickBot="1" x14ac:dyDescent="0.3">
      <c r="A450">
        <v>28737</v>
      </c>
      <c r="B450" t="s">
        <v>2739</v>
      </c>
      <c r="C450" t="s">
        <v>2740</v>
      </c>
      <c r="E450">
        <v>0</v>
      </c>
      <c r="F450" s="54"/>
    </row>
    <row r="451" spans="1:6" hidden="1" thickBot="1" x14ac:dyDescent="0.3">
      <c r="A451">
        <v>28734</v>
      </c>
      <c r="B451" t="s">
        <v>2741</v>
      </c>
      <c r="C451" t="s">
        <v>2742</v>
      </c>
      <c r="E451">
        <v>0</v>
      </c>
      <c r="F451" s="54"/>
    </row>
    <row r="452" spans="1:6" hidden="1" thickBot="1" x14ac:dyDescent="0.3">
      <c r="A452">
        <v>28735</v>
      </c>
      <c r="B452" t="s">
        <v>2743</v>
      </c>
      <c r="C452" t="s">
        <v>2744</v>
      </c>
      <c r="E452">
        <v>0</v>
      </c>
      <c r="F452" s="54"/>
    </row>
    <row r="453" spans="1:6" hidden="1" thickBot="1" x14ac:dyDescent="0.3">
      <c r="A453">
        <v>28736</v>
      </c>
      <c r="B453" t="s">
        <v>2745</v>
      </c>
      <c r="C453" t="s">
        <v>2746</v>
      </c>
      <c r="E453">
        <v>0</v>
      </c>
      <c r="F453" s="54"/>
    </row>
    <row r="454" spans="1:6" hidden="1" thickBot="1" x14ac:dyDescent="0.3">
      <c r="A454">
        <v>29331</v>
      </c>
      <c r="B454" t="s">
        <v>2747</v>
      </c>
      <c r="C454" t="s">
        <v>2747</v>
      </c>
      <c r="E454">
        <v>0</v>
      </c>
      <c r="F454" s="54"/>
    </row>
    <row r="455" spans="1:6" hidden="1" thickBot="1" x14ac:dyDescent="0.3">
      <c r="A455">
        <v>28733</v>
      </c>
      <c r="B455" t="s">
        <v>2748</v>
      </c>
      <c r="C455" t="s">
        <v>2749</v>
      </c>
      <c r="E455">
        <v>0</v>
      </c>
      <c r="F455" s="54"/>
    </row>
    <row r="456" spans="1:6" hidden="1" thickBot="1" x14ac:dyDescent="0.3">
      <c r="A456">
        <v>28738</v>
      </c>
      <c r="B456" t="s">
        <v>2750</v>
      </c>
      <c r="C456" t="s">
        <v>2751</v>
      </c>
      <c r="E456">
        <v>0</v>
      </c>
      <c r="F456" s="54"/>
    </row>
    <row r="457" spans="1:6" hidden="1" thickBot="1" x14ac:dyDescent="0.3">
      <c r="A457">
        <v>28742</v>
      </c>
      <c r="B457" t="s">
        <v>2752</v>
      </c>
      <c r="C457" t="s">
        <v>2753</v>
      </c>
      <c r="E457">
        <v>0</v>
      </c>
      <c r="F457" s="54"/>
    </row>
    <row r="458" spans="1:6" ht="15.75" thickBot="1" x14ac:dyDescent="0.3">
      <c r="A458">
        <v>29256</v>
      </c>
      <c r="B458" t="s">
        <v>2754</v>
      </c>
      <c r="C458" t="s">
        <v>2755</v>
      </c>
      <c r="D458" s="75" t="s">
        <v>3082</v>
      </c>
      <c r="E458">
        <v>45</v>
      </c>
      <c r="F458" s="54"/>
    </row>
    <row r="459" spans="1:6" hidden="1" thickBot="1" x14ac:dyDescent="0.3">
      <c r="A459">
        <v>28739</v>
      </c>
      <c r="B459" t="s">
        <v>2756</v>
      </c>
      <c r="C459" t="s">
        <v>2757</v>
      </c>
      <c r="E459">
        <v>0</v>
      </c>
      <c r="F459" s="54"/>
    </row>
    <row r="460" spans="1:6" hidden="1" thickBot="1" x14ac:dyDescent="0.3">
      <c r="A460">
        <v>28740</v>
      </c>
      <c r="B460" t="s">
        <v>2758</v>
      </c>
      <c r="C460" t="s">
        <v>2759</v>
      </c>
      <c r="E460">
        <v>0</v>
      </c>
      <c r="F460" s="54"/>
    </row>
    <row r="461" spans="1:6" hidden="1" thickBot="1" x14ac:dyDescent="0.3">
      <c r="A461">
        <v>27405</v>
      </c>
      <c r="B461" t="s">
        <v>2760</v>
      </c>
      <c r="C461" t="s">
        <v>2761</v>
      </c>
      <c r="E461">
        <v>0</v>
      </c>
      <c r="F461" s="54"/>
    </row>
    <row r="462" spans="1:6" hidden="1" thickBot="1" x14ac:dyDescent="0.3">
      <c r="A462">
        <v>28741</v>
      </c>
      <c r="B462" t="s">
        <v>2762</v>
      </c>
      <c r="C462" t="s">
        <v>2763</v>
      </c>
      <c r="E462">
        <v>0</v>
      </c>
      <c r="F462" s="54"/>
    </row>
    <row r="463" spans="1:6" hidden="1" thickBot="1" x14ac:dyDescent="0.3">
      <c r="A463">
        <v>27408</v>
      </c>
      <c r="B463" t="s">
        <v>2764</v>
      </c>
      <c r="C463" t="s">
        <v>2765</v>
      </c>
      <c r="E463">
        <v>0</v>
      </c>
      <c r="F463" s="54"/>
    </row>
    <row r="464" spans="1:6" ht="15.75" thickBot="1" x14ac:dyDescent="0.3">
      <c r="A464">
        <v>27409</v>
      </c>
      <c r="B464" t="s">
        <v>2766</v>
      </c>
      <c r="C464" t="s">
        <v>2767</v>
      </c>
      <c r="D464" s="75">
        <v>29.74</v>
      </c>
      <c r="E464">
        <v>10</v>
      </c>
      <c r="F464" s="54"/>
    </row>
    <row r="465" spans="1:6" ht="15.75" thickBot="1" x14ac:dyDescent="0.3">
      <c r="A465">
        <v>27410</v>
      </c>
      <c r="B465" t="s">
        <v>2768</v>
      </c>
      <c r="C465" t="s">
        <v>2769</v>
      </c>
      <c r="D465" s="75">
        <v>31.23</v>
      </c>
      <c r="E465">
        <v>5</v>
      </c>
      <c r="F465" s="54"/>
    </row>
    <row r="466" spans="1:6" ht="15.75" thickBot="1" x14ac:dyDescent="0.3">
      <c r="A466">
        <v>27411</v>
      </c>
      <c r="B466" t="s">
        <v>2770</v>
      </c>
      <c r="C466" t="s">
        <v>2771</v>
      </c>
      <c r="D466" s="75">
        <v>31.23</v>
      </c>
      <c r="E466">
        <v>497</v>
      </c>
      <c r="F466" s="54"/>
    </row>
    <row r="467" spans="1:6" hidden="1" thickBot="1" x14ac:dyDescent="0.3">
      <c r="A467">
        <v>27412</v>
      </c>
      <c r="B467" t="s">
        <v>2772</v>
      </c>
      <c r="C467" t="s">
        <v>2773</v>
      </c>
      <c r="E467">
        <v>0</v>
      </c>
      <c r="F467" s="54"/>
    </row>
    <row r="468" spans="1:6" hidden="1" thickBot="1" x14ac:dyDescent="0.3">
      <c r="A468">
        <v>27414</v>
      </c>
      <c r="B468" t="s">
        <v>2774</v>
      </c>
      <c r="C468" t="s">
        <v>2775</v>
      </c>
      <c r="E468">
        <v>0</v>
      </c>
      <c r="F468" s="54"/>
    </row>
    <row r="469" spans="1:6" hidden="1" thickBot="1" x14ac:dyDescent="0.3">
      <c r="A469">
        <v>27413</v>
      </c>
      <c r="B469" t="s">
        <v>2776</v>
      </c>
      <c r="C469" t="s">
        <v>2777</v>
      </c>
      <c r="E469">
        <v>0</v>
      </c>
      <c r="F469" s="54"/>
    </row>
    <row r="470" spans="1:6" ht="15.75" thickBot="1" x14ac:dyDescent="0.3">
      <c r="A470">
        <v>27416</v>
      </c>
      <c r="B470" t="s">
        <v>2778</v>
      </c>
      <c r="C470" t="s">
        <v>2779</v>
      </c>
      <c r="D470" s="75">
        <v>30.18</v>
      </c>
      <c r="E470">
        <v>8</v>
      </c>
      <c r="F470" s="54"/>
    </row>
    <row r="471" spans="1:6" ht="15.75" thickBot="1" x14ac:dyDescent="0.3">
      <c r="A471">
        <v>27415</v>
      </c>
      <c r="B471" t="s">
        <v>2780</v>
      </c>
      <c r="C471" t="s">
        <v>2781</v>
      </c>
      <c r="D471" s="75">
        <v>35.04</v>
      </c>
      <c r="E471">
        <v>705</v>
      </c>
      <c r="F471" s="54"/>
    </row>
    <row r="472" spans="1:6" hidden="1" thickBot="1" x14ac:dyDescent="0.3">
      <c r="A472">
        <v>27417</v>
      </c>
      <c r="B472" t="s">
        <v>2782</v>
      </c>
      <c r="C472" t="s">
        <v>2783</v>
      </c>
      <c r="E472">
        <v>0</v>
      </c>
      <c r="F472" s="54"/>
    </row>
    <row r="473" spans="1:6" hidden="1" thickBot="1" x14ac:dyDescent="0.3">
      <c r="A473">
        <v>28743</v>
      </c>
      <c r="B473" t="s">
        <v>2784</v>
      </c>
      <c r="C473" t="s">
        <v>2785</v>
      </c>
      <c r="E473">
        <v>0</v>
      </c>
      <c r="F473" s="54"/>
    </row>
    <row r="474" spans="1:6" hidden="1" thickBot="1" x14ac:dyDescent="0.3">
      <c r="A474">
        <v>27418</v>
      </c>
      <c r="B474" t="s">
        <v>2786</v>
      </c>
      <c r="C474" t="s">
        <v>2787</v>
      </c>
      <c r="E474">
        <v>0</v>
      </c>
      <c r="F474" s="54"/>
    </row>
    <row r="475" spans="1:6" hidden="1" thickBot="1" x14ac:dyDescent="0.3">
      <c r="A475">
        <v>27420</v>
      </c>
      <c r="B475" t="s">
        <v>2788</v>
      </c>
      <c r="C475" t="s">
        <v>2789</v>
      </c>
      <c r="E475">
        <v>0</v>
      </c>
      <c r="F475" s="54"/>
    </row>
    <row r="476" spans="1:6" ht="15.75" thickBot="1" x14ac:dyDescent="0.3">
      <c r="A476">
        <v>27419</v>
      </c>
      <c r="B476" t="s">
        <v>2790</v>
      </c>
      <c r="C476" t="s">
        <v>2791</v>
      </c>
      <c r="D476" s="75">
        <v>33.33</v>
      </c>
      <c r="E476">
        <v>514</v>
      </c>
      <c r="F476" s="54"/>
    </row>
    <row r="477" spans="1:6" hidden="1" thickBot="1" x14ac:dyDescent="0.3">
      <c r="A477">
        <v>27421</v>
      </c>
      <c r="B477" t="s">
        <v>2792</v>
      </c>
      <c r="C477" t="s">
        <v>2793</v>
      </c>
      <c r="E477">
        <v>0</v>
      </c>
      <c r="F477" s="54"/>
    </row>
    <row r="478" spans="1:6" ht="15.75" thickBot="1" x14ac:dyDescent="0.3">
      <c r="A478">
        <v>27422</v>
      </c>
      <c r="B478" t="s">
        <v>2794</v>
      </c>
      <c r="C478" t="s">
        <v>2795</v>
      </c>
      <c r="D478" s="75">
        <v>46.99</v>
      </c>
      <c r="E478">
        <v>1414</v>
      </c>
      <c r="F478" s="54"/>
    </row>
    <row r="479" spans="1:6" hidden="1" thickBot="1" x14ac:dyDescent="0.3">
      <c r="A479">
        <v>27423</v>
      </c>
      <c r="B479" t="s">
        <v>2796</v>
      </c>
      <c r="C479" t="s">
        <v>2797</v>
      </c>
      <c r="E479">
        <v>0</v>
      </c>
      <c r="F479" s="54"/>
    </row>
    <row r="480" spans="1:6" hidden="1" thickBot="1" x14ac:dyDescent="0.3">
      <c r="A480">
        <v>27424</v>
      </c>
      <c r="B480" t="s">
        <v>2798</v>
      </c>
      <c r="C480" t="s">
        <v>2799</v>
      </c>
      <c r="E480">
        <v>0</v>
      </c>
      <c r="F480" s="54"/>
    </row>
    <row r="481" spans="1:6" hidden="1" thickBot="1" x14ac:dyDescent="0.3">
      <c r="A481">
        <v>28745</v>
      </c>
      <c r="B481" t="s">
        <v>2800</v>
      </c>
      <c r="C481" t="s">
        <v>2801</v>
      </c>
      <c r="E481">
        <v>0</v>
      </c>
      <c r="F481" s="54"/>
    </row>
    <row r="482" spans="1:6" ht="15.75" thickBot="1" x14ac:dyDescent="0.3">
      <c r="A482">
        <v>27426</v>
      </c>
      <c r="B482" t="s">
        <v>2802</v>
      </c>
      <c r="C482" t="s">
        <v>2803</v>
      </c>
      <c r="D482" s="75">
        <v>32.020000000000003</v>
      </c>
      <c r="E482">
        <v>538</v>
      </c>
      <c r="F482" s="54"/>
    </row>
    <row r="483" spans="1:6" ht="15.75" thickBot="1" x14ac:dyDescent="0.3">
      <c r="A483">
        <v>27425</v>
      </c>
      <c r="B483" t="s">
        <v>2804</v>
      </c>
      <c r="C483" t="s">
        <v>2805</v>
      </c>
      <c r="D483" s="75">
        <v>42.55</v>
      </c>
      <c r="E483">
        <v>779</v>
      </c>
      <c r="F483" s="54"/>
    </row>
    <row r="484" spans="1:6" ht="15.75" thickBot="1" x14ac:dyDescent="0.3">
      <c r="A484">
        <v>27427</v>
      </c>
      <c r="B484" t="s">
        <v>2806</v>
      </c>
      <c r="C484" t="s">
        <v>2807</v>
      </c>
      <c r="D484" s="75">
        <v>35.369999999999997</v>
      </c>
      <c r="E484">
        <v>2</v>
      </c>
      <c r="F484" s="54"/>
    </row>
    <row r="485" spans="1:6" ht="15.75" thickBot="1" x14ac:dyDescent="0.3">
      <c r="A485">
        <v>27429</v>
      </c>
      <c r="B485" t="s">
        <v>2808</v>
      </c>
      <c r="C485" t="s">
        <v>2809</v>
      </c>
      <c r="D485" s="75">
        <v>36.32</v>
      </c>
      <c r="E485">
        <v>106</v>
      </c>
      <c r="F485" s="54"/>
    </row>
    <row r="486" spans="1:6" hidden="1" thickBot="1" x14ac:dyDescent="0.3">
      <c r="A486">
        <v>27435</v>
      </c>
      <c r="B486" t="s">
        <v>2810</v>
      </c>
      <c r="C486" t="s">
        <v>2811</v>
      </c>
      <c r="E486">
        <v>0</v>
      </c>
      <c r="F486" s="54"/>
    </row>
    <row r="487" spans="1:6" hidden="1" thickBot="1" x14ac:dyDescent="0.3">
      <c r="A487">
        <v>27436</v>
      </c>
      <c r="B487" t="s">
        <v>2812</v>
      </c>
      <c r="C487" t="s">
        <v>2813</v>
      </c>
      <c r="E487">
        <v>0</v>
      </c>
      <c r="F487" s="54"/>
    </row>
    <row r="488" spans="1:6" hidden="1" thickBot="1" x14ac:dyDescent="0.3">
      <c r="A488">
        <v>27438</v>
      </c>
      <c r="B488" t="s">
        <v>2814</v>
      </c>
      <c r="C488" t="s">
        <v>2815</v>
      </c>
      <c r="E488">
        <v>0</v>
      </c>
      <c r="F488" s="54"/>
    </row>
    <row r="489" spans="1:6" hidden="1" thickBot="1" x14ac:dyDescent="0.3">
      <c r="A489">
        <v>28744</v>
      </c>
      <c r="B489" t="s">
        <v>2816</v>
      </c>
      <c r="C489" t="s">
        <v>2817</v>
      </c>
      <c r="E489">
        <v>0</v>
      </c>
      <c r="F489" s="54"/>
    </row>
    <row r="490" spans="1:6" hidden="1" thickBot="1" x14ac:dyDescent="0.3">
      <c r="A490">
        <v>28746</v>
      </c>
      <c r="B490" t="s">
        <v>2818</v>
      </c>
      <c r="C490" t="s">
        <v>2819</v>
      </c>
      <c r="E490">
        <v>0</v>
      </c>
      <c r="F490" s="54"/>
    </row>
    <row r="491" spans="1:6" hidden="1" thickBot="1" x14ac:dyDescent="0.3">
      <c r="A491">
        <v>27437</v>
      </c>
      <c r="B491" t="s">
        <v>2820</v>
      </c>
      <c r="C491" t="s">
        <v>2821</v>
      </c>
      <c r="E491">
        <v>0</v>
      </c>
      <c r="F491" s="54"/>
    </row>
    <row r="492" spans="1:6" hidden="1" thickBot="1" x14ac:dyDescent="0.3">
      <c r="A492">
        <v>27440</v>
      </c>
      <c r="B492" t="s">
        <v>2822</v>
      </c>
      <c r="C492" t="s">
        <v>2823</v>
      </c>
      <c r="E492">
        <v>0</v>
      </c>
      <c r="F492" s="54"/>
    </row>
    <row r="493" spans="1:6" hidden="1" thickBot="1" x14ac:dyDescent="0.3">
      <c r="A493">
        <v>27439</v>
      </c>
      <c r="B493" t="s">
        <v>2824</v>
      </c>
      <c r="C493" t="s">
        <v>2825</v>
      </c>
      <c r="E493">
        <v>0</v>
      </c>
      <c r="F493" s="54"/>
    </row>
    <row r="494" spans="1:6" hidden="1" thickBot="1" x14ac:dyDescent="0.3">
      <c r="A494">
        <v>28751</v>
      </c>
      <c r="B494" t="s">
        <v>2826</v>
      </c>
      <c r="C494" t="s">
        <v>2827</v>
      </c>
      <c r="E494">
        <v>0</v>
      </c>
      <c r="F494" s="54"/>
    </row>
    <row r="495" spans="1:6" hidden="1" thickBot="1" x14ac:dyDescent="0.3">
      <c r="A495">
        <v>27447</v>
      </c>
      <c r="B495" t="s">
        <v>2828</v>
      </c>
      <c r="C495" t="s">
        <v>2829</v>
      </c>
      <c r="E495">
        <v>0</v>
      </c>
      <c r="F495" s="54"/>
    </row>
    <row r="496" spans="1:6" hidden="1" thickBot="1" x14ac:dyDescent="0.3">
      <c r="A496">
        <v>27448</v>
      </c>
      <c r="B496" t="s">
        <v>2830</v>
      </c>
      <c r="C496" t="s">
        <v>2831</v>
      </c>
      <c r="E496">
        <v>0</v>
      </c>
      <c r="F496" s="54"/>
    </row>
    <row r="497" spans="1:6" ht="15.75" thickBot="1" x14ac:dyDescent="0.3">
      <c r="A497">
        <v>27449</v>
      </c>
      <c r="B497" t="s">
        <v>2832</v>
      </c>
      <c r="C497" t="s">
        <v>2833</v>
      </c>
      <c r="D497" s="75">
        <v>76.83</v>
      </c>
      <c r="E497">
        <v>260</v>
      </c>
      <c r="F497" s="54"/>
    </row>
    <row r="498" spans="1:6" ht="15.75" thickBot="1" x14ac:dyDescent="0.3">
      <c r="A498">
        <v>27450</v>
      </c>
      <c r="B498" t="s">
        <v>2834</v>
      </c>
      <c r="C498" t="s">
        <v>2835</v>
      </c>
      <c r="D498" s="75" t="s">
        <v>3082</v>
      </c>
      <c r="E498">
        <v>150</v>
      </c>
      <c r="F498" s="54"/>
    </row>
    <row r="499" spans="1:6" ht="15.75" thickBot="1" x14ac:dyDescent="0.3">
      <c r="A499">
        <v>27451</v>
      </c>
      <c r="B499" t="s">
        <v>2836</v>
      </c>
      <c r="C499" t="s">
        <v>2837</v>
      </c>
      <c r="D499" s="75">
        <v>28.99</v>
      </c>
      <c r="E499">
        <v>524</v>
      </c>
      <c r="F499" s="54"/>
    </row>
    <row r="500" spans="1:6" hidden="1" thickBot="1" x14ac:dyDescent="0.3">
      <c r="A500">
        <v>28748</v>
      </c>
      <c r="B500" t="s">
        <v>2838</v>
      </c>
      <c r="C500" t="s">
        <v>2839</v>
      </c>
      <c r="E500">
        <v>0</v>
      </c>
      <c r="F500" s="54"/>
    </row>
    <row r="501" spans="1:6" ht="15.75" thickBot="1" x14ac:dyDescent="0.3">
      <c r="A501">
        <v>27452</v>
      </c>
      <c r="B501" t="s">
        <v>2840</v>
      </c>
      <c r="C501" t="s">
        <v>2841</v>
      </c>
      <c r="D501" s="75">
        <v>46.98</v>
      </c>
      <c r="E501">
        <v>144</v>
      </c>
      <c r="F501" s="54"/>
    </row>
    <row r="502" spans="1:6" ht="15.75" thickBot="1" x14ac:dyDescent="0.3">
      <c r="A502">
        <v>27453</v>
      </c>
      <c r="B502" t="s">
        <v>2842</v>
      </c>
      <c r="C502" t="s">
        <v>2843</v>
      </c>
      <c r="D502" s="75">
        <v>55.61</v>
      </c>
      <c r="E502">
        <v>165</v>
      </c>
      <c r="F502" s="54"/>
    </row>
    <row r="503" spans="1:6" ht="15.75" thickBot="1" x14ac:dyDescent="0.3">
      <c r="A503">
        <v>27454</v>
      </c>
      <c r="B503" t="s">
        <v>2844</v>
      </c>
      <c r="C503" t="s">
        <v>2845</v>
      </c>
      <c r="D503" s="75">
        <v>49.06</v>
      </c>
      <c r="E503">
        <v>411</v>
      </c>
      <c r="F503" s="54"/>
    </row>
    <row r="504" spans="1:6" ht="15.75" thickBot="1" x14ac:dyDescent="0.3">
      <c r="A504">
        <v>27455</v>
      </c>
      <c r="B504" t="s">
        <v>2846</v>
      </c>
      <c r="C504" t="s">
        <v>2847</v>
      </c>
      <c r="D504" s="75">
        <v>44.9</v>
      </c>
      <c r="E504">
        <v>3</v>
      </c>
      <c r="F504" s="54"/>
    </row>
    <row r="505" spans="1:6" ht="15.75" thickBot="1" x14ac:dyDescent="0.3">
      <c r="A505">
        <v>27456</v>
      </c>
      <c r="B505" t="s">
        <v>2848</v>
      </c>
      <c r="C505" t="s">
        <v>2849</v>
      </c>
      <c r="D505" s="75">
        <v>46.98</v>
      </c>
      <c r="E505">
        <v>1459</v>
      </c>
      <c r="F505" s="54"/>
    </row>
    <row r="506" spans="1:6" hidden="1" thickBot="1" x14ac:dyDescent="0.3">
      <c r="A506">
        <v>27457</v>
      </c>
      <c r="B506" t="s">
        <v>2850</v>
      </c>
      <c r="C506" t="s">
        <v>2851</v>
      </c>
      <c r="E506">
        <v>0</v>
      </c>
      <c r="F506" s="54"/>
    </row>
    <row r="507" spans="1:6" ht="15.75" thickBot="1" x14ac:dyDescent="0.3">
      <c r="A507">
        <v>27460</v>
      </c>
      <c r="B507" t="s">
        <v>2852</v>
      </c>
      <c r="C507" t="s">
        <v>2853</v>
      </c>
      <c r="D507" s="75">
        <v>52.9</v>
      </c>
      <c r="E507">
        <v>532</v>
      </c>
      <c r="F507" s="54"/>
    </row>
    <row r="508" spans="1:6" ht="15.75" thickBot="1" x14ac:dyDescent="0.3">
      <c r="A508">
        <v>27459</v>
      </c>
      <c r="B508" t="s">
        <v>2854</v>
      </c>
      <c r="C508" t="s">
        <v>2855</v>
      </c>
      <c r="D508" s="75">
        <v>55.61</v>
      </c>
      <c r="E508">
        <v>3268</v>
      </c>
      <c r="F508" s="54"/>
    </row>
    <row r="509" spans="1:6" hidden="1" thickBot="1" x14ac:dyDescent="0.3">
      <c r="A509">
        <v>27461</v>
      </c>
      <c r="B509" t="s">
        <v>2856</v>
      </c>
      <c r="C509" t="s">
        <v>2857</v>
      </c>
      <c r="E509">
        <v>0</v>
      </c>
      <c r="F509" s="54"/>
    </row>
    <row r="510" spans="1:6" ht="15.75" thickBot="1" x14ac:dyDescent="0.3">
      <c r="A510">
        <v>27458</v>
      </c>
      <c r="B510" t="s">
        <v>2858</v>
      </c>
      <c r="C510" t="s">
        <v>2859</v>
      </c>
      <c r="D510" s="75">
        <v>54.75</v>
      </c>
      <c r="E510">
        <v>544</v>
      </c>
      <c r="F510" s="54"/>
    </row>
    <row r="511" spans="1:6" hidden="1" thickBot="1" x14ac:dyDescent="0.3">
      <c r="A511">
        <v>27462</v>
      </c>
      <c r="B511" t="s">
        <v>2860</v>
      </c>
      <c r="C511" t="s">
        <v>2861</v>
      </c>
      <c r="E511">
        <v>0</v>
      </c>
      <c r="F511" s="54"/>
    </row>
    <row r="512" spans="1:6" hidden="1" thickBot="1" x14ac:dyDescent="0.3">
      <c r="A512">
        <v>27464</v>
      </c>
      <c r="B512" t="s">
        <v>2862</v>
      </c>
      <c r="C512" t="s">
        <v>2863</v>
      </c>
      <c r="E512">
        <v>0</v>
      </c>
      <c r="F512" s="54"/>
    </row>
    <row r="513" spans="1:6" hidden="1" thickBot="1" x14ac:dyDescent="0.3">
      <c r="A513">
        <v>28747</v>
      </c>
      <c r="B513" t="s">
        <v>2864</v>
      </c>
      <c r="C513" t="s">
        <v>2490</v>
      </c>
      <c r="E513">
        <v>0</v>
      </c>
      <c r="F513" s="54"/>
    </row>
    <row r="514" spans="1:6" ht="15.75" thickBot="1" x14ac:dyDescent="0.3">
      <c r="A514">
        <v>27463</v>
      </c>
      <c r="B514" t="s">
        <v>2865</v>
      </c>
      <c r="C514" t="s">
        <v>2866</v>
      </c>
      <c r="D514" s="75">
        <v>52.08</v>
      </c>
      <c r="E514">
        <v>5</v>
      </c>
      <c r="F514" s="54"/>
    </row>
    <row r="515" spans="1:6" ht="15.75" thickBot="1" x14ac:dyDescent="0.3">
      <c r="A515">
        <v>27465</v>
      </c>
      <c r="B515" t="s">
        <v>2867</v>
      </c>
      <c r="C515" t="s">
        <v>2868</v>
      </c>
      <c r="D515" s="75">
        <v>62.6</v>
      </c>
      <c r="E515">
        <v>9</v>
      </c>
      <c r="F515" s="54"/>
    </row>
    <row r="516" spans="1:6" ht="15.75" thickBot="1" x14ac:dyDescent="0.3">
      <c r="A516">
        <v>27467</v>
      </c>
      <c r="B516" t="s">
        <v>2869</v>
      </c>
      <c r="C516" t="s">
        <v>2870</v>
      </c>
      <c r="D516" s="75">
        <v>62.6</v>
      </c>
      <c r="E516">
        <v>37</v>
      </c>
      <c r="F516" s="54"/>
    </row>
    <row r="517" spans="1:6" hidden="1" thickBot="1" x14ac:dyDescent="0.3">
      <c r="A517">
        <v>28755</v>
      </c>
      <c r="B517" t="s">
        <v>2871</v>
      </c>
      <c r="C517" t="s">
        <v>2872</v>
      </c>
      <c r="E517">
        <v>0</v>
      </c>
      <c r="F517" s="54"/>
    </row>
    <row r="518" spans="1:6" hidden="1" thickBot="1" x14ac:dyDescent="0.3">
      <c r="A518">
        <v>28756</v>
      </c>
      <c r="B518" t="s">
        <v>2873</v>
      </c>
      <c r="C518" t="s">
        <v>2874</v>
      </c>
      <c r="E518">
        <v>0</v>
      </c>
      <c r="F518" s="54"/>
    </row>
    <row r="519" spans="1:6" hidden="1" thickBot="1" x14ac:dyDescent="0.3">
      <c r="A519">
        <v>27471</v>
      </c>
      <c r="B519" t="s">
        <v>2875</v>
      </c>
      <c r="C519" t="s">
        <v>2876</v>
      </c>
      <c r="E519">
        <v>0</v>
      </c>
      <c r="F519" s="54"/>
    </row>
    <row r="520" spans="1:6" hidden="1" thickBot="1" x14ac:dyDescent="0.3">
      <c r="A520">
        <v>27469</v>
      </c>
      <c r="B520" t="s">
        <v>2877</v>
      </c>
      <c r="C520" t="s">
        <v>2878</v>
      </c>
      <c r="E520">
        <v>0</v>
      </c>
      <c r="F520" s="54"/>
    </row>
    <row r="521" spans="1:6" hidden="1" thickBot="1" x14ac:dyDescent="0.3">
      <c r="A521">
        <v>28750</v>
      </c>
      <c r="B521" t="s">
        <v>2879</v>
      </c>
      <c r="C521" t="s">
        <v>2880</v>
      </c>
      <c r="E521">
        <v>0</v>
      </c>
      <c r="F521" s="54"/>
    </row>
    <row r="522" spans="1:6" hidden="1" thickBot="1" x14ac:dyDescent="0.3">
      <c r="A522">
        <v>28749</v>
      </c>
      <c r="B522" t="s">
        <v>2881</v>
      </c>
      <c r="C522" t="s">
        <v>2882</v>
      </c>
      <c r="E522">
        <v>0</v>
      </c>
      <c r="F522" s="54"/>
    </row>
    <row r="523" spans="1:6" hidden="1" thickBot="1" x14ac:dyDescent="0.3">
      <c r="A523">
        <v>27470</v>
      </c>
      <c r="B523" t="s">
        <v>2883</v>
      </c>
      <c r="C523" t="s">
        <v>2884</v>
      </c>
      <c r="E523">
        <v>0</v>
      </c>
      <c r="F523" s="54"/>
    </row>
    <row r="524" spans="1:6" hidden="1" thickBot="1" x14ac:dyDescent="0.3">
      <c r="A524">
        <v>28752</v>
      </c>
      <c r="B524" t="s">
        <v>2885</v>
      </c>
      <c r="C524" t="s">
        <v>2886</v>
      </c>
      <c r="E524">
        <v>0</v>
      </c>
      <c r="F524" s="54"/>
    </row>
    <row r="525" spans="1:6" hidden="1" thickBot="1" x14ac:dyDescent="0.3">
      <c r="A525">
        <v>28753</v>
      </c>
      <c r="B525" t="s">
        <v>2887</v>
      </c>
      <c r="C525" t="s">
        <v>2888</v>
      </c>
      <c r="E525">
        <v>0</v>
      </c>
      <c r="F525" s="54"/>
    </row>
    <row r="526" spans="1:6" hidden="1" thickBot="1" x14ac:dyDescent="0.3">
      <c r="A526">
        <v>28766</v>
      </c>
      <c r="B526" t="s">
        <v>2889</v>
      </c>
      <c r="C526" t="s">
        <v>2890</v>
      </c>
      <c r="E526">
        <v>0</v>
      </c>
      <c r="F526" s="54"/>
    </row>
    <row r="527" spans="1:6" hidden="1" thickBot="1" x14ac:dyDescent="0.3">
      <c r="A527">
        <v>28763</v>
      </c>
      <c r="B527" t="s">
        <v>2891</v>
      </c>
      <c r="C527" t="s">
        <v>2892</v>
      </c>
      <c r="E527">
        <v>0</v>
      </c>
      <c r="F527" s="54"/>
    </row>
    <row r="528" spans="1:6" hidden="1" thickBot="1" x14ac:dyDescent="0.3">
      <c r="A528">
        <v>28768</v>
      </c>
      <c r="B528" t="s">
        <v>2893</v>
      </c>
      <c r="C528" t="s">
        <v>2490</v>
      </c>
      <c r="E528">
        <v>0</v>
      </c>
      <c r="F528" s="54"/>
    </row>
    <row r="529" spans="1:6" ht="15.75" thickBot="1" x14ac:dyDescent="0.3">
      <c r="A529">
        <v>27476</v>
      </c>
      <c r="B529" t="s">
        <v>2894</v>
      </c>
      <c r="C529" t="s">
        <v>2661</v>
      </c>
      <c r="D529" s="75">
        <v>99.72</v>
      </c>
      <c r="E529">
        <v>214</v>
      </c>
      <c r="F529" s="54"/>
    </row>
    <row r="530" spans="1:6" ht="15.75" thickBot="1" x14ac:dyDescent="0.3">
      <c r="A530">
        <v>27479</v>
      </c>
      <c r="B530" t="s">
        <v>2895</v>
      </c>
      <c r="C530" t="s">
        <v>2896</v>
      </c>
      <c r="D530" s="75">
        <v>83.3</v>
      </c>
      <c r="E530">
        <v>180</v>
      </c>
      <c r="F530" s="54"/>
    </row>
    <row r="531" spans="1:6" ht="15.75" thickBot="1" x14ac:dyDescent="0.3">
      <c r="A531">
        <v>27477</v>
      </c>
      <c r="B531" t="s">
        <v>2897</v>
      </c>
      <c r="C531" t="s">
        <v>2898</v>
      </c>
      <c r="D531" s="75">
        <v>105.24</v>
      </c>
      <c r="E531">
        <v>100</v>
      </c>
      <c r="F531" s="54"/>
    </row>
    <row r="532" spans="1:6" hidden="1" thickBot="1" x14ac:dyDescent="0.3">
      <c r="A532">
        <v>27480</v>
      </c>
      <c r="B532" t="s">
        <v>2899</v>
      </c>
      <c r="C532" t="s">
        <v>2900</v>
      </c>
      <c r="E532">
        <v>0</v>
      </c>
      <c r="F532" s="54"/>
    </row>
    <row r="533" spans="1:6" hidden="1" thickBot="1" x14ac:dyDescent="0.3">
      <c r="A533">
        <v>27481</v>
      </c>
      <c r="B533" t="s">
        <v>2901</v>
      </c>
      <c r="C533" t="s">
        <v>2902</v>
      </c>
      <c r="E533">
        <v>0</v>
      </c>
      <c r="F533" s="54"/>
    </row>
    <row r="534" spans="1:6" hidden="1" thickBot="1" x14ac:dyDescent="0.3">
      <c r="A534">
        <v>27482</v>
      </c>
      <c r="B534" t="s">
        <v>2903</v>
      </c>
      <c r="C534" t="s">
        <v>2904</v>
      </c>
      <c r="E534">
        <v>0</v>
      </c>
      <c r="F534" s="54"/>
    </row>
    <row r="535" spans="1:6" hidden="1" thickBot="1" x14ac:dyDescent="0.3">
      <c r="A535">
        <v>27483</v>
      </c>
      <c r="B535" t="s">
        <v>2905</v>
      </c>
      <c r="C535" t="s">
        <v>2906</v>
      </c>
      <c r="E535">
        <v>0</v>
      </c>
      <c r="F535" s="54"/>
    </row>
    <row r="536" spans="1:6" hidden="1" thickBot="1" x14ac:dyDescent="0.3">
      <c r="A536">
        <v>27484</v>
      </c>
      <c r="B536" t="s">
        <v>2907</v>
      </c>
      <c r="C536" t="s">
        <v>2908</v>
      </c>
      <c r="E536">
        <v>0</v>
      </c>
      <c r="F536" s="54"/>
    </row>
    <row r="537" spans="1:6" hidden="1" thickBot="1" x14ac:dyDescent="0.3">
      <c r="A537">
        <v>27485</v>
      </c>
      <c r="B537" t="s">
        <v>2909</v>
      </c>
      <c r="C537" t="s">
        <v>2910</v>
      </c>
      <c r="E537">
        <v>0</v>
      </c>
      <c r="F537" s="54"/>
    </row>
    <row r="538" spans="1:6" hidden="1" thickBot="1" x14ac:dyDescent="0.3">
      <c r="A538">
        <v>27486</v>
      </c>
      <c r="B538" t="s">
        <v>2911</v>
      </c>
      <c r="C538" t="s">
        <v>2912</v>
      </c>
      <c r="E538">
        <v>0</v>
      </c>
      <c r="F538" s="54"/>
    </row>
    <row r="539" spans="1:6" hidden="1" thickBot="1" x14ac:dyDescent="0.3">
      <c r="A539">
        <v>27487</v>
      </c>
      <c r="B539" t="s">
        <v>2913</v>
      </c>
      <c r="C539" t="s">
        <v>2914</v>
      </c>
      <c r="E539">
        <v>0</v>
      </c>
      <c r="F539" s="54"/>
    </row>
    <row r="540" spans="1:6" hidden="1" thickBot="1" x14ac:dyDescent="0.3">
      <c r="A540">
        <v>27489</v>
      </c>
      <c r="B540" t="s">
        <v>2915</v>
      </c>
      <c r="C540" t="s">
        <v>2916</v>
      </c>
      <c r="E540">
        <v>0</v>
      </c>
      <c r="F540" s="54"/>
    </row>
    <row r="541" spans="1:6" hidden="1" thickBot="1" x14ac:dyDescent="0.3">
      <c r="A541">
        <v>27488</v>
      </c>
      <c r="B541" t="s">
        <v>2917</v>
      </c>
      <c r="C541" t="s">
        <v>2918</v>
      </c>
      <c r="E541">
        <v>0</v>
      </c>
      <c r="F541" s="54"/>
    </row>
    <row r="542" spans="1:6" hidden="1" thickBot="1" x14ac:dyDescent="0.3">
      <c r="A542">
        <v>27491</v>
      </c>
      <c r="B542" t="s">
        <v>2919</v>
      </c>
      <c r="C542" t="s">
        <v>2920</v>
      </c>
      <c r="E542">
        <v>0</v>
      </c>
      <c r="F542" s="54"/>
    </row>
    <row r="543" spans="1:6" hidden="1" thickBot="1" x14ac:dyDescent="0.3">
      <c r="A543">
        <v>27490</v>
      </c>
      <c r="B543" t="s">
        <v>2921</v>
      </c>
      <c r="C543" t="s">
        <v>2922</v>
      </c>
      <c r="E543">
        <v>0</v>
      </c>
      <c r="F543" s="54"/>
    </row>
    <row r="544" spans="1:6" hidden="1" thickBot="1" x14ac:dyDescent="0.3">
      <c r="A544">
        <v>27493</v>
      </c>
      <c r="B544" t="s">
        <v>2923</v>
      </c>
      <c r="C544" t="s">
        <v>2924</v>
      </c>
      <c r="E544">
        <v>0</v>
      </c>
      <c r="F544" s="54"/>
    </row>
    <row r="545" spans="1:6" hidden="1" thickBot="1" x14ac:dyDescent="0.3">
      <c r="A545">
        <v>27492</v>
      </c>
      <c r="B545" t="s">
        <v>2925</v>
      </c>
      <c r="C545" t="s">
        <v>2926</v>
      </c>
      <c r="E545">
        <v>0</v>
      </c>
      <c r="F545" s="54"/>
    </row>
    <row r="546" spans="1:6" hidden="1" thickBot="1" x14ac:dyDescent="0.3">
      <c r="A546">
        <v>28770</v>
      </c>
      <c r="B546" t="s">
        <v>2927</v>
      </c>
      <c r="C546" t="s">
        <v>2927</v>
      </c>
      <c r="E546">
        <v>0</v>
      </c>
      <c r="F546" s="54"/>
    </row>
    <row r="547" spans="1:6" hidden="1" thickBot="1" x14ac:dyDescent="0.3">
      <c r="A547">
        <v>27496</v>
      </c>
      <c r="B547" t="s">
        <v>2928</v>
      </c>
      <c r="C547" t="s">
        <v>2929</v>
      </c>
      <c r="E547">
        <v>0</v>
      </c>
      <c r="F547" s="54"/>
    </row>
    <row r="548" spans="1:6" hidden="1" thickBot="1" x14ac:dyDescent="0.3">
      <c r="A548">
        <v>27494</v>
      </c>
      <c r="B548" t="s">
        <v>2930</v>
      </c>
      <c r="C548" t="s">
        <v>2931</v>
      </c>
      <c r="E548">
        <v>0</v>
      </c>
      <c r="F548" s="54"/>
    </row>
    <row r="549" spans="1:6" hidden="1" thickBot="1" x14ac:dyDescent="0.3">
      <c r="A549">
        <v>27495</v>
      </c>
      <c r="B549" t="s">
        <v>2932</v>
      </c>
      <c r="C549" t="s">
        <v>2933</v>
      </c>
      <c r="E549">
        <v>0</v>
      </c>
      <c r="F549" s="54"/>
    </row>
    <row r="550" spans="1:6" hidden="1" thickBot="1" x14ac:dyDescent="0.3">
      <c r="A550">
        <v>27498</v>
      </c>
      <c r="B550" t="s">
        <v>2934</v>
      </c>
      <c r="C550" t="s">
        <v>2922</v>
      </c>
      <c r="E550">
        <v>0</v>
      </c>
      <c r="F550" s="54"/>
    </row>
    <row r="551" spans="1:6" ht="15.75" thickBot="1" x14ac:dyDescent="0.3">
      <c r="A551">
        <v>27497</v>
      </c>
      <c r="B551" t="s">
        <v>2935</v>
      </c>
      <c r="C551" t="s">
        <v>2936</v>
      </c>
      <c r="D551" s="75">
        <v>69.5</v>
      </c>
      <c r="E551">
        <v>27</v>
      </c>
      <c r="F551" s="54"/>
    </row>
    <row r="552" spans="1:6" hidden="1" thickBot="1" x14ac:dyDescent="0.3">
      <c r="A552">
        <v>28772</v>
      </c>
      <c r="B552" t="s">
        <v>2937</v>
      </c>
      <c r="C552" t="s">
        <v>2938</v>
      </c>
      <c r="E552">
        <v>0</v>
      </c>
      <c r="F552" s="54"/>
    </row>
    <row r="553" spans="1:6" hidden="1" thickBot="1" x14ac:dyDescent="0.3">
      <c r="A553">
        <v>28771</v>
      </c>
      <c r="B553" t="s">
        <v>2939</v>
      </c>
      <c r="C553" t="s">
        <v>2938</v>
      </c>
      <c r="E553">
        <v>0</v>
      </c>
      <c r="F553" s="54"/>
    </row>
    <row r="554" spans="1:6" hidden="1" thickBot="1" x14ac:dyDescent="0.3">
      <c r="A554">
        <v>28773</v>
      </c>
      <c r="B554" t="s">
        <v>2940</v>
      </c>
      <c r="C554" t="s">
        <v>2938</v>
      </c>
      <c r="E554">
        <v>0</v>
      </c>
      <c r="F554" s="54"/>
    </row>
    <row r="555" spans="1:6" hidden="1" thickBot="1" x14ac:dyDescent="0.3">
      <c r="A555">
        <v>28774</v>
      </c>
      <c r="B555" t="s">
        <v>2941</v>
      </c>
      <c r="C555" t="s">
        <v>2942</v>
      </c>
      <c r="E555">
        <v>0</v>
      </c>
      <c r="F555" s="54"/>
    </row>
    <row r="556" spans="1:6" hidden="1" thickBot="1" x14ac:dyDescent="0.3">
      <c r="A556">
        <v>28778</v>
      </c>
      <c r="B556" t="s">
        <v>2943</v>
      </c>
      <c r="C556" t="s">
        <v>2944</v>
      </c>
      <c r="E556">
        <v>0</v>
      </c>
      <c r="F556" s="54"/>
    </row>
    <row r="557" spans="1:6" hidden="1" thickBot="1" x14ac:dyDescent="0.3">
      <c r="A557">
        <v>28777</v>
      </c>
      <c r="B557" t="s">
        <v>2945</v>
      </c>
      <c r="C557" t="s">
        <v>2946</v>
      </c>
      <c r="E557">
        <v>0</v>
      </c>
      <c r="F557" s="54"/>
    </row>
    <row r="558" spans="1:6" hidden="1" thickBot="1" x14ac:dyDescent="0.3">
      <c r="A558">
        <v>28779</v>
      </c>
      <c r="B558" t="s">
        <v>2947</v>
      </c>
      <c r="C558" t="s">
        <v>2948</v>
      </c>
      <c r="E558">
        <v>0</v>
      </c>
      <c r="F558" s="54"/>
    </row>
    <row r="559" spans="1:6" hidden="1" thickBot="1" x14ac:dyDescent="0.3">
      <c r="A559">
        <v>28784</v>
      </c>
      <c r="B559" t="s">
        <v>2949</v>
      </c>
      <c r="C559" t="s">
        <v>2950</v>
      </c>
      <c r="E559">
        <v>0</v>
      </c>
      <c r="F559" s="54"/>
    </row>
    <row r="560" spans="1:6" hidden="1" thickBot="1" x14ac:dyDescent="0.3">
      <c r="A560">
        <v>28780</v>
      </c>
      <c r="B560" t="s">
        <v>2951</v>
      </c>
      <c r="C560" t="s">
        <v>2952</v>
      </c>
      <c r="E560">
        <v>0</v>
      </c>
      <c r="F560" s="54"/>
    </row>
    <row r="561" spans="1:6" hidden="1" thickBot="1" x14ac:dyDescent="0.3">
      <c r="A561">
        <v>28783</v>
      </c>
      <c r="B561" t="s">
        <v>2953</v>
      </c>
      <c r="C561" t="s">
        <v>2954</v>
      </c>
      <c r="E561">
        <v>0</v>
      </c>
      <c r="F561" s="54"/>
    </row>
    <row r="562" spans="1:6" hidden="1" thickBot="1" x14ac:dyDescent="0.3">
      <c r="A562">
        <v>28781</v>
      </c>
      <c r="B562" t="s">
        <v>2955</v>
      </c>
      <c r="C562" t="s">
        <v>2956</v>
      </c>
      <c r="E562">
        <v>0</v>
      </c>
      <c r="F562" s="54"/>
    </row>
    <row r="563" spans="1:6" hidden="1" thickBot="1" x14ac:dyDescent="0.3">
      <c r="A563">
        <v>28782</v>
      </c>
      <c r="B563" t="s">
        <v>2957</v>
      </c>
      <c r="C563" t="s">
        <v>2958</v>
      </c>
      <c r="D563" s="1" t="s">
        <v>3082</v>
      </c>
      <c r="E563">
        <v>0</v>
      </c>
      <c r="F563" s="54"/>
    </row>
    <row r="564" spans="1:6" hidden="1" thickBot="1" x14ac:dyDescent="0.3">
      <c r="A564">
        <v>28786</v>
      </c>
      <c r="B564" t="s">
        <v>2959</v>
      </c>
      <c r="C564" t="s">
        <v>2960</v>
      </c>
      <c r="D564" s="1" t="s">
        <v>3082</v>
      </c>
      <c r="E564">
        <v>0</v>
      </c>
      <c r="F564" s="54"/>
    </row>
    <row r="565" spans="1:6" hidden="1" thickBot="1" x14ac:dyDescent="0.3">
      <c r="A565">
        <v>27499</v>
      </c>
      <c r="B565" t="s">
        <v>2961</v>
      </c>
      <c r="C565" t="s">
        <v>2962</v>
      </c>
      <c r="D565" s="1" t="s">
        <v>3082</v>
      </c>
      <c r="E565">
        <v>0</v>
      </c>
      <c r="F565" s="54"/>
    </row>
    <row r="566" spans="1:6" hidden="1" thickBot="1" x14ac:dyDescent="0.3">
      <c r="A566">
        <v>28785</v>
      </c>
      <c r="B566" t="s">
        <v>2963</v>
      </c>
      <c r="C566" t="s">
        <v>2964</v>
      </c>
      <c r="D566" s="1" t="s">
        <v>3082</v>
      </c>
      <c r="E566">
        <v>0</v>
      </c>
      <c r="F566" s="54"/>
    </row>
    <row r="567" spans="1:6" hidden="1" thickBot="1" x14ac:dyDescent="0.3">
      <c r="A567">
        <v>28787</v>
      </c>
      <c r="B567" t="s">
        <v>2965</v>
      </c>
      <c r="C567" t="s">
        <v>2966</v>
      </c>
      <c r="D567" s="1" t="s">
        <v>3082</v>
      </c>
      <c r="E567">
        <v>0</v>
      </c>
      <c r="F567" s="54"/>
    </row>
    <row r="568" spans="1:6" hidden="1" thickBot="1" x14ac:dyDescent="0.3">
      <c r="A568">
        <v>27500</v>
      </c>
      <c r="B568" t="s">
        <v>2967</v>
      </c>
      <c r="C568" t="s">
        <v>2968</v>
      </c>
      <c r="D568" s="1" t="s">
        <v>3082</v>
      </c>
      <c r="E568">
        <v>0</v>
      </c>
      <c r="F568" s="54"/>
    </row>
    <row r="569" spans="1:6" hidden="1" thickBot="1" x14ac:dyDescent="0.3">
      <c r="A569">
        <v>27502</v>
      </c>
      <c r="B569" t="s">
        <v>2969</v>
      </c>
      <c r="C569" t="s">
        <v>2968</v>
      </c>
      <c r="D569" s="1" t="s">
        <v>3082</v>
      </c>
      <c r="E569">
        <v>0</v>
      </c>
      <c r="F569" s="54"/>
    </row>
    <row r="570" spans="1:6" hidden="1" thickBot="1" x14ac:dyDescent="0.3">
      <c r="A570">
        <v>27501</v>
      </c>
      <c r="B570" t="s">
        <v>2970</v>
      </c>
      <c r="C570" t="s">
        <v>2971</v>
      </c>
      <c r="D570" s="1" t="s">
        <v>3082</v>
      </c>
      <c r="E570">
        <v>0</v>
      </c>
      <c r="F570" s="54"/>
    </row>
    <row r="571" spans="1:6" hidden="1" thickBot="1" x14ac:dyDescent="0.3">
      <c r="A571">
        <v>27503</v>
      </c>
      <c r="B571" t="s">
        <v>2972</v>
      </c>
      <c r="C571" t="s">
        <v>2973</v>
      </c>
      <c r="D571" s="1" t="s">
        <v>3082</v>
      </c>
      <c r="E571">
        <v>0</v>
      </c>
      <c r="F571" s="54"/>
    </row>
    <row r="572" spans="1:6" hidden="1" thickBot="1" x14ac:dyDescent="0.3">
      <c r="A572">
        <v>27504</v>
      </c>
      <c r="B572" t="s">
        <v>2974</v>
      </c>
      <c r="C572" t="s">
        <v>2975</v>
      </c>
      <c r="D572" s="1" t="s">
        <v>3082</v>
      </c>
      <c r="E572">
        <v>0</v>
      </c>
      <c r="F572" s="54"/>
    </row>
    <row r="573" spans="1:6" hidden="1" thickBot="1" x14ac:dyDescent="0.3">
      <c r="A573">
        <v>27505</v>
      </c>
      <c r="B573" t="s">
        <v>2976</v>
      </c>
      <c r="C573" t="s">
        <v>2977</v>
      </c>
      <c r="D573" s="1" t="s">
        <v>3082</v>
      </c>
      <c r="E573">
        <v>0</v>
      </c>
      <c r="F573" s="54"/>
    </row>
    <row r="574" spans="1:6" hidden="1" thickBot="1" x14ac:dyDescent="0.3">
      <c r="A574">
        <v>27508</v>
      </c>
      <c r="B574" t="s">
        <v>2978</v>
      </c>
      <c r="C574" t="s">
        <v>2975</v>
      </c>
      <c r="D574" s="1" t="s">
        <v>3082</v>
      </c>
      <c r="E574">
        <v>0</v>
      </c>
      <c r="F574" s="54"/>
    </row>
    <row r="575" spans="1:6" hidden="1" thickBot="1" x14ac:dyDescent="0.3">
      <c r="A575">
        <v>28788</v>
      </c>
      <c r="B575" t="s">
        <v>2979</v>
      </c>
      <c r="C575" t="s">
        <v>2980</v>
      </c>
      <c r="E575">
        <v>0</v>
      </c>
      <c r="F575" s="54"/>
    </row>
    <row r="576" spans="1:6" hidden="1" thickBot="1" x14ac:dyDescent="0.3">
      <c r="A576">
        <v>28790</v>
      </c>
      <c r="B576" t="s">
        <v>2981</v>
      </c>
      <c r="C576" t="s">
        <v>2982</v>
      </c>
      <c r="E576">
        <v>0</v>
      </c>
      <c r="F576" s="54"/>
    </row>
    <row r="577" spans="1:6" hidden="1" thickBot="1" x14ac:dyDescent="0.3">
      <c r="A577">
        <v>28789</v>
      </c>
      <c r="B577" t="s">
        <v>2983</v>
      </c>
      <c r="C577" t="s">
        <v>2984</v>
      </c>
      <c r="E577">
        <v>0</v>
      </c>
      <c r="F577" s="54"/>
    </row>
    <row r="578" spans="1:6" hidden="1" thickBot="1" x14ac:dyDescent="0.3">
      <c r="A578">
        <v>28791</v>
      </c>
      <c r="B578" t="s">
        <v>2985</v>
      </c>
      <c r="C578" t="s">
        <v>2986</v>
      </c>
      <c r="E578">
        <v>0</v>
      </c>
      <c r="F578" s="54"/>
    </row>
    <row r="579" spans="1:6" hidden="1" thickBot="1" x14ac:dyDescent="0.3">
      <c r="A579">
        <v>28792</v>
      </c>
      <c r="B579" t="s">
        <v>2987</v>
      </c>
      <c r="C579" t="s">
        <v>2988</v>
      </c>
      <c r="E579">
        <v>0</v>
      </c>
      <c r="F579" s="54"/>
    </row>
    <row r="580" spans="1:6" hidden="1" thickBot="1" x14ac:dyDescent="0.3">
      <c r="A580">
        <v>28793</v>
      </c>
      <c r="B580" t="s">
        <v>2989</v>
      </c>
      <c r="C580" t="s">
        <v>2990</v>
      </c>
      <c r="E580">
        <v>0</v>
      </c>
      <c r="F580" s="54"/>
    </row>
    <row r="581" spans="1:6" hidden="1" thickBot="1" x14ac:dyDescent="0.3">
      <c r="A581">
        <v>28795</v>
      </c>
      <c r="B581" t="s">
        <v>2991</v>
      </c>
      <c r="C581" t="s">
        <v>2992</v>
      </c>
      <c r="E581">
        <v>0</v>
      </c>
      <c r="F581" s="54"/>
    </row>
    <row r="582" spans="1:6" hidden="1" thickBot="1" x14ac:dyDescent="0.3">
      <c r="A582">
        <v>28794</v>
      </c>
      <c r="B582" t="s">
        <v>2993</v>
      </c>
      <c r="C582" t="s">
        <v>2994</v>
      </c>
      <c r="E582">
        <v>0</v>
      </c>
      <c r="F582" s="54"/>
    </row>
    <row r="583" spans="1:6" hidden="1" thickBot="1" x14ac:dyDescent="0.3">
      <c r="A583">
        <v>27506</v>
      </c>
      <c r="B583" t="s">
        <v>2995</v>
      </c>
      <c r="C583" t="s">
        <v>2996</v>
      </c>
      <c r="E583">
        <v>0</v>
      </c>
      <c r="F583" s="54"/>
    </row>
    <row r="584" spans="1:6" hidden="1" thickBot="1" x14ac:dyDescent="0.3">
      <c r="A584">
        <v>27507</v>
      </c>
      <c r="B584" t="s">
        <v>2997</v>
      </c>
      <c r="C584" t="s">
        <v>2998</v>
      </c>
      <c r="E584">
        <v>0</v>
      </c>
      <c r="F584" s="54"/>
    </row>
    <row r="585" spans="1:6" hidden="1" thickBot="1" x14ac:dyDescent="0.3">
      <c r="A585">
        <v>27509</v>
      </c>
      <c r="B585" t="s">
        <v>2999</v>
      </c>
      <c r="C585" t="s">
        <v>3000</v>
      </c>
      <c r="E585">
        <v>0</v>
      </c>
      <c r="F585" s="54"/>
    </row>
    <row r="586" spans="1:6" ht="15.75" thickBot="1" x14ac:dyDescent="0.3">
      <c r="A586">
        <v>27510</v>
      </c>
      <c r="B586" t="s">
        <v>3001</v>
      </c>
      <c r="C586" t="s">
        <v>3002</v>
      </c>
      <c r="D586" s="75">
        <v>144</v>
      </c>
      <c r="E586">
        <v>49</v>
      </c>
      <c r="F586" s="54"/>
    </row>
    <row r="587" spans="1:6" ht="15.75" thickBot="1" x14ac:dyDescent="0.3">
      <c r="A587">
        <v>27511</v>
      </c>
      <c r="B587" t="s">
        <v>3003</v>
      </c>
      <c r="C587" t="s">
        <v>3004</v>
      </c>
      <c r="D587" s="75" t="s">
        <v>3082</v>
      </c>
      <c r="E587">
        <v>49</v>
      </c>
      <c r="F587" s="54"/>
    </row>
    <row r="588" spans="1:6" ht="15.75" thickBot="1" x14ac:dyDescent="0.3">
      <c r="A588">
        <v>27512</v>
      </c>
      <c r="B588" t="s">
        <v>3005</v>
      </c>
      <c r="C588" t="s">
        <v>3006</v>
      </c>
      <c r="D588" s="75">
        <v>121.09</v>
      </c>
      <c r="E588">
        <v>150</v>
      </c>
      <c r="F588" s="54"/>
    </row>
    <row r="589" spans="1:6" ht="15.75" thickBot="1" x14ac:dyDescent="0.3">
      <c r="A589">
        <v>27514</v>
      </c>
      <c r="B589" t="s">
        <v>3007</v>
      </c>
      <c r="C589" t="s">
        <v>3008</v>
      </c>
      <c r="D589" s="75">
        <v>121.83</v>
      </c>
      <c r="E589">
        <v>109</v>
      </c>
      <c r="F589" s="54"/>
    </row>
    <row r="590" spans="1:6" hidden="1" thickBot="1" x14ac:dyDescent="0.3">
      <c r="A590">
        <v>27513</v>
      </c>
      <c r="B590" t="s">
        <v>3009</v>
      </c>
      <c r="C590" t="s">
        <v>3010</v>
      </c>
      <c r="E590">
        <v>0</v>
      </c>
      <c r="F590" s="54"/>
    </row>
    <row r="591" spans="1:6" hidden="1" thickBot="1" x14ac:dyDescent="0.3">
      <c r="A591">
        <v>27515</v>
      </c>
      <c r="B591" t="s">
        <v>3011</v>
      </c>
      <c r="C591" t="s">
        <v>3012</v>
      </c>
      <c r="E591">
        <v>0</v>
      </c>
      <c r="F591" s="54"/>
    </row>
    <row r="592" spans="1:6" ht="15.75" thickBot="1" x14ac:dyDescent="0.3">
      <c r="A592">
        <v>27517</v>
      </c>
      <c r="B592" t="s">
        <v>3013</v>
      </c>
      <c r="C592" t="s">
        <v>3014</v>
      </c>
      <c r="D592" s="75">
        <v>138.24</v>
      </c>
      <c r="E592">
        <v>478</v>
      </c>
      <c r="F592" s="54"/>
    </row>
    <row r="593" spans="1:6" ht="15.75" thickBot="1" x14ac:dyDescent="0.3">
      <c r="A593">
        <v>27516</v>
      </c>
      <c r="B593" t="s">
        <v>3015</v>
      </c>
      <c r="C593" t="s">
        <v>3016</v>
      </c>
      <c r="D593" s="75">
        <v>135.91999999999999</v>
      </c>
      <c r="E593">
        <v>259</v>
      </c>
      <c r="F593" s="54"/>
    </row>
    <row r="594" spans="1:6" hidden="1" thickBot="1" x14ac:dyDescent="0.3">
      <c r="A594">
        <v>27518</v>
      </c>
      <c r="B594" t="s">
        <v>3017</v>
      </c>
      <c r="C594" t="s">
        <v>3018</v>
      </c>
      <c r="E594">
        <v>0</v>
      </c>
      <c r="F594" s="54"/>
    </row>
    <row r="595" spans="1:6" hidden="1" thickBot="1" x14ac:dyDescent="0.3">
      <c r="A595">
        <v>27519</v>
      </c>
      <c r="B595" t="s">
        <v>3019</v>
      </c>
      <c r="C595" t="s">
        <v>3020</v>
      </c>
      <c r="E595">
        <v>0</v>
      </c>
      <c r="F595" s="54"/>
    </row>
    <row r="596" spans="1:6" hidden="1" thickBot="1" x14ac:dyDescent="0.3">
      <c r="A596">
        <v>27520</v>
      </c>
      <c r="B596" t="s">
        <v>3021</v>
      </c>
      <c r="C596" t="s">
        <v>3022</v>
      </c>
      <c r="E596">
        <v>0</v>
      </c>
      <c r="F596" s="54"/>
    </row>
    <row r="597" spans="1:6" hidden="1" thickBot="1" x14ac:dyDescent="0.3">
      <c r="A597">
        <v>27521</v>
      </c>
      <c r="B597" t="s">
        <v>3023</v>
      </c>
      <c r="C597" t="s">
        <v>3024</v>
      </c>
      <c r="E597">
        <v>0</v>
      </c>
      <c r="F597" s="54"/>
    </row>
    <row r="598" spans="1:6" hidden="1" thickBot="1" x14ac:dyDescent="0.3">
      <c r="A598">
        <v>27524</v>
      </c>
      <c r="B598" t="s">
        <v>3025</v>
      </c>
      <c r="C598" t="s">
        <v>3026</v>
      </c>
      <c r="E598">
        <v>0</v>
      </c>
      <c r="F598" s="54"/>
    </row>
    <row r="599" spans="1:6" hidden="1" thickBot="1" x14ac:dyDescent="0.3">
      <c r="A599">
        <v>27522</v>
      </c>
      <c r="B599" t="s">
        <v>3027</v>
      </c>
      <c r="C599" t="s">
        <v>3028</v>
      </c>
      <c r="E599">
        <v>0</v>
      </c>
      <c r="F599" s="54"/>
    </row>
    <row r="600" spans="1:6" ht="15.75" thickBot="1" x14ac:dyDescent="0.3">
      <c r="A600">
        <v>27523</v>
      </c>
      <c r="B600" t="s">
        <v>3029</v>
      </c>
      <c r="C600" t="s">
        <v>3030</v>
      </c>
      <c r="D600" s="75">
        <v>135.91999999999999</v>
      </c>
      <c r="E600">
        <v>280</v>
      </c>
      <c r="F600" s="54"/>
    </row>
    <row r="601" spans="1:6" hidden="1" thickBot="1" x14ac:dyDescent="0.3">
      <c r="A601">
        <v>27525</v>
      </c>
      <c r="B601" t="s">
        <v>3031</v>
      </c>
      <c r="C601" t="s">
        <v>3032</v>
      </c>
      <c r="E601">
        <v>0</v>
      </c>
      <c r="F601" s="54"/>
    </row>
    <row r="602" spans="1:6" ht="15.75" thickBot="1" x14ac:dyDescent="0.3">
      <c r="A602">
        <v>27526</v>
      </c>
      <c r="B602" t="s">
        <v>3033</v>
      </c>
      <c r="C602" t="s">
        <v>3034</v>
      </c>
      <c r="D602" s="75">
        <v>23.81</v>
      </c>
      <c r="E602">
        <v>469</v>
      </c>
      <c r="F602" s="54"/>
    </row>
    <row r="603" spans="1:6" hidden="1" thickBot="1" x14ac:dyDescent="0.3">
      <c r="A603">
        <v>28804</v>
      </c>
      <c r="B603" t="s">
        <v>3035</v>
      </c>
      <c r="C603" t="s">
        <v>3036</v>
      </c>
      <c r="E603">
        <v>0</v>
      </c>
      <c r="F603" s="54"/>
    </row>
    <row r="604" spans="1:6" hidden="1" thickBot="1" x14ac:dyDescent="0.3">
      <c r="A604">
        <v>28805</v>
      </c>
      <c r="B604" t="s">
        <v>3037</v>
      </c>
      <c r="C604" t="s">
        <v>3038</v>
      </c>
      <c r="E604">
        <v>0</v>
      </c>
      <c r="F604" s="54"/>
    </row>
    <row r="605" spans="1:6" hidden="1" thickBot="1" x14ac:dyDescent="0.3">
      <c r="A605">
        <v>28806</v>
      </c>
      <c r="B605" t="s">
        <v>3039</v>
      </c>
      <c r="C605" t="s">
        <v>3040</v>
      </c>
      <c r="E605">
        <v>0</v>
      </c>
      <c r="F605" s="54"/>
    </row>
    <row r="606" spans="1:6" hidden="1" thickBot="1" x14ac:dyDescent="0.3">
      <c r="A606">
        <v>28808</v>
      </c>
      <c r="B606" t="s">
        <v>3041</v>
      </c>
      <c r="C606" t="s">
        <v>3042</v>
      </c>
      <c r="E606">
        <v>0</v>
      </c>
      <c r="F606" s="54"/>
    </row>
    <row r="607" spans="1:6" hidden="1" thickBot="1" x14ac:dyDescent="0.3">
      <c r="A607">
        <v>28813</v>
      </c>
      <c r="B607" t="s">
        <v>3043</v>
      </c>
      <c r="C607" t="s">
        <v>3044</v>
      </c>
      <c r="E607">
        <v>0</v>
      </c>
      <c r="F607" s="54"/>
    </row>
    <row r="608" spans="1:6" ht="15.75" thickBot="1" x14ac:dyDescent="0.3">
      <c r="A608">
        <v>29309</v>
      </c>
      <c r="B608" t="s">
        <v>3045</v>
      </c>
      <c r="C608" t="s">
        <v>3046</v>
      </c>
      <c r="D608" s="75" t="s">
        <v>3082</v>
      </c>
      <c r="E608">
        <v>12</v>
      </c>
      <c r="F608" s="54"/>
    </row>
    <row r="609" spans="1:6" hidden="1" thickBot="1" x14ac:dyDescent="0.3">
      <c r="A609">
        <v>28814</v>
      </c>
      <c r="B609" t="s">
        <v>3047</v>
      </c>
      <c r="C609" t="s">
        <v>3048</v>
      </c>
      <c r="E609">
        <v>0</v>
      </c>
      <c r="F609" s="54"/>
    </row>
    <row r="610" spans="1:6" ht="15.75" thickBot="1" x14ac:dyDescent="0.3">
      <c r="A610">
        <v>28815</v>
      </c>
      <c r="B610" t="s">
        <v>3049</v>
      </c>
      <c r="C610" t="s">
        <v>3050</v>
      </c>
      <c r="D610" s="75" t="s">
        <v>3082</v>
      </c>
      <c r="E610">
        <v>168</v>
      </c>
      <c r="F610" s="54"/>
    </row>
    <row r="611" spans="1:6" hidden="1" thickBot="1" x14ac:dyDescent="0.3">
      <c r="A611">
        <v>28817</v>
      </c>
      <c r="B611" t="s">
        <v>3051</v>
      </c>
      <c r="C611" t="s">
        <v>3052</v>
      </c>
      <c r="E611">
        <v>0</v>
      </c>
      <c r="F611" s="54"/>
    </row>
    <row r="612" spans="1:6" hidden="1" thickBot="1" x14ac:dyDescent="0.3">
      <c r="A612">
        <v>28816</v>
      </c>
      <c r="B612" t="s">
        <v>3053</v>
      </c>
      <c r="C612" t="s">
        <v>3054</v>
      </c>
      <c r="E612">
        <v>0</v>
      </c>
      <c r="F612" s="54"/>
    </row>
    <row r="613" spans="1:6" hidden="1" thickBot="1" x14ac:dyDescent="0.3">
      <c r="A613">
        <v>28819</v>
      </c>
      <c r="B613" t="s">
        <v>3055</v>
      </c>
      <c r="C613" t="s">
        <v>3056</v>
      </c>
      <c r="E613">
        <v>0</v>
      </c>
      <c r="F613" s="54"/>
    </row>
    <row r="614" spans="1:6" hidden="1" thickBot="1" x14ac:dyDescent="0.3">
      <c r="A614">
        <v>28820</v>
      </c>
      <c r="B614" t="s">
        <v>3057</v>
      </c>
      <c r="C614" t="s">
        <v>2490</v>
      </c>
      <c r="E614">
        <v>0</v>
      </c>
      <c r="F614" s="54"/>
    </row>
    <row r="615" spans="1:6" hidden="1" thickBot="1" x14ac:dyDescent="0.3">
      <c r="A615">
        <v>28822</v>
      </c>
      <c r="B615" t="s">
        <v>3058</v>
      </c>
      <c r="C615" t="s">
        <v>2490</v>
      </c>
      <c r="E615">
        <v>0</v>
      </c>
      <c r="F615" s="54"/>
    </row>
    <row r="616" spans="1:6" hidden="1" thickBot="1" x14ac:dyDescent="0.3">
      <c r="A616">
        <v>28821</v>
      </c>
      <c r="B616" t="s">
        <v>3059</v>
      </c>
      <c r="C616" t="s">
        <v>2490</v>
      </c>
      <c r="E616">
        <v>0</v>
      </c>
      <c r="F616" s="54"/>
    </row>
    <row r="617" spans="1:6" hidden="1" thickBot="1" x14ac:dyDescent="0.3">
      <c r="A617">
        <v>28818</v>
      </c>
      <c r="B617" t="s">
        <v>3060</v>
      </c>
      <c r="C617" t="s">
        <v>3061</v>
      </c>
      <c r="E617">
        <v>0</v>
      </c>
      <c r="F617" s="54"/>
    </row>
    <row r="618" spans="1:6" hidden="1" thickBot="1" x14ac:dyDescent="0.3">
      <c r="A618">
        <v>28823</v>
      </c>
      <c r="B618" t="s">
        <v>3062</v>
      </c>
      <c r="C618" t="s">
        <v>3063</v>
      </c>
      <c r="E618">
        <v>0</v>
      </c>
      <c r="F618" s="54"/>
    </row>
    <row r="619" spans="1:6" ht="15.75" thickBot="1" x14ac:dyDescent="0.3">
      <c r="A619">
        <v>28833</v>
      </c>
      <c r="B619" t="s">
        <v>3064</v>
      </c>
      <c r="C619" t="s">
        <v>3065</v>
      </c>
      <c r="D619" s="75" t="s">
        <v>3082</v>
      </c>
      <c r="E619">
        <v>44</v>
      </c>
      <c r="F619" s="54"/>
    </row>
    <row r="620" spans="1:6" hidden="1" thickBot="1" x14ac:dyDescent="0.3">
      <c r="A620">
        <v>28834</v>
      </c>
      <c r="B620" t="s">
        <v>3066</v>
      </c>
      <c r="C620" t="s">
        <v>3067</v>
      </c>
      <c r="E620">
        <v>0</v>
      </c>
      <c r="F620" s="54"/>
    </row>
    <row r="621" spans="1:6" hidden="1" thickBot="1" x14ac:dyDescent="0.3">
      <c r="A621">
        <v>28835</v>
      </c>
      <c r="B621" t="s">
        <v>3068</v>
      </c>
      <c r="C621" t="s">
        <v>3069</v>
      </c>
      <c r="E621">
        <v>0</v>
      </c>
      <c r="F621" s="54"/>
    </row>
    <row r="622" spans="1:6" hidden="1" thickBot="1" x14ac:dyDescent="0.3">
      <c r="A622">
        <v>28837</v>
      </c>
      <c r="B622" t="s">
        <v>3070</v>
      </c>
      <c r="C622" t="s">
        <v>3071</v>
      </c>
      <c r="E622">
        <v>0</v>
      </c>
      <c r="F622" s="54"/>
    </row>
    <row r="623" spans="1:6" hidden="1" thickBot="1" x14ac:dyDescent="0.3">
      <c r="A623">
        <v>28843</v>
      </c>
      <c r="B623" t="s">
        <v>3072</v>
      </c>
      <c r="C623" t="s">
        <v>3073</v>
      </c>
      <c r="E623">
        <v>0</v>
      </c>
      <c r="F623" s="54"/>
    </row>
    <row r="624" spans="1:6" hidden="1" thickBot="1" x14ac:dyDescent="0.3">
      <c r="A624">
        <v>28842</v>
      </c>
      <c r="B624" t="s">
        <v>3074</v>
      </c>
      <c r="C624" t="s">
        <v>3075</v>
      </c>
      <c r="E624">
        <v>0</v>
      </c>
      <c r="F624" s="54"/>
    </row>
    <row r="625" spans="1:6" hidden="1" thickBot="1" x14ac:dyDescent="0.3">
      <c r="A625">
        <v>27532</v>
      </c>
      <c r="B625" t="s">
        <v>3076</v>
      </c>
      <c r="C625" t="s">
        <v>3077</v>
      </c>
      <c r="E625">
        <v>0</v>
      </c>
      <c r="F625" s="54"/>
    </row>
    <row r="626" spans="1:6" hidden="1" thickBot="1" x14ac:dyDescent="0.3">
      <c r="A626">
        <v>27531</v>
      </c>
      <c r="B626" t="s">
        <v>3078</v>
      </c>
      <c r="C626" t="s">
        <v>3079</v>
      </c>
      <c r="E626">
        <v>0</v>
      </c>
      <c r="F626" s="54"/>
    </row>
    <row r="627" spans="1:6" ht="15.75" thickBot="1" x14ac:dyDescent="0.3">
      <c r="A627">
        <v>28852</v>
      </c>
      <c r="B627" t="s">
        <v>3080</v>
      </c>
      <c r="C627" t="s">
        <v>3081</v>
      </c>
      <c r="D627" s="75" t="s">
        <v>3082</v>
      </c>
      <c r="E627">
        <v>136</v>
      </c>
      <c r="F627" s="54"/>
    </row>
    <row r="628" spans="1:6" ht="15.75" thickBot="1" x14ac:dyDescent="0.3">
      <c r="A628">
        <v>27533</v>
      </c>
      <c r="B628" t="s">
        <v>213</v>
      </c>
      <c r="C628" t="s">
        <v>3083</v>
      </c>
      <c r="D628" s="75">
        <v>3.0906000000000002</v>
      </c>
      <c r="E628">
        <v>216</v>
      </c>
      <c r="F628" s="54"/>
    </row>
    <row r="629" spans="1:6" hidden="1" thickBot="1" x14ac:dyDescent="0.3">
      <c r="A629">
        <v>27534</v>
      </c>
      <c r="B629" t="s">
        <v>3084</v>
      </c>
      <c r="C629" t="s">
        <v>3085</v>
      </c>
      <c r="D629" s="1">
        <v>6.01</v>
      </c>
      <c r="E629">
        <v>0</v>
      </c>
      <c r="F629" s="54"/>
    </row>
    <row r="630" spans="1:6" ht="15.75" thickBot="1" x14ac:dyDescent="0.3">
      <c r="A630">
        <v>27535</v>
      </c>
      <c r="B630" t="s">
        <v>3086</v>
      </c>
      <c r="C630" t="s">
        <v>3087</v>
      </c>
      <c r="D630" s="75">
        <v>7.2</v>
      </c>
      <c r="E630">
        <v>33</v>
      </c>
      <c r="F630" s="54"/>
    </row>
    <row r="631" spans="1:6" ht="15.75" thickBot="1" x14ac:dyDescent="0.3">
      <c r="A631">
        <v>29287</v>
      </c>
      <c r="B631" t="s">
        <v>3088</v>
      </c>
      <c r="C631" t="s">
        <v>3089</v>
      </c>
      <c r="D631" s="75">
        <v>6.01</v>
      </c>
      <c r="E631">
        <v>120</v>
      </c>
      <c r="F631" s="54"/>
    </row>
    <row r="632" spans="1:6" ht="15.75" thickBot="1" x14ac:dyDescent="0.3">
      <c r="A632">
        <v>27536</v>
      </c>
      <c r="B632" t="s">
        <v>215</v>
      </c>
      <c r="C632" t="s">
        <v>3090</v>
      </c>
      <c r="D632" s="75">
        <v>3.26</v>
      </c>
      <c r="E632">
        <v>270</v>
      </c>
      <c r="F632" s="54"/>
    </row>
    <row r="633" spans="1:6" ht="15.75" thickBot="1" x14ac:dyDescent="0.3">
      <c r="A633">
        <v>27537</v>
      </c>
      <c r="B633" t="s">
        <v>214</v>
      </c>
      <c r="C633" t="s">
        <v>3091</v>
      </c>
      <c r="D633" s="75">
        <v>3.87</v>
      </c>
      <c r="E633">
        <v>312</v>
      </c>
      <c r="F633" s="54"/>
    </row>
    <row r="634" spans="1:6" ht="15.75" thickBot="1" x14ac:dyDescent="0.3">
      <c r="A634">
        <v>27538</v>
      </c>
      <c r="B634" t="s">
        <v>678</v>
      </c>
      <c r="C634" t="s">
        <v>3092</v>
      </c>
      <c r="D634" s="75">
        <v>4.05</v>
      </c>
      <c r="E634">
        <v>48</v>
      </c>
      <c r="F634" s="54"/>
    </row>
    <row r="635" spans="1:6" hidden="1" thickBot="1" x14ac:dyDescent="0.3">
      <c r="A635">
        <v>27539</v>
      </c>
      <c r="B635" t="s">
        <v>3093</v>
      </c>
      <c r="C635" t="s">
        <v>3094</v>
      </c>
      <c r="D635" s="1" t="s">
        <v>3082</v>
      </c>
      <c r="E635">
        <v>0</v>
      </c>
      <c r="F635" s="54"/>
    </row>
    <row r="636" spans="1:6" hidden="1" thickBot="1" x14ac:dyDescent="0.3">
      <c r="A636">
        <v>27540</v>
      </c>
      <c r="B636" t="s">
        <v>3095</v>
      </c>
      <c r="C636" t="s">
        <v>3096</v>
      </c>
      <c r="D636" s="1" t="s">
        <v>3082</v>
      </c>
      <c r="E636">
        <v>0</v>
      </c>
      <c r="F636" s="54"/>
    </row>
    <row r="637" spans="1:6" ht="15.75" thickBot="1" x14ac:dyDescent="0.3">
      <c r="A637">
        <v>27541</v>
      </c>
      <c r="B637" t="s">
        <v>217</v>
      </c>
      <c r="C637" t="s">
        <v>3097</v>
      </c>
      <c r="D637" s="75">
        <v>5.56</v>
      </c>
      <c r="E637">
        <v>413</v>
      </c>
      <c r="F637" s="54"/>
    </row>
    <row r="638" spans="1:6" ht="15.75" thickBot="1" x14ac:dyDescent="0.3">
      <c r="A638">
        <v>27542</v>
      </c>
      <c r="B638" t="s">
        <v>3098</v>
      </c>
      <c r="C638" t="s">
        <v>3099</v>
      </c>
      <c r="D638" s="75">
        <v>19.57</v>
      </c>
      <c r="E638">
        <v>96</v>
      </c>
      <c r="F638" s="54"/>
    </row>
    <row r="639" spans="1:6" ht="15.75" thickBot="1" x14ac:dyDescent="0.3">
      <c r="A639">
        <v>27543</v>
      </c>
      <c r="B639" t="s">
        <v>3100</v>
      </c>
      <c r="C639" t="s">
        <v>3101</v>
      </c>
      <c r="D639" s="75" t="s">
        <v>3082</v>
      </c>
      <c r="E639">
        <v>15</v>
      </c>
      <c r="F639" s="54"/>
    </row>
    <row r="640" spans="1:6" ht="15.75" thickBot="1" x14ac:dyDescent="0.3">
      <c r="A640">
        <v>27544</v>
      </c>
      <c r="B640" t="s">
        <v>219</v>
      </c>
      <c r="C640" t="s">
        <v>3102</v>
      </c>
      <c r="D640" s="75">
        <v>5.69</v>
      </c>
      <c r="E640">
        <v>11</v>
      </c>
      <c r="F640" s="54"/>
    </row>
    <row r="641" spans="1:6" ht="15.75" thickBot="1" x14ac:dyDescent="0.3">
      <c r="A641">
        <v>27545</v>
      </c>
      <c r="B641" t="s">
        <v>3103</v>
      </c>
      <c r="C641" t="s">
        <v>3104</v>
      </c>
      <c r="D641" s="75">
        <v>6.01</v>
      </c>
      <c r="E641">
        <v>11</v>
      </c>
      <c r="F641" s="54"/>
    </row>
    <row r="642" spans="1:6" ht="15.75" thickBot="1" x14ac:dyDescent="0.3">
      <c r="A642">
        <v>27546</v>
      </c>
      <c r="B642" t="s">
        <v>3105</v>
      </c>
      <c r="C642" t="s">
        <v>3106</v>
      </c>
      <c r="D642" s="75" t="s">
        <v>3082</v>
      </c>
      <c r="E642">
        <v>9</v>
      </c>
      <c r="F642" s="54"/>
    </row>
    <row r="643" spans="1:6" ht="15.75" thickBot="1" x14ac:dyDescent="0.3">
      <c r="A643">
        <v>29295</v>
      </c>
      <c r="B643" t="s">
        <v>3107</v>
      </c>
      <c r="C643" t="s">
        <v>3108</v>
      </c>
      <c r="D643" s="75">
        <v>8.82</v>
      </c>
      <c r="E643">
        <v>60</v>
      </c>
      <c r="F643" s="54"/>
    </row>
    <row r="644" spans="1:6" ht="15.75" thickBot="1" x14ac:dyDescent="0.3">
      <c r="A644">
        <v>27547</v>
      </c>
      <c r="B644" t="s">
        <v>3109</v>
      </c>
      <c r="C644" t="s">
        <v>3110</v>
      </c>
      <c r="D644" s="75">
        <v>9.92</v>
      </c>
      <c r="E644">
        <v>48</v>
      </c>
      <c r="F644" s="54"/>
    </row>
    <row r="645" spans="1:6" ht="15.75" thickBot="1" x14ac:dyDescent="0.3">
      <c r="A645">
        <v>27548</v>
      </c>
      <c r="B645" t="s">
        <v>3111</v>
      </c>
      <c r="C645" t="s">
        <v>3112</v>
      </c>
      <c r="D645" s="75">
        <v>11.02</v>
      </c>
      <c r="E645">
        <v>432</v>
      </c>
      <c r="F645" s="54"/>
    </row>
    <row r="646" spans="1:6" ht="15.75" thickBot="1" x14ac:dyDescent="0.3">
      <c r="A646">
        <v>29307</v>
      </c>
      <c r="B646" t="s">
        <v>3113</v>
      </c>
      <c r="C646" t="s">
        <v>3114</v>
      </c>
      <c r="D646" s="75" t="s">
        <v>3082</v>
      </c>
      <c r="E646">
        <v>12</v>
      </c>
      <c r="F646" s="54"/>
    </row>
    <row r="647" spans="1:6" hidden="1" thickBot="1" x14ac:dyDescent="0.3">
      <c r="A647">
        <v>27549</v>
      </c>
      <c r="B647" t="s">
        <v>3115</v>
      </c>
      <c r="C647" t="s">
        <v>3116</v>
      </c>
      <c r="D647" s="1">
        <v>8.82</v>
      </c>
      <c r="E647">
        <v>0</v>
      </c>
      <c r="F647" s="54"/>
    </row>
    <row r="648" spans="1:6" ht="15.75" thickBot="1" x14ac:dyDescent="0.3">
      <c r="A648">
        <v>27550</v>
      </c>
      <c r="B648" t="s">
        <v>221</v>
      </c>
      <c r="C648" t="s">
        <v>3117</v>
      </c>
      <c r="D648" s="75">
        <v>3.95</v>
      </c>
      <c r="E648">
        <v>191</v>
      </c>
      <c r="F648" s="54"/>
    </row>
    <row r="649" spans="1:6" ht="15.75" thickBot="1" x14ac:dyDescent="0.3">
      <c r="A649">
        <v>27551</v>
      </c>
      <c r="B649" t="s">
        <v>216</v>
      </c>
      <c r="C649" t="s">
        <v>3118</v>
      </c>
      <c r="D649" s="75">
        <v>4.04</v>
      </c>
      <c r="E649">
        <v>180</v>
      </c>
      <c r="F649" s="54"/>
    </row>
    <row r="650" spans="1:6" ht="15.75" thickBot="1" x14ac:dyDescent="0.3">
      <c r="A650">
        <v>27552</v>
      </c>
      <c r="B650" t="s">
        <v>680</v>
      </c>
      <c r="C650" t="s">
        <v>3119</v>
      </c>
      <c r="D650" s="75">
        <v>4.24</v>
      </c>
      <c r="E650">
        <v>57</v>
      </c>
      <c r="F650" s="54"/>
    </row>
    <row r="651" spans="1:6" hidden="1" thickBot="1" x14ac:dyDescent="0.3">
      <c r="A651">
        <v>27554</v>
      </c>
      <c r="B651" t="s">
        <v>3120</v>
      </c>
      <c r="C651" t="s">
        <v>3121</v>
      </c>
      <c r="D651" s="1">
        <v>7.21</v>
      </c>
      <c r="E651">
        <v>0</v>
      </c>
      <c r="F651" s="54"/>
    </row>
    <row r="652" spans="1:6" ht="15.75" thickBot="1" x14ac:dyDescent="0.3">
      <c r="A652">
        <v>27553</v>
      </c>
      <c r="B652" t="s">
        <v>3122</v>
      </c>
      <c r="C652" t="s">
        <v>3123</v>
      </c>
      <c r="D652" s="75" t="s">
        <v>3082</v>
      </c>
      <c r="E652">
        <v>12</v>
      </c>
      <c r="F652" s="54"/>
    </row>
    <row r="653" spans="1:6" hidden="1" thickBot="1" x14ac:dyDescent="0.3">
      <c r="A653">
        <v>27555</v>
      </c>
      <c r="B653" t="s">
        <v>223</v>
      </c>
      <c r="C653" t="s">
        <v>3124</v>
      </c>
      <c r="D653" s="1">
        <v>3.3422000000000001</v>
      </c>
      <c r="E653">
        <v>0</v>
      </c>
      <c r="F653" s="54"/>
    </row>
    <row r="654" spans="1:6" ht="15.75" thickBot="1" x14ac:dyDescent="0.3">
      <c r="A654">
        <v>27556</v>
      </c>
      <c r="B654" t="s">
        <v>218</v>
      </c>
      <c r="C654" t="s">
        <v>3125</v>
      </c>
      <c r="D654" s="75">
        <v>4.1004000000000005</v>
      </c>
      <c r="E654">
        <v>348</v>
      </c>
      <c r="F654" s="54"/>
    </row>
    <row r="655" spans="1:6" ht="15.75" thickBot="1" x14ac:dyDescent="0.3">
      <c r="A655">
        <v>27558</v>
      </c>
      <c r="B655" t="s">
        <v>682</v>
      </c>
      <c r="C655" t="s">
        <v>3126</v>
      </c>
      <c r="D655" s="75">
        <v>4.2873999999999999</v>
      </c>
      <c r="E655">
        <v>12</v>
      </c>
      <c r="F655" s="54"/>
    </row>
    <row r="656" spans="1:6" ht="15.75" thickBot="1" x14ac:dyDescent="0.3">
      <c r="A656">
        <v>29289</v>
      </c>
      <c r="B656" t="s">
        <v>3127</v>
      </c>
      <c r="C656" t="s">
        <v>3128</v>
      </c>
      <c r="D656" s="75" t="s">
        <v>3082</v>
      </c>
      <c r="E656">
        <v>42</v>
      </c>
      <c r="F656" s="54"/>
    </row>
    <row r="657" spans="1:6" hidden="1" thickBot="1" x14ac:dyDescent="0.3">
      <c r="A657">
        <v>27557</v>
      </c>
      <c r="B657" t="s">
        <v>3129</v>
      </c>
      <c r="C657" t="s">
        <v>3130</v>
      </c>
      <c r="D657" s="1">
        <v>8.82</v>
      </c>
      <c r="E657">
        <v>0</v>
      </c>
      <c r="F657" s="54"/>
    </row>
    <row r="658" spans="1:6" ht="15.75" thickBot="1" x14ac:dyDescent="0.3">
      <c r="A658">
        <v>27559</v>
      </c>
      <c r="B658" t="s">
        <v>225</v>
      </c>
      <c r="C658" t="s">
        <v>3131</v>
      </c>
      <c r="D658" s="75">
        <v>3.43</v>
      </c>
      <c r="E658">
        <v>116</v>
      </c>
      <c r="F658" s="54"/>
    </row>
    <row r="659" spans="1:6" ht="15.75" thickBot="1" x14ac:dyDescent="0.3">
      <c r="A659">
        <v>27560</v>
      </c>
      <c r="B659" t="s">
        <v>620</v>
      </c>
      <c r="C659" t="s">
        <v>3132</v>
      </c>
      <c r="D659" s="75">
        <v>3.63</v>
      </c>
      <c r="E659">
        <v>24</v>
      </c>
      <c r="F659" s="54"/>
    </row>
    <row r="660" spans="1:6" ht="15.75" thickBot="1" x14ac:dyDescent="0.3">
      <c r="A660">
        <v>27561</v>
      </c>
      <c r="B660" t="s">
        <v>220</v>
      </c>
      <c r="C660" t="s">
        <v>3133</v>
      </c>
      <c r="D660" s="75">
        <v>3.86</v>
      </c>
      <c r="E660">
        <v>897</v>
      </c>
      <c r="F660" s="54"/>
    </row>
    <row r="661" spans="1:6" ht="15.75" thickBot="1" x14ac:dyDescent="0.3">
      <c r="A661">
        <v>27562</v>
      </c>
      <c r="B661" t="s">
        <v>684</v>
      </c>
      <c r="C661" t="s">
        <v>3134</v>
      </c>
      <c r="D661" s="75">
        <v>4.0289999999999999</v>
      </c>
      <c r="E661">
        <v>755</v>
      </c>
      <c r="F661" s="54"/>
    </row>
    <row r="662" spans="1:6" ht="15.75" thickBot="1" x14ac:dyDescent="0.3">
      <c r="A662">
        <v>27564</v>
      </c>
      <c r="B662" t="s">
        <v>260</v>
      </c>
      <c r="C662" t="s">
        <v>3135</v>
      </c>
      <c r="D662" s="75">
        <v>6.7082000000000006</v>
      </c>
      <c r="E662">
        <v>534</v>
      </c>
      <c r="F662" s="54"/>
    </row>
    <row r="663" spans="1:6" ht="15.75" thickBot="1" x14ac:dyDescent="0.3">
      <c r="A663">
        <v>27563</v>
      </c>
      <c r="B663" t="s">
        <v>724</v>
      </c>
      <c r="C663" t="s">
        <v>3136</v>
      </c>
      <c r="D663" s="75">
        <v>7.0244000000000009</v>
      </c>
      <c r="E663">
        <v>272</v>
      </c>
      <c r="F663" s="54"/>
    </row>
    <row r="664" spans="1:6" hidden="1" thickBot="1" x14ac:dyDescent="0.3">
      <c r="A664">
        <v>27566</v>
      </c>
      <c r="B664" t="s">
        <v>286</v>
      </c>
      <c r="C664" t="s">
        <v>3137</v>
      </c>
      <c r="D664" s="1">
        <v>27.22</v>
      </c>
      <c r="E664">
        <v>0</v>
      </c>
      <c r="F664" s="54"/>
    </row>
    <row r="665" spans="1:6" ht="15.75" thickBot="1" x14ac:dyDescent="0.3">
      <c r="A665">
        <v>27565</v>
      </c>
      <c r="B665" t="s">
        <v>227</v>
      </c>
      <c r="C665" t="s">
        <v>3138</v>
      </c>
      <c r="D665" s="75">
        <v>3.6686000000000001</v>
      </c>
      <c r="E665">
        <v>120</v>
      </c>
      <c r="F665" s="54"/>
    </row>
    <row r="666" spans="1:6" ht="15.75" thickBot="1" x14ac:dyDescent="0.3">
      <c r="A666">
        <v>27567</v>
      </c>
      <c r="B666" t="s">
        <v>3139</v>
      </c>
      <c r="C666" t="s">
        <v>3140</v>
      </c>
      <c r="D666" s="75">
        <v>11.610000000000001</v>
      </c>
      <c r="E666">
        <v>42</v>
      </c>
      <c r="F666" s="54"/>
    </row>
    <row r="667" spans="1:6" ht="15.75" thickBot="1" x14ac:dyDescent="0.3">
      <c r="A667">
        <v>27568</v>
      </c>
      <c r="B667" t="s">
        <v>229</v>
      </c>
      <c r="C667" t="s">
        <v>3141</v>
      </c>
      <c r="D667" s="75">
        <v>5.6882000000000001</v>
      </c>
      <c r="E667">
        <v>36</v>
      </c>
      <c r="F667" s="54"/>
    </row>
    <row r="668" spans="1:6" ht="15.75" thickBot="1" x14ac:dyDescent="0.3">
      <c r="A668">
        <v>27569</v>
      </c>
      <c r="B668" t="s">
        <v>3142</v>
      </c>
      <c r="C668" t="s">
        <v>3143</v>
      </c>
      <c r="D668" s="75">
        <v>11.610000000000001</v>
      </c>
      <c r="E668">
        <v>11</v>
      </c>
      <c r="F668" s="54"/>
    </row>
    <row r="669" spans="1:6" ht="15.75" thickBot="1" x14ac:dyDescent="0.3">
      <c r="A669">
        <v>29304</v>
      </c>
      <c r="B669" t="s">
        <v>3144</v>
      </c>
      <c r="C669" t="s">
        <v>3145</v>
      </c>
      <c r="D669" s="75">
        <v>9.9179999999999993</v>
      </c>
      <c r="E669">
        <v>12</v>
      </c>
      <c r="F669" s="54"/>
    </row>
    <row r="670" spans="1:6" ht="15.75" thickBot="1" x14ac:dyDescent="0.3">
      <c r="A670">
        <v>27571</v>
      </c>
      <c r="B670" t="s">
        <v>3146</v>
      </c>
      <c r="C670" t="s">
        <v>3147</v>
      </c>
      <c r="D670" s="75">
        <v>9.9179999999999993</v>
      </c>
      <c r="E670">
        <v>128</v>
      </c>
      <c r="F670" s="54"/>
    </row>
    <row r="671" spans="1:6" ht="15.75" thickBot="1" x14ac:dyDescent="0.3">
      <c r="A671">
        <v>29306</v>
      </c>
      <c r="B671" t="s">
        <v>3148</v>
      </c>
      <c r="C671" t="s">
        <v>3149</v>
      </c>
      <c r="D671" s="75" t="s">
        <v>3082</v>
      </c>
      <c r="E671">
        <v>16</v>
      </c>
      <c r="F671" s="54"/>
    </row>
    <row r="672" spans="1:6" hidden="1" thickBot="1" x14ac:dyDescent="0.3">
      <c r="A672">
        <v>27570</v>
      </c>
      <c r="B672" t="s">
        <v>3150</v>
      </c>
      <c r="C672" t="s">
        <v>3151</v>
      </c>
      <c r="D672" s="1" t="s">
        <v>3082</v>
      </c>
      <c r="E672">
        <v>0</v>
      </c>
      <c r="F672" s="54"/>
    </row>
    <row r="673" spans="1:6" ht="15.75" thickBot="1" x14ac:dyDescent="0.3">
      <c r="A673">
        <v>27572</v>
      </c>
      <c r="B673" t="s">
        <v>3152</v>
      </c>
      <c r="C673" t="s">
        <v>3153</v>
      </c>
      <c r="D673" s="75">
        <v>11.02</v>
      </c>
      <c r="E673">
        <v>19</v>
      </c>
      <c r="F673" s="54"/>
    </row>
    <row r="674" spans="1:6" hidden="1" thickBot="1" x14ac:dyDescent="0.3">
      <c r="A674">
        <v>27573</v>
      </c>
      <c r="B674" t="s">
        <v>3154</v>
      </c>
      <c r="C674" t="s">
        <v>3155</v>
      </c>
      <c r="D674" s="1">
        <v>11.8125</v>
      </c>
      <c r="E674">
        <v>0</v>
      </c>
      <c r="F674" s="54"/>
    </row>
    <row r="675" spans="1:6" hidden="1" thickBot="1" x14ac:dyDescent="0.3">
      <c r="A675">
        <v>27574</v>
      </c>
      <c r="B675" t="s">
        <v>3156</v>
      </c>
      <c r="C675" t="s">
        <v>3157</v>
      </c>
      <c r="D675" s="1">
        <v>9.9179999999999993</v>
      </c>
      <c r="E675">
        <v>0</v>
      </c>
      <c r="F675" s="54"/>
    </row>
    <row r="676" spans="1:6" ht="15.75" thickBot="1" x14ac:dyDescent="0.3">
      <c r="A676">
        <v>27575</v>
      </c>
      <c r="B676" t="s">
        <v>3158</v>
      </c>
      <c r="C676" t="s">
        <v>3159</v>
      </c>
      <c r="D676" s="75">
        <v>8.82</v>
      </c>
      <c r="E676">
        <v>10</v>
      </c>
      <c r="F676" s="54"/>
    </row>
    <row r="677" spans="1:6" ht="15.75" thickBot="1" x14ac:dyDescent="0.3">
      <c r="A677">
        <v>29293</v>
      </c>
      <c r="B677" t="s">
        <v>3160</v>
      </c>
      <c r="C677" t="s">
        <v>3161</v>
      </c>
      <c r="D677" s="75">
        <v>11.8125</v>
      </c>
      <c r="E677">
        <v>12</v>
      </c>
      <c r="F677" s="54"/>
    </row>
    <row r="678" spans="1:6" ht="15.75" thickBot="1" x14ac:dyDescent="0.3">
      <c r="A678">
        <v>29301</v>
      </c>
      <c r="B678" t="s">
        <v>3162</v>
      </c>
      <c r="C678" t="s">
        <v>3163</v>
      </c>
      <c r="D678" s="75">
        <v>7.9965000000000002</v>
      </c>
      <c r="E678">
        <v>36</v>
      </c>
      <c r="F678" s="54"/>
    </row>
    <row r="679" spans="1:6" ht="15.75" thickBot="1" x14ac:dyDescent="0.3">
      <c r="A679">
        <v>27576</v>
      </c>
      <c r="B679" t="s">
        <v>231</v>
      </c>
      <c r="C679" t="s">
        <v>3164</v>
      </c>
      <c r="D679" s="75">
        <v>4.0834000000000001</v>
      </c>
      <c r="E679">
        <v>118</v>
      </c>
      <c r="F679" s="54"/>
    </row>
    <row r="680" spans="1:6" hidden="1" thickBot="1" x14ac:dyDescent="0.3">
      <c r="A680">
        <v>27577</v>
      </c>
      <c r="B680" t="s">
        <v>3165</v>
      </c>
      <c r="C680" t="s">
        <v>3166</v>
      </c>
      <c r="D680" s="1">
        <v>7.9965000000000002</v>
      </c>
      <c r="E680">
        <v>0</v>
      </c>
      <c r="F680" s="54"/>
    </row>
    <row r="681" spans="1:6" ht="15.75" thickBot="1" x14ac:dyDescent="0.3">
      <c r="A681">
        <v>27578</v>
      </c>
      <c r="B681" t="s">
        <v>233</v>
      </c>
      <c r="C681" t="s">
        <v>3167</v>
      </c>
      <c r="D681" s="75">
        <v>3.4884000000000004</v>
      </c>
      <c r="E681">
        <v>35</v>
      </c>
      <c r="F681" s="54"/>
    </row>
    <row r="682" spans="1:6" ht="15.75" thickBot="1" x14ac:dyDescent="0.3">
      <c r="A682">
        <v>27579</v>
      </c>
      <c r="B682" t="s">
        <v>222</v>
      </c>
      <c r="C682" t="s">
        <v>3168</v>
      </c>
      <c r="D682" s="75">
        <v>3.9270000000000005</v>
      </c>
      <c r="E682">
        <v>300</v>
      </c>
      <c r="F682" s="54"/>
    </row>
    <row r="683" spans="1:6" ht="15.75" thickBot="1" x14ac:dyDescent="0.3">
      <c r="A683">
        <v>27580</v>
      </c>
      <c r="B683" t="s">
        <v>235</v>
      </c>
      <c r="C683" t="s">
        <v>3169</v>
      </c>
      <c r="D683" s="75">
        <v>5.6474000000000002</v>
      </c>
      <c r="E683">
        <v>250</v>
      </c>
      <c r="F683" s="54"/>
    </row>
    <row r="684" spans="1:6" ht="15.75" thickBot="1" x14ac:dyDescent="0.3">
      <c r="A684">
        <v>27581</v>
      </c>
      <c r="B684" t="s">
        <v>237</v>
      </c>
      <c r="C684" t="s">
        <v>3170</v>
      </c>
      <c r="D684" s="75">
        <v>3.7536</v>
      </c>
      <c r="E684">
        <v>92</v>
      </c>
      <c r="F684" s="54"/>
    </row>
    <row r="685" spans="1:6" ht="15.75" thickBot="1" x14ac:dyDescent="0.3">
      <c r="A685">
        <v>27582</v>
      </c>
      <c r="B685" t="s">
        <v>224</v>
      </c>
      <c r="C685" t="s">
        <v>3171</v>
      </c>
      <c r="D685" s="75">
        <v>4.2976000000000001</v>
      </c>
      <c r="E685">
        <v>129</v>
      </c>
      <c r="F685" s="54"/>
    </row>
    <row r="686" spans="1:6" ht="15.75" thickBot="1" x14ac:dyDescent="0.3">
      <c r="A686">
        <v>27583</v>
      </c>
      <c r="B686" t="s">
        <v>239</v>
      </c>
      <c r="C686" t="s">
        <v>3172</v>
      </c>
      <c r="D686" s="75">
        <v>6.1471999999999998</v>
      </c>
      <c r="E686">
        <v>130</v>
      </c>
      <c r="F686" s="54"/>
    </row>
    <row r="687" spans="1:6" ht="15.75" thickBot="1" x14ac:dyDescent="0.3">
      <c r="A687">
        <v>27584</v>
      </c>
      <c r="B687" t="s">
        <v>3173</v>
      </c>
      <c r="C687" t="s">
        <v>3174</v>
      </c>
      <c r="D687" s="75" t="s">
        <v>3082</v>
      </c>
      <c r="E687">
        <v>105</v>
      </c>
      <c r="F687" s="54"/>
    </row>
    <row r="688" spans="1:6" ht="15.75" thickBot="1" x14ac:dyDescent="0.3">
      <c r="A688">
        <v>27586</v>
      </c>
      <c r="B688" t="s">
        <v>3175</v>
      </c>
      <c r="C688" t="s">
        <v>3176</v>
      </c>
      <c r="D688" s="75" t="s">
        <v>3082</v>
      </c>
      <c r="E688">
        <v>108</v>
      </c>
      <c r="F688" s="54"/>
    </row>
    <row r="689" spans="1:6" hidden="1" thickBot="1" x14ac:dyDescent="0.3">
      <c r="A689">
        <v>27585</v>
      </c>
      <c r="B689" t="s">
        <v>3177</v>
      </c>
      <c r="C689" t="s">
        <v>3178</v>
      </c>
      <c r="D689" s="1">
        <v>11.016</v>
      </c>
      <c r="E689">
        <v>0</v>
      </c>
      <c r="F689" s="54"/>
    </row>
    <row r="690" spans="1:6" ht="15.75" thickBot="1" x14ac:dyDescent="0.3">
      <c r="A690">
        <v>27587</v>
      </c>
      <c r="B690" t="s">
        <v>3179</v>
      </c>
      <c r="C690" t="s">
        <v>3180</v>
      </c>
      <c r="D690" s="75">
        <v>11.8125</v>
      </c>
      <c r="E690">
        <v>11</v>
      </c>
      <c r="F690" s="54"/>
    </row>
    <row r="691" spans="1:6" ht="15.75" thickBot="1" x14ac:dyDescent="0.3">
      <c r="A691">
        <v>27588</v>
      </c>
      <c r="B691" t="s">
        <v>3181</v>
      </c>
      <c r="C691" t="s">
        <v>3182</v>
      </c>
      <c r="D691" s="75">
        <v>13.8375</v>
      </c>
      <c r="E691">
        <v>180</v>
      </c>
      <c r="F691" s="54"/>
    </row>
    <row r="692" spans="1:6" ht="15.75" thickBot="1" x14ac:dyDescent="0.3">
      <c r="A692">
        <v>29290</v>
      </c>
      <c r="B692" t="s">
        <v>3183</v>
      </c>
      <c r="C692" t="s">
        <v>3184</v>
      </c>
      <c r="D692" s="75">
        <v>9.3600000000000012</v>
      </c>
      <c r="E692">
        <v>46</v>
      </c>
      <c r="F692" s="54"/>
    </row>
    <row r="693" spans="1:6" ht="15.75" thickBot="1" x14ac:dyDescent="0.3">
      <c r="A693">
        <v>27589</v>
      </c>
      <c r="B693" t="s">
        <v>241</v>
      </c>
      <c r="C693" t="s">
        <v>3185</v>
      </c>
      <c r="D693" s="75">
        <v>3.4645999999999999</v>
      </c>
      <c r="E693">
        <v>148</v>
      </c>
      <c r="F693" s="54"/>
    </row>
    <row r="694" spans="1:6" ht="15.75" thickBot="1" x14ac:dyDescent="0.3">
      <c r="A694">
        <v>27590</v>
      </c>
      <c r="B694" t="s">
        <v>226</v>
      </c>
      <c r="C694" t="s">
        <v>3186</v>
      </c>
      <c r="D694" s="75">
        <v>4.0629999999999997</v>
      </c>
      <c r="E694">
        <v>215</v>
      </c>
      <c r="F694" s="54"/>
    </row>
    <row r="695" spans="1:6" ht="15.75" thickBot="1" x14ac:dyDescent="0.3">
      <c r="A695">
        <v>27592</v>
      </c>
      <c r="B695" t="s">
        <v>3187</v>
      </c>
      <c r="C695" t="s">
        <v>3188</v>
      </c>
      <c r="D695" s="75">
        <v>9.9179999999999993</v>
      </c>
      <c r="E695">
        <v>18</v>
      </c>
      <c r="F695" s="54"/>
    </row>
    <row r="696" spans="1:6" ht="15.75" thickBot="1" x14ac:dyDescent="0.3">
      <c r="A696">
        <v>29286</v>
      </c>
      <c r="B696" t="s">
        <v>3189</v>
      </c>
      <c r="C696" t="s">
        <v>3190</v>
      </c>
      <c r="D696" s="75">
        <v>9.9179999999999993</v>
      </c>
      <c r="E696">
        <v>23</v>
      </c>
      <c r="F696" s="54"/>
    </row>
    <row r="697" spans="1:6" hidden="1" thickBot="1" x14ac:dyDescent="0.3">
      <c r="A697">
        <v>27591</v>
      </c>
      <c r="B697" t="s">
        <v>3191</v>
      </c>
      <c r="C697" t="s">
        <v>3192</v>
      </c>
      <c r="D697" s="1" t="s">
        <v>3082</v>
      </c>
      <c r="E697">
        <v>0</v>
      </c>
      <c r="F697" s="54"/>
    </row>
    <row r="698" spans="1:6" ht="15.75" thickBot="1" x14ac:dyDescent="0.3">
      <c r="A698">
        <v>27593</v>
      </c>
      <c r="B698" t="s">
        <v>3193</v>
      </c>
      <c r="C698" t="s">
        <v>3194</v>
      </c>
      <c r="D698" s="75">
        <v>11.016</v>
      </c>
      <c r="E698">
        <v>180</v>
      </c>
      <c r="F698" s="54"/>
    </row>
    <row r="699" spans="1:6" ht="15.75" thickBot="1" x14ac:dyDescent="0.3">
      <c r="A699">
        <v>27594</v>
      </c>
      <c r="B699" t="s">
        <v>3195</v>
      </c>
      <c r="C699" t="s">
        <v>3196</v>
      </c>
      <c r="D699" s="75">
        <v>12.9015</v>
      </c>
      <c r="E699">
        <v>35</v>
      </c>
      <c r="F699" s="54"/>
    </row>
    <row r="700" spans="1:6" hidden="1" thickBot="1" x14ac:dyDescent="0.3">
      <c r="A700">
        <v>27595</v>
      </c>
      <c r="B700" t="s">
        <v>3197</v>
      </c>
      <c r="C700" t="s">
        <v>3198</v>
      </c>
      <c r="D700" s="1">
        <v>12.9015</v>
      </c>
      <c r="E700">
        <v>0</v>
      </c>
      <c r="F700" s="54"/>
    </row>
    <row r="701" spans="1:6" hidden="1" thickBot="1" x14ac:dyDescent="0.3">
      <c r="A701">
        <v>27596</v>
      </c>
      <c r="B701" t="s">
        <v>3199</v>
      </c>
      <c r="C701" t="s">
        <v>3200</v>
      </c>
      <c r="D701" s="1">
        <v>7.0919999999999996</v>
      </c>
      <c r="E701">
        <v>0</v>
      </c>
      <c r="F701" s="54"/>
    </row>
    <row r="702" spans="1:6" ht="15.75" thickBot="1" x14ac:dyDescent="0.3">
      <c r="A702">
        <v>27597</v>
      </c>
      <c r="B702" t="s">
        <v>3201</v>
      </c>
      <c r="C702" t="s">
        <v>3202</v>
      </c>
      <c r="D702" s="75">
        <v>8.82</v>
      </c>
      <c r="E702">
        <v>152</v>
      </c>
      <c r="F702" s="54"/>
    </row>
    <row r="703" spans="1:6" ht="15.75" thickBot="1" x14ac:dyDescent="0.3">
      <c r="A703">
        <v>29298</v>
      </c>
      <c r="B703" t="s">
        <v>3203</v>
      </c>
      <c r="C703" t="s">
        <v>3204</v>
      </c>
      <c r="D703" s="75">
        <v>10.305</v>
      </c>
      <c r="E703">
        <v>12</v>
      </c>
      <c r="F703" s="54"/>
    </row>
    <row r="704" spans="1:6" ht="15.75" thickBot="1" x14ac:dyDescent="0.3">
      <c r="A704">
        <v>27598</v>
      </c>
      <c r="B704" t="s">
        <v>245</v>
      </c>
      <c r="C704" t="s">
        <v>3205</v>
      </c>
      <c r="D704" s="75">
        <v>5.0490000000000004</v>
      </c>
      <c r="E704">
        <v>165</v>
      </c>
      <c r="F704" s="54"/>
    </row>
    <row r="705" spans="1:6" ht="15.75" thickBot="1" x14ac:dyDescent="0.3">
      <c r="A705">
        <v>27599</v>
      </c>
      <c r="B705" t="s">
        <v>640</v>
      </c>
      <c r="C705" t="s">
        <v>3206</v>
      </c>
      <c r="D705" s="75">
        <v>5.3448000000000002</v>
      </c>
      <c r="E705">
        <v>20</v>
      </c>
      <c r="F705" s="54"/>
    </row>
    <row r="706" spans="1:6" ht="15.75" thickBot="1" x14ac:dyDescent="0.3">
      <c r="A706">
        <v>27600</v>
      </c>
      <c r="B706" t="s">
        <v>228</v>
      </c>
      <c r="C706" t="s">
        <v>3207</v>
      </c>
      <c r="D706" s="75">
        <v>5.2292000000000005</v>
      </c>
      <c r="E706">
        <v>100</v>
      </c>
      <c r="F706" s="54"/>
    </row>
    <row r="707" spans="1:6" ht="15.75" thickBot="1" x14ac:dyDescent="0.3">
      <c r="A707">
        <v>27601</v>
      </c>
      <c r="B707" t="s">
        <v>692</v>
      </c>
      <c r="C707" t="s">
        <v>3208</v>
      </c>
      <c r="D707" s="75">
        <v>5.4842000000000004</v>
      </c>
      <c r="E707">
        <v>192</v>
      </c>
      <c r="F707" s="54"/>
    </row>
    <row r="708" spans="1:6" ht="15.75" thickBot="1" x14ac:dyDescent="0.3">
      <c r="A708">
        <v>27602</v>
      </c>
      <c r="B708" t="s">
        <v>3209</v>
      </c>
      <c r="C708" t="s">
        <v>3210</v>
      </c>
      <c r="D708" s="75">
        <v>8.82</v>
      </c>
      <c r="E708">
        <v>12</v>
      </c>
      <c r="F708" s="54"/>
    </row>
    <row r="709" spans="1:6" ht="15.75" thickBot="1" x14ac:dyDescent="0.3">
      <c r="A709">
        <v>27603</v>
      </c>
      <c r="B709" t="s">
        <v>247</v>
      </c>
      <c r="C709" t="s">
        <v>3211</v>
      </c>
      <c r="D709" s="75">
        <v>3.5156000000000001</v>
      </c>
      <c r="E709">
        <v>492</v>
      </c>
      <c r="F709" s="54"/>
    </row>
    <row r="710" spans="1:6" ht="15.75" thickBot="1" x14ac:dyDescent="0.3">
      <c r="A710">
        <v>27604</v>
      </c>
      <c r="B710" t="s">
        <v>230</v>
      </c>
      <c r="C710" t="s">
        <v>3212</v>
      </c>
      <c r="D710" s="75">
        <v>3.9032000000000004</v>
      </c>
      <c r="E710">
        <v>1005</v>
      </c>
      <c r="F710" s="54"/>
    </row>
    <row r="711" spans="1:6" ht="15.75" thickBot="1" x14ac:dyDescent="0.3">
      <c r="A711">
        <v>27605</v>
      </c>
      <c r="B711" t="s">
        <v>694</v>
      </c>
      <c r="C711" t="s">
        <v>3213</v>
      </c>
      <c r="D711" s="75">
        <v>4.1004000000000005</v>
      </c>
      <c r="E711">
        <v>78</v>
      </c>
      <c r="F711" s="54"/>
    </row>
    <row r="712" spans="1:6" ht="15.75" thickBot="1" x14ac:dyDescent="0.3">
      <c r="A712">
        <v>27606</v>
      </c>
      <c r="B712" t="s">
        <v>262</v>
      </c>
      <c r="C712" t="s">
        <v>3214</v>
      </c>
      <c r="D712" s="75">
        <v>6.7014000000000005</v>
      </c>
      <c r="E712">
        <v>236</v>
      </c>
      <c r="F712" s="54"/>
    </row>
    <row r="713" spans="1:6" ht="15.75" thickBot="1" x14ac:dyDescent="0.3">
      <c r="A713">
        <v>27607</v>
      </c>
      <c r="B713" t="s">
        <v>726</v>
      </c>
      <c r="C713" t="s">
        <v>3215</v>
      </c>
      <c r="D713" s="75">
        <v>7.0176000000000007</v>
      </c>
      <c r="E713">
        <v>111</v>
      </c>
      <c r="F713" s="54"/>
    </row>
    <row r="714" spans="1:6" ht="15.75" thickBot="1" x14ac:dyDescent="0.3">
      <c r="A714">
        <v>27608</v>
      </c>
      <c r="B714" t="s">
        <v>3216</v>
      </c>
      <c r="C714" t="s">
        <v>3217</v>
      </c>
      <c r="D714" s="75">
        <v>9.92</v>
      </c>
      <c r="E714">
        <v>180</v>
      </c>
      <c r="F714" s="54"/>
    </row>
    <row r="715" spans="1:6" ht="15.75" thickBot="1" x14ac:dyDescent="0.3">
      <c r="A715">
        <v>27609</v>
      </c>
      <c r="B715" t="s">
        <v>249</v>
      </c>
      <c r="C715" t="s">
        <v>3218</v>
      </c>
      <c r="D715" s="75">
        <v>4.8994</v>
      </c>
      <c r="E715">
        <v>221</v>
      </c>
      <c r="F715" s="54"/>
    </row>
    <row r="716" spans="1:6" ht="15.75" thickBot="1" x14ac:dyDescent="0.3">
      <c r="A716">
        <v>27611</v>
      </c>
      <c r="B716" t="s">
        <v>644</v>
      </c>
      <c r="C716" t="s">
        <v>3219</v>
      </c>
      <c r="D716" s="75">
        <v>5.1782000000000004</v>
      </c>
      <c r="E716">
        <v>22</v>
      </c>
      <c r="F716" s="54"/>
    </row>
    <row r="717" spans="1:6" ht="15.75" thickBot="1" x14ac:dyDescent="0.3">
      <c r="A717">
        <v>27610</v>
      </c>
      <c r="B717" t="s">
        <v>232</v>
      </c>
      <c r="C717" t="s">
        <v>3220</v>
      </c>
      <c r="D717" s="75">
        <v>5.0014000000000003</v>
      </c>
      <c r="E717">
        <v>597</v>
      </c>
      <c r="F717" s="54"/>
    </row>
    <row r="718" spans="1:6" ht="15.75" thickBot="1" x14ac:dyDescent="0.3">
      <c r="A718">
        <v>27612</v>
      </c>
      <c r="B718" t="s">
        <v>696</v>
      </c>
      <c r="C718" t="s">
        <v>3221</v>
      </c>
      <c r="D718" s="75">
        <v>5.2292000000000005</v>
      </c>
      <c r="E718">
        <v>29</v>
      </c>
      <c r="F718" s="54"/>
    </row>
    <row r="719" spans="1:6" ht="15.75" thickBot="1" x14ac:dyDescent="0.3">
      <c r="A719">
        <v>27614</v>
      </c>
      <c r="B719" t="s">
        <v>3222</v>
      </c>
      <c r="C719" t="s">
        <v>3223</v>
      </c>
      <c r="D719" s="75">
        <v>22.07</v>
      </c>
      <c r="E719">
        <v>178</v>
      </c>
      <c r="F719" s="54"/>
    </row>
    <row r="720" spans="1:6" ht="15.75" thickBot="1" x14ac:dyDescent="0.3">
      <c r="A720">
        <v>27613</v>
      </c>
      <c r="B720" t="s">
        <v>251</v>
      </c>
      <c r="C720" t="s">
        <v>3224</v>
      </c>
      <c r="D720" s="75">
        <v>3.6890000000000001</v>
      </c>
      <c r="E720">
        <v>314</v>
      </c>
      <c r="F720" s="54"/>
    </row>
    <row r="721" spans="1:6" ht="15.75" thickBot="1" x14ac:dyDescent="0.3">
      <c r="A721">
        <v>27615</v>
      </c>
      <c r="B721" t="s">
        <v>234</v>
      </c>
      <c r="C721" t="s">
        <v>3225</v>
      </c>
      <c r="D721" s="75">
        <v>4.5016000000000007</v>
      </c>
      <c r="E721">
        <v>1181</v>
      </c>
      <c r="F721" s="54"/>
    </row>
    <row r="722" spans="1:6" ht="15.75" thickBot="1" x14ac:dyDescent="0.3">
      <c r="A722">
        <v>27616</v>
      </c>
      <c r="B722" t="s">
        <v>698</v>
      </c>
      <c r="C722" t="s">
        <v>3226</v>
      </c>
      <c r="D722" s="75">
        <v>6.79</v>
      </c>
      <c r="E722">
        <v>151</v>
      </c>
      <c r="F722" s="54"/>
    </row>
    <row r="723" spans="1:6" ht="15.75" thickBot="1" x14ac:dyDescent="0.3">
      <c r="A723">
        <v>27617</v>
      </c>
      <c r="B723" t="s">
        <v>264</v>
      </c>
      <c r="C723" t="s">
        <v>3227</v>
      </c>
      <c r="D723" s="75">
        <v>7.8064000000000009</v>
      </c>
      <c r="E723">
        <v>242</v>
      </c>
      <c r="F723" s="54"/>
    </row>
    <row r="724" spans="1:6" ht="15.75" thickBot="1" x14ac:dyDescent="0.3">
      <c r="A724">
        <v>27618</v>
      </c>
      <c r="B724" t="s">
        <v>728</v>
      </c>
      <c r="C724" t="s">
        <v>3228</v>
      </c>
      <c r="D724" s="75">
        <v>8.1736000000000004</v>
      </c>
      <c r="E724">
        <v>132</v>
      </c>
      <c r="F724" s="54"/>
    </row>
    <row r="725" spans="1:6" ht="15.75" thickBot="1" x14ac:dyDescent="0.3">
      <c r="A725">
        <v>27619</v>
      </c>
      <c r="B725" t="s">
        <v>253</v>
      </c>
      <c r="C725" t="s">
        <v>3229</v>
      </c>
      <c r="D725" s="75">
        <v>6.1471999999999998</v>
      </c>
      <c r="E725">
        <v>62</v>
      </c>
      <c r="F725" s="54"/>
    </row>
    <row r="726" spans="1:6" ht="15.75" thickBot="1" x14ac:dyDescent="0.3">
      <c r="A726">
        <v>27620</v>
      </c>
      <c r="B726" t="s">
        <v>648</v>
      </c>
      <c r="C726" t="s">
        <v>3229</v>
      </c>
      <c r="D726" s="75">
        <v>6.5042</v>
      </c>
      <c r="E726">
        <v>9</v>
      </c>
      <c r="F726" s="54"/>
    </row>
    <row r="727" spans="1:6" ht="15.75" thickBot="1" x14ac:dyDescent="0.3">
      <c r="A727">
        <v>27621</v>
      </c>
      <c r="B727" t="s">
        <v>3230</v>
      </c>
      <c r="C727" t="s">
        <v>3231</v>
      </c>
      <c r="D727" s="75">
        <v>12.9</v>
      </c>
      <c r="E727">
        <v>75</v>
      </c>
      <c r="F727" s="54"/>
    </row>
    <row r="728" spans="1:6" ht="15.75" thickBot="1" x14ac:dyDescent="0.3">
      <c r="A728">
        <v>27623</v>
      </c>
      <c r="B728" t="s">
        <v>3232</v>
      </c>
      <c r="C728" t="s">
        <v>3233</v>
      </c>
      <c r="D728" s="75">
        <v>24.520500000000002</v>
      </c>
      <c r="E728">
        <v>18</v>
      </c>
      <c r="F728" s="54"/>
    </row>
    <row r="729" spans="1:6" ht="15.75" thickBot="1" x14ac:dyDescent="0.3">
      <c r="A729">
        <v>27622</v>
      </c>
      <c r="B729" t="s">
        <v>3234</v>
      </c>
      <c r="C729" t="s">
        <v>3235</v>
      </c>
      <c r="D729" s="75">
        <v>11.016</v>
      </c>
      <c r="E729">
        <v>27</v>
      </c>
      <c r="F729" s="54"/>
    </row>
    <row r="730" spans="1:6" ht="15.75" thickBot="1" x14ac:dyDescent="0.3">
      <c r="A730">
        <v>29285</v>
      </c>
      <c r="B730" t="s">
        <v>3236</v>
      </c>
      <c r="C730" t="s">
        <v>3237</v>
      </c>
      <c r="D730" s="75">
        <v>11.8125</v>
      </c>
      <c r="E730">
        <v>150</v>
      </c>
      <c r="F730" s="54"/>
    </row>
    <row r="731" spans="1:6" ht="15.75" thickBot="1" x14ac:dyDescent="0.3">
      <c r="A731">
        <v>27624</v>
      </c>
      <c r="B731" t="s">
        <v>3238</v>
      </c>
      <c r="C731" t="s">
        <v>3239</v>
      </c>
      <c r="D731" s="75">
        <v>13.8375</v>
      </c>
      <c r="E731">
        <v>24</v>
      </c>
      <c r="F731" s="54"/>
    </row>
    <row r="732" spans="1:6" ht="15.75" thickBot="1" x14ac:dyDescent="0.3">
      <c r="A732">
        <v>29283</v>
      </c>
      <c r="B732" t="s">
        <v>3240</v>
      </c>
      <c r="C732" t="s">
        <v>3241</v>
      </c>
      <c r="D732" s="75">
        <v>11.8125</v>
      </c>
      <c r="E732">
        <v>8</v>
      </c>
      <c r="F732" s="54"/>
    </row>
    <row r="733" spans="1:6" ht="15.75" thickBot="1" x14ac:dyDescent="0.3">
      <c r="A733">
        <v>27626</v>
      </c>
      <c r="B733" t="s">
        <v>3242</v>
      </c>
      <c r="C733" t="s">
        <v>3243</v>
      </c>
      <c r="D733" s="75">
        <v>11.8125</v>
      </c>
      <c r="E733">
        <v>29</v>
      </c>
      <c r="F733" s="54"/>
    </row>
    <row r="734" spans="1:6" ht="15.75" thickBot="1" x14ac:dyDescent="0.3">
      <c r="A734">
        <v>27625</v>
      </c>
      <c r="B734" t="s">
        <v>3244</v>
      </c>
      <c r="C734" t="s">
        <v>3245</v>
      </c>
      <c r="D734" s="75" t="s">
        <v>3082</v>
      </c>
      <c r="E734">
        <v>21</v>
      </c>
      <c r="F734" s="54"/>
    </row>
    <row r="735" spans="1:6" hidden="1" thickBot="1" x14ac:dyDescent="0.3">
      <c r="A735">
        <v>27627</v>
      </c>
      <c r="B735" t="s">
        <v>3246</v>
      </c>
      <c r="C735" t="s">
        <v>3247</v>
      </c>
      <c r="D735" s="1">
        <v>11.016</v>
      </c>
      <c r="E735">
        <v>0</v>
      </c>
      <c r="F735" s="54"/>
    </row>
    <row r="736" spans="1:6" ht="15.75" thickBot="1" x14ac:dyDescent="0.3">
      <c r="A736">
        <v>27628</v>
      </c>
      <c r="B736" t="s">
        <v>3248</v>
      </c>
      <c r="C736" t="s">
        <v>3249</v>
      </c>
      <c r="D736" s="75">
        <v>13.8375</v>
      </c>
      <c r="E736">
        <v>16</v>
      </c>
      <c r="F736" s="54"/>
    </row>
    <row r="737" spans="1:6" hidden="1" thickBot="1" x14ac:dyDescent="0.3">
      <c r="A737">
        <v>27629</v>
      </c>
      <c r="B737" t="s">
        <v>3250</v>
      </c>
      <c r="C737" t="s">
        <v>3251</v>
      </c>
      <c r="D737" s="1">
        <v>8.82</v>
      </c>
      <c r="E737">
        <v>0</v>
      </c>
      <c r="F737" s="54"/>
    </row>
    <row r="738" spans="1:6" hidden="1" thickBot="1" x14ac:dyDescent="0.3">
      <c r="A738">
        <v>27630</v>
      </c>
      <c r="B738" t="s">
        <v>3252</v>
      </c>
      <c r="C738" t="s">
        <v>3253</v>
      </c>
      <c r="D738" s="1">
        <v>12.9015</v>
      </c>
      <c r="E738">
        <v>0</v>
      </c>
      <c r="F738" s="54"/>
    </row>
    <row r="739" spans="1:6" ht="15.75" thickBot="1" x14ac:dyDescent="0.3">
      <c r="A739">
        <v>29302</v>
      </c>
      <c r="B739" t="s">
        <v>3254</v>
      </c>
      <c r="C739" t="s">
        <v>3255</v>
      </c>
      <c r="D739" s="75">
        <v>13.8375</v>
      </c>
      <c r="E739">
        <v>12</v>
      </c>
      <c r="F739" s="54"/>
    </row>
    <row r="740" spans="1:6" hidden="1" thickBot="1" x14ac:dyDescent="0.3">
      <c r="A740">
        <v>27631</v>
      </c>
      <c r="B740" t="s">
        <v>3256</v>
      </c>
      <c r="C740" t="s">
        <v>3257</v>
      </c>
      <c r="D740" s="1">
        <v>11.8125</v>
      </c>
      <c r="E740">
        <v>0</v>
      </c>
      <c r="F740" s="54"/>
    </row>
    <row r="741" spans="1:6" ht="15.75" thickBot="1" x14ac:dyDescent="0.3">
      <c r="A741">
        <v>27632</v>
      </c>
      <c r="B741" t="s">
        <v>3258</v>
      </c>
      <c r="C741" t="s">
        <v>3259</v>
      </c>
      <c r="D741" s="75">
        <v>11.8125</v>
      </c>
      <c r="E741">
        <v>138</v>
      </c>
      <c r="F741" s="54"/>
    </row>
    <row r="742" spans="1:6" hidden="1" thickBot="1" x14ac:dyDescent="0.3">
      <c r="A742">
        <v>27633</v>
      </c>
      <c r="B742" t="s">
        <v>3260</v>
      </c>
      <c r="C742" t="s">
        <v>3261</v>
      </c>
      <c r="D742" s="1">
        <v>11.610000000000001</v>
      </c>
      <c r="E742">
        <v>0</v>
      </c>
      <c r="F742" s="54"/>
    </row>
    <row r="743" spans="1:6" ht="15.75" thickBot="1" x14ac:dyDescent="0.3">
      <c r="A743">
        <v>27634</v>
      </c>
      <c r="B743" t="s">
        <v>255</v>
      </c>
      <c r="C743" t="s">
        <v>3262</v>
      </c>
      <c r="D743" s="75">
        <v>5.6882000000000001</v>
      </c>
      <c r="E743">
        <v>83</v>
      </c>
      <c r="F743" s="54"/>
    </row>
    <row r="744" spans="1:6" ht="15.75" thickBot="1" x14ac:dyDescent="0.3">
      <c r="A744">
        <v>27635</v>
      </c>
      <c r="B744" t="s">
        <v>236</v>
      </c>
      <c r="C744" t="s">
        <v>3263</v>
      </c>
      <c r="D744" s="75">
        <v>6.5042</v>
      </c>
      <c r="E744">
        <v>185</v>
      </c>
      <c r="F744" s="54"/>
    </row>
    <row r="745" spans="1:6" ht="15.75" thickBot="1" x14ac:dyDescent="0.3">
      <c r="A745">
        <v>27637</v>
      </c>
      <c r="B745" t="s">
        <v>3264</v>
      </c>
      <c r="C745" t="s">
        <v>3265</v>
      </c>
      <c r="D745" s="75">
        <v>11.610000000000001</v>
      </c>
      <c r="E745">
        <v>28</v>
      </c>
      <c r="F745" s="54"/>
    </row>
    <row r="746" spans="1:6" ht="15.75" thickBot="1" x14ac:dyDescent="0.3">
      <c r="A746">
        <v>27636</v>
      </c>
      <c r="B746" t="s">
        <v>256</v>
      </c>
      <c r="C746" t="s">
        <v>3266</v>
      </c>
      <c r="D746" s="75">
        <v>5.2020000000000008</v>
      </c>
      <c r="E746">
        <v>28</v>
      </c>
      <c r="F746" s="54"/>
    </row>
    <row r="747" spans="1:6" ht="15.75" thickBot="1" x14ac:dyDescent="0.3">
      <c r="A747">
        <v>27638</v>
      </c>
      <c r="B747" t="s">
        <v>238</v>
      </c>
      <c r="C747" t="s">
        <v>3267</v>
      </c>
      <c r="D747" s="75">
        <v>5.3584000000000005</v>
      </c>
      <c r="E747">
        <v>384</v>
      </c>
      <c r="F747" s="54"/>
    </row>
    <row r="748" spans="1:6" ht="15.75" thickBot="1" x14ac:dyDescent="0.3">
      <c r="A748">
        <v>27639</v>
      </c>
      <c r="B748" t="s">
        <v>702</v>
      </c>
      <c r="C748" t="s">
        <v>3268</v>
      </c>
      <c r="D748" s="75">
        <v>5.6202000000000005</v>
      </c>
      <c r="E748">
        <v>108</v>
      </c>
      <c r="F748" s="54"/>
    </row>
    <row r="749" spans="1:6" ht="15.75" thickBot="1" x14ac:dyDescent="0.3">
      <c r="A749">
        <v>27640</v>
      </c>
      <c r="B749" t="s">
        <v>3269</v>
      </c>
      <c r="C749" t="s">
        <v>3270</v>
      </c>
      <c r="D749" s="75">
        <v>11.61</v>
      </c>
      <c r="E749">
        <v>20</v>
      </c>
      <c r="F749" s="54"/>
    </row>
    <row r="750" spans="1:6" ht="15.75" thickBot="1" x14ac:dyDescent="0.3">
      <c r="A750">
        <v>29305</v>
      </c>
      <c r="B750" t="s">
        <v>3271</v>
      </c>
      <c r="C750" t="s">
        <v>3272</v>
      </c>
      <c r="D750" s="75" t="s">
        <v>3082</v>
      </c>
      <c r="E750">
        <v>11</v>
      </c>
      <c r="F750" s="54"/>
    </row>
    <row r="751" spans="1:6" ht="15.75" thickBot="1" x14ac:dyDescent="0.3">
      <c r="A751">
        <v>27641</v>
      </c>
      <c r="B751" t="s">
        <v>3273</v>
      </c>
      <c r="C751" t="s">
        <v>3274</v>
      </c>
      <c r="D751" s="75">
        <v>9.9179999999999993</v>
      </c>
      <c r="E751">
        <v>144</v>
      </c>
      <c r="F751" s="54"/>
    </row>
    <row r="752" spans="1:6" ht="15.75" thickBot="1" x14ac:dyDescent="0.3">
      <c r="A752">
        <v>27642</v>
      </c>
      <c r="B752" t="s">
        <v>3275</v>
      </c>
      <c r="C752" t="s">
        <v>3276</v>
      </c>
      <c r="D752" s="75">
        <v>11.610000000000001</v>
      </c>
      <c r="E752">
        <v>134</v>
      </c>
      <c r="F752" s="54"/>
    </row>
    <row r="753" spans="1:6" ht="15.75" thickBot="1" x14ac:dyDescent="0.3">
      <c r="A753">
        <v>27643</v>
      </c>
      <c r="B753" t="s">
        <v>257</v>
      </c>
      <c r="C753" t="s">
        <v>3277</v>
      </c>
      <c r="D753" s="75">
        <v>4.2772000000000006</v>
      </c>
      <c r="E753">
        <v>53</v>
      </c>
      <c r="F753" s="54"/>
    </row>
    <row r="754" spans="1:6" ht="15.75" thickBot="1" x14ac:dyDescent="0.3">
      <c r="A754">
        <v>27644</v>
      </c>
      <c r="B754" t="s">
        <v>240</v>
      </c>
      <c r="C754" t="s">
        <v>3278</v>
      </c>
      <c r="D754" s="75">
        <v>5.2020000000000008</v>
      </c>
      <c r="E754">
        <v>138</v>
      </c>
      <c r="F754" s="54"/>
    </row>
    <row r="755" spans="1:6" ht="15.75" thickBot="1" x14ac:dyDescent="0.3">
      <c r="A755">
        <v>27645</v>
      </c>
      <c r="B755" t="s">
        <v>705</v>
      </c>
      <c r="C755" t="s">
        <v>3279</v>
      </c>
      <c r="D755" s="75">
        <v>5.44</v>
      </c>
      <c r="E755">
        <v>84</v>
      </c>
      <c r="F755" s="54"/>
    </row>
    <row r="756" spans="1:6" ht="15.75" thickBot="1" x14ac:dyDescent="0.3">
      <c r="A756">
        <v>27646</v>
      </c>
      <c r="B756" t="s">
        <v>266</v>
      </c>
      <c r="C756" t="s">
        <v>3280</v>
      </c>
      <c r="D756" s="75">
        <v>8.5510000000000002</v>
      </c>
      <c r="E756">
        <v>138</v>
      </c>
      <c r="F756" s="54"/>
    </row>
    <row r="757" spans="1:6" ht="15.75" thickBot="1" x14ac:dyDescent="0.3">
      <c r="A757">
        <v>27648</v>
      </c>
      <c r="B757" t="s">
        <v>258</v>
      </c>
      <c r="C757" t="s">
        <v>3281</v>
      </c>
      <c r="D757" s="75">
        <v>4.2738000000000005</v>
      </c>
      <c r="E757">
        <v>94</v>
      </c>
      <c r="F757" s="54"/>
    </row>
    <row r="758" spans="1:6" ht="15.75" thickBot="1" x14ac:dyDescent="0.3">
      <c r="A758">
        <v>27647</v>
      </c>
      <c r="B758" t="s">
        <v>242</v>
      </c>
      <c r="C758" t="s">
        <v>3282</v>
      </c>
      <c r="D758" s="75">
        <v>5.593</v>
      </c>
      <c r="E758">
        <v>206</v>
      </c>
      <c r="F758" s="54"/>
    </row>
    <row r="759" spans="1:6" ht="15.75" thickBot="1" x14ac:dyDescent="0.3">
      <c r="A759">
        <v>27649</v>
      </c>
      <c r="B759" t="s">
        <v>707</v>
      </c>
      <c r="C759" t="s">
        <v>3283</v>
      </c>
      <c r="D759" s="75">
        <v>5.8684000000000012</v>
      </c>
      <c r="E759">
        <v>60</v>
      </c>
      <c r="F759" s="54"/>
    </row>
    <row r="760" spans="1:6" ht="15.75" thickBot="1" x14ac:dyDescent="0.3">
      <c r="A760">
        <v>27650</v>
      </c>
      <c r="B760" t="s">
        <v>3284</v>
      </c>
      <c r="C760" t="s">
        <v>3285</v>
      </c>
      <c r="D760" s="75" t="s">
        <v>3082</v>
      </c>
      <c r="E760">
        <v>34</v>
      </c>
      <c r="F760" s="54"/>
    </row>
    <row r="761" spans="1:6" ht="15.75" thickBot="1" x14ac:dyDescent="0.3">
      <c r="A761">
        <v>27654</v>
      </c>
      <c r="B761" t="s">
        <v>3286</v>
      </c>
      <c r="C761" t="s">
        <v>3287</v>
      </c>
      <c r="D761" s="75">
        <v>11.8125</v>
      </c>
      <c r="E761">
        <v>19</v>
      </c>
      <c r="F761" s="54"/>
    </row>
    <row r="762" spans="1:6" ht="15.75" thickBot="1" x14ac:dyDescent="0.3">
      <c r="A762">
        <v>27652</v>
      </c>
      <c r="B762" t="s">
        <v>3288</v>
      </c>
      <c r="C762" t="s">
        <v>3289</v>
      </c>
      <c r="D762" s="75" t="s">
        <v>3082</v>
      </c>
      <c r="E762">
        <v>12</v>
      </c>
      <c r="F762" s="54"/>
    </row>
    <row r="763" spans="1:6" hidden="1" thickBot="1" x14ac:dyDescent="0.3">
      <c r="A763">
        <v>27651</v>
      </c>
      <c r="B763" t="s">
        <v>259</v>
      </c>
      <c r="C763" t="s">
        <v>3290</v>
      </c>
      <c r="D763" s="1">
        <v>6.7864000000000004</v>
      </c>
      <c r="E763">
        <v>0</v>
      </c>
      <c r="F763" s="54"/>
    </row>
    <row r="764" spans="1:6" ht="15.75" thickBot="1" x14ac:dyDescent="0.3">
      <c r="A764">
        <v>27653</v>
      </c>
      <c r="B764" t="s">
        <v>3291</v>
      </c>
      <c r="C764" t="s">
        <v>3292</v>
      </c>
      <c r="D764" s="75">
        <v>13.8375</v>
      </c>
      <c r="E764">
        <v>248</v>
      </c>
      <c r="F764" s="54"/>
    </row>
    <row r="765" spans="1:6" hidden="1" thickBot="1" x14ac:dyDescent="0.3">
      <c r="A765">
        <v>27655</v>
      </c>
      <c r="B765" t="s">
        <v>3293</v>
      </c>
      <c r="C765" t="s">
        <v>3294</v>
      </c>
      <c r="D765" s="1" t="s">
        <v>3082</v>
      </c>
      <c r="E765">
        <v>0</v>
      </c>
      <c r="F765" s="54"/>
    </row>
    <row r="766" spans="1:6" hidden="1" thickBot="1" x14ac:dyDescent="0.3">
      <c r="A766">
        <v>27656</v>
      </c>
      <c r="B766" t="s">
        <v>3295</v>
      </c>
      <c r="C766" t="s">
        <v>3296</v>
      </c>
      <c r="D766" s="1">
        <v>12.7125</v>
      </c>
      <c r="E766">
        <v>0</v>
      </c>
      <c r="F766" s="54"/>
    </row>
    <row r="767" spans="1:6" hidden="1" thickBot="1" x14ac:dyDescent="0.3">
      <c r="A767">
        <v>27657</v>
      </c>
      <c r="B767" t="s">
        <v>3297</v>
      </c>
      <c r="C767" t="s">
        <v>3298</v>
      </c>
      <c r="D767" s="1">
        <v>9.9179999999999993</v>
      </c>
      <c r="E767">
        <v>0</v>
      </c>
      <c r="F767" s="54"/>
    </row>
    <row r="768" spans="1:6" ht="15.75" thickBot="1" x14ac:dyDescent="0.3">
      <c r="A768">
        <v>29292</v>
      </c>
      <c r="B768" t="s">
        <v>3299</v>
      </c>
      <c r="C768" t="s">
        <v>3300</v>
      </c>
      <c r="D768" s="75">
        <v>11.610000000000001</v>
      </c>
      <c r="E768">
        <v>36</v>
      </c>
      <c r="F768" s="54"/>
    </row>
    <row r="769" spans="1:6" ht="15.75" thickBot="1" x14ac:dyDescent="0.3">
      <c r="A769">
        <v>27658</v>
      </c>
      <c r="B769" t="s">
        <v>3301</v>
      </c>
      <c r="C769" t="s">
        <v>3302</v>
      </c>
      <c r="D769" s="75" t="s">
        <v>3082</v>
      </c>
      <c r="E769">
        <v>36</v>
      </c>
      <c r="F769" s="54"/>
    </row>
    <row r="770" spans="1:6" ht="15.75" thickBot="1" x14ac:dyDescent="0.3">
      <c r="A770">
        <v>27659</v>
      </c>
      <c r="B770" t="s">
        <v>3303</v>
      </c>
      <c r="C770" t="s">
        <v>3304</v>
      </c>
      <c r="D770" s="75" t="s">
        <v>3082</v>
      </c>
      <c r="E770">
        <v>6</v>
      </c>
      <c r="F770" s="54"/>
    </row>
    <row r="771" spans="1:6" ht="15.75" thickBot="1" x14ac:dyDescent="0.3">
      <c r="A771">
        <v>27661</v>
      </c>
      <c r="B771" t="s">
        <v>261</v>
      </c>
      <c r="C771" t="s">
        <v>3305</v>
      </c>
      <c r="D771" s="75">
        <v>3.7366000000000001</v>
      </c>
      <c r="E771">
        <v>389</v>
      </c>
      <c r="F771" s="54"/>
    </row>
    <row r="772" spans="1:6" ht="15.75" thickBot="1" x14ac:dyDescent="0.3">
      <c r="A772">
        <v>27660</v>
      </c>
      <c r="B772" t="s">
        <v>660</v>
      </c>
      <c r="C772" t="s">
        <v>3306</v>
      </c>
      <c r="D772" s="75">
        <v>3.9474</v>
      </c>
      <c r="E772">
        <v>28</v>
      </c>
      <c r="F772" s="54"/>
    </row>
    <row r="773" spans="1:6" ht="15.75" thickBot="1" x14ac:dyDescent="0.3">
      <c r="A773">
        <v>27662</v>
      </c>
      <c r="B773" t="s">
        <v>244</v>
      </c>
      <c r="C773" t="s">
        <v>3307</v>
      </c>
      <c r="D773" s="75">
        <v>4.6138000000000003</v>
      </c>
      <c r="E773">
        <v>1541</v>
      </c>
      <c r="F773" s="54"/>
    </row>
    <row r="774" spans="1:6" ht="15.75" thickBot="1" x14ac:dyDescent="0.3">
      <c r="A774">
        <v>27663</v>
      </c>
      <c r="B774" t="s">
        <v>710</v>
      </c>
      <c r="C774" t="s">
        <v>3308</v>
      </c>
      <c r="D774" s="75">
        <v>4.8246000000000002</v>
      </c>
      <c r="E774">
        <v>50</v>
      </c>
      <c r="F774" s="54"/>
    </row>
    <row r="775" spans="1:6" ht="15.75" thickBot="1" x14ac:dyDescent="0.3">
      <c r="A775">
        <v>27664</v>
      </c>
      <c r="B775" t="s">
        <v>268</v>
      </c>
      <c r="C775" t="s">
        <v>3309</v>
      </c>
      <c r="D775" s="75">
        <v>4.6138000000000003</v>
      </c>
      <c r="E775">
        <v>220</v>
      </c>
      <c r="F775" s="54"/>
    </row>
    <row r="776" spans="1:6" ht="15.75" thickBot="1" x14ac:dyDescent="0.3">
      <c r="A776">
        <v>27665</v>
      </c>
      <c r="B776" t="s">
        <v>732</v>
      </c>
      <c r="C776" t="s">
        <v>3310</v>
      </c>
      <c r="D776" s="75">
        <v>8.3844000000000012</v>
      </c>
      <c r="E776">
        <v>42</v>
      </c>
      <c r="F776" s="54"/>
    </row>
    <row r="777" spans="1:6" hidden="1" thickBot="1" x14ac:dyDescent="0.3">
      <c r="A777">
        <v>27666</v>
      </c>
      <c r="B777" t="s">
        <v>294</v>
      </c>
      <c r="C777" t="s">
        <v>3311</v>
      </c>
      <c r="D777" s="1">
        <v>32.450000000000003</v>
      </c>
      <c r="E777">
        <v>0</v>
      </c>
      <c r="F777" s="54"/>
    </row>
    <row r="778" spans="1:6" ht="15.75" thickBot="1" x14ac:dyDescent="0.3">
      <c r="A778">
        <v>27668</v>
      </c>
      <c r="B778" t="s">
        <v>263</v>
      </c>
      <c r="C778" t="s">
        <v>3312</v>
      </c>
      <c r="D778" s="75">
        <v>5.6882000000000001</v>
      </c>
      <c r="E778">
        <v>358</v>
      </c>
      <c r="F778" s="54"/>
    </row>
    <row r="779" spans="1:6" ht="15.75" thickBot="1" x14ac:dyDescent="0.3">
      <c r="A779">
        <v>27667</v>
      </c>
      <c r="B779" t="s">
        <v>265</v>
      </c>
      <c r="C779" t="s">
        <v>3313</v>
      </c>
      <c r="D779" s="75">
        <v>4.2432000000000007</v>
      </c>
      <c r="E779">
        <v>170</v>
      </c>
      <c r="F779" s="54"/>
    </row>
    <row r="780" spans="1:6" ht="15.75" thickBot="1" x14ac:dyDescent="0.3">
      <c r="A780">
        <v>27669</v>
      </c>
      <c r="B780" t="s">
        <v>246</v>
      </c>
      <c r="C780" t="s">
        <v>3314</v>
      </c>
      <c r="D780" s="75">
        <v>5.4094000000000007</v>
      </c>
      <c r="E780">
        <v>1557</v>
      </c>
      <c r="F780" s="54"/>
    </row>
    <row r="781" spans="1:6" ht="15.75" thickBot="1" x14ac:dyDescent="0.3">
      <c r="A781">
        <v>29291</v>
      </c>
      <c r="B781" t="s">
        <v>3315</v>
      </c>
      <c r="C781" t="s">
        <v>3316</v>
      </c>
      <c r="D781" s="75">
        <v>5.4094000000000007</v>
      </c>
      <c r="E781">
        <v>21</v>
      </c>
      <c r="F781" s="54"/>
    </row>
    <row r="782" spans="1:6" ht="15.75" thickBot="1" x14ac:dyDescent="0.3">
      <c r="A782">
        <v>27670</v>
      </c>
      <c r="B782" t="s">
        <v>712</v>
      </c>
      <c r="C782" t="s">
        <v>3317</v>
      </c>
      <c r="D782" s="75">
        <v>5.6712000000000007</v>
      </c>
      <c r="E782">
        <v>214</v>
      </c>
      <c r="F782" s="54"/>
    </row>
    <row r="783" spans="1:6" ht="15.75" thickBot="1" x14ac:dyDescent="0.3">
      <c r="A783">
        <v>27671</v>
      </c>
      <c r="B783" t="s">
        <v>270</v>
      </c>
      <c r="C783" t="s">
        <v>3318</v>
      </c>
      <c r="D783" s="75">
        <v>7.9934000000000012</v>
      </c>
      <c r="E783">
        <v>297</v>
      </c>
      <c r="F783" s="54"/>
    </row>
    <row r="784" spans="1:6" ht="15.75" thickBot="1" x14ac:dyDescent="0.3">
      <c r="A784">
        <v>27672</v>
      </c>
      <c r="B784" t="s">
        <v>734</v>
      </c>
      <c r="C784" t="s">
        <v>3319</v>
      </c>
      <c r="D784" s="75">
        <v>8.3844000000000012</v>
      </c>
      <c r="E784">
        <v>36</v>
      </c>
      <c r="F784" s="54"/>
    </row>
    <row r="785" spans="1:6" hidden="1" thickBot="1" x14ac:dyDescent="0.3">
      <c r="A785">
        <v>27673</v>
      </c>
      <c r="B785" t="s">
        <v>296</v>
      </c>
      <c r="C785" t="s">
        <v>3320</v>
      </c>
      <c r="D785" s="1">
        <v>9.4656000000000002</v>
      </c>
      <c r="E785">
        <v>0</v>
      </c>
      <c r="F785" s="54"/>
    </row>
    <row r="786" spans="1:6" ht="15.75" thickBot="1" x14ac:dyDescent="0.3">
      <c r="A786">
        <v>27674</v>
      </c>
      <c r="B786" t="s">
        <v>267</v>
      </c>
      <c r="C786" t="s">
        <v>3321</v>
      </c>
      <c r="D786" s="75">
        <v>4.1514000000000006</v>
      </c>
      <c r="E786">
        <v>104</v>
      </c>
      <c r="F786" s="54"/>
    </row>
    <row r="787" spans="1:6" ht="15.75" thickBot="1" x14ac:dyDescent="0.3">
      <c r="A787">
        <v>27677</v>
      </c>
      <c r="B787" t="s">
        <v>666</v>
      </c>
      <c r="C787" t="s">
        <v>3322</v>
      </c>
      <c r="D787" s="75">
        <v>4.3894000000000002</v>
      </c>
      <c r="E787">
        <v>23</v>
      </c>
      <c r="F787" s="54"/>
    </row>
    <row r="788" spans="1:6" ht="15.75" thickBot="1" x14ac:dyDescent="0.3">
      <c r="A788">
        <v>27675</v>
      </c>
      <c r="B788" t="s">
        <v>248</v>
      </c>
      <c r="C788" t="s">
        <v>3323</v>
      </c>
      <c r="D788" s="75">
        <v>5.3142000000000005</v>
      </c>
      <c r="E788">
        <v>660</v>
      </c>
      <c r="F788" s="54"/>
    </row>
    <row r="789" spans="1:6" ht="15.75" thickBot="1" x14ac:dyDescent="0.3">
      <c r="A789">
        <v>27676</v>
      </c>
      <c r="B789" t="s">
        <v>714</v>
      </c>
      <c r="C789" t="s">
        <v>3324</v>
      </c>
      <c r="D789" s="75">
        <v>5.5624000000000002</v>
      </c>
      <c r="E789">
        <v>259</v>
      </c>
      <c r="F789" s="54"/>
    </row>
    <row r="790" spans="1:6" ht="15.75" thickBot="1" x14ac:dyDescent="0.3">
      <c r="A790">
        <v>27678</v>
      </c>
      <c r="B790" t="s">
        <v>272</v>
      </c>
      <c r="C790" t="s">
        <v>3325</v>
      </c>
      <c r="D790" s="75">
        <v>8.894400000000001</v>
      </c>
      <c r="E790">
        <v>113</v>
      </c>
      <c r="F790" s="54"/>
    </row>
    <row r="791" spans="1:6" ht="15.75" thickBot="1" x14ac:dyDescent="0.3">
      <c r="A791">
        <v>27679</v>
      </c>
      <c r="B791" t="s">
        <v>736</v>
      </c>
      <c r="C791" t="s">
        <v>3326</v>
      </c>
      <c r="D791" s="75">
        <v>9.3092000000000006</v>
      </c>
      <c r="E791">
        <v>108</v>
      </c>
      <c r="F791" s="54"/>
    </row>
    <row r="792" spans="1:6" ht="15.75" thickBot="1" x14ac:dyDescent="0.3">
      <c r="A792">
        <v>27680</v>
      </c>
      <c r="B792" t="s">
        <v>269</v>
      </c>
      <c r="C792" t="s">
        <v>3327</v>
      </c>
      <c r="D792" s="75">
        <v>5.5964000000000009</v>
      </c>
      <c r="E792">
        <v>283</v>
      </c>
      <c r="F792" s="54"/>
    </row>
    <row r="793" spans="1:6" ht="15.75" thickBot="1" x14ac:dyDescent="0.3">
      <c r="A793">
        <v>27681</v>
      </c>
      <c r="B793" t="s">
        <v>250</v>
      </c>
      <c r="C793" t="s">
        <v>3328</v>
      </c>
      <c r="D793" s="75">
        <v>7.9798</v>
      </c>
      <c r="E793">
        <v>280</v>
      </c>
      <c r="F793" s="54"/>
    </row>
    <row r="794" spans="1:6" ht="15.75" thickBot="1" x14ac:dyDescent="0.3">
      <c r="A794">
        <v>27682</v>
      </c>
      <c r="B794" t="s">
        <v>716</v>
      </c>
      <c r="C794" t="s">
        <v>3329</v>
      </c>
      <c r="D794" s="75">
        <v>8.3572000000000006</v>
      </c>
      <c r="E794">
        <v>58</v>
      </c>
      <c r="F794" s="54"/>
    </row>
    <row r="795" spans="1:6" ht="15.75" thickBot="1" x14ac:dyDescent="0.3">
      <c r="A795">
        <v>27683</v>
      </c>
      <c r="B795" t="s">
        <v>3330</v>
      </c>
      <c r="C795" t="s">
        <v>3331</v>
      </c>
      <c r="D795" s="75" t="s">
        <v>3082</v>
      </c>
      <c r="E795">
        <v>36</v>
      </c>
      <c r="F795" s="54"/>
    </row>
    <row r="796" spans="1:6" ht="15.75" thickBot="1" x14ac:dyDescent="0.3">
      <c r="A796">
        <v>27684</v>
      </c>
      <c r="B796" t="s">
        <v>3332</v>
      </c>
      <c r="C796" t="s">
        <v>3333</v>
      </c>
      <c r="D796" s="75" t="s">
        <v>3082</v>
      </c>
      <c r="E796">
        <v>78</v>
      </c>
      <c r="F796" s="54"/>
    </row>
    <row r="797" spans="1:6" ht="15.75" thickBot="1" x14ac:dyDescent="0.3">
      <c r="A797">
        <v>29284</v>
      </c>
      <c r="B797" t="s">
        <v>3334</v>
      </c>
      <c r="C797" t="s">
        <v>3335</v>
      </c>
      <c r="D797" s="75">
        <v>12.7125</v>
      </c>
      <c r="E797">
        <v>32</v>
      </c>
      <c r="F797" s="54"/>
    </row>
    <row r="798" spans="1:6" ht="15.75" thickBot="1" x14ac:dyDescent="0.3">
      <c r="A798">
        <v>29300</v>
      </c>
      <c r="B798" t="s">
        <v>3336</v>
      </c>
      <c r="C798" t="s">
        <v>3337</v>
      </c>
      <c r="D798" s="75">
        <v>12.7125</v>
      </c>
      <c r="E798">
        <v>36</v>
      </c>
      <c r="F798" s="54"/>
    </row>
    <row r="799" spans="1:6" ht="15.75" thickBot="1" x14ac:dyDescent="0.3">
      <c r="A799">
        <v>27686</v>
      </c>
      <c r="B799" t="s">
        <v>3338</v>
      </c>
      <c r="C799" t="s">
        <v>3339</v>
      </c>
      <c r="D799" s="75">
        <v>11.016</v>
      </c>
      <c r="E799">
        <v>24</v>
      </c>
      <c r="F799" s="54"/>
    </row>
    <row r="800" spans="1:6" hidden="1" thickBot="1" x14ac:dyDescent="0.3">
      <c r="A800">
        <v>27685</v>
      </c>
      <c r="B800" t="s">
        <v>3340</v>
      </c>
      <c r="C800" t="s">
        <v>3341</v>
      </c>
      <c r="D800" s="1">
        <v>11.8125</v>
      </c>
      <c r="E800">
        <v>0</v>
      </c>
      <c r="F800" s="54"/>
    </row>
    <row r="801" spans="1:6" ht="15.75" thickBot="1" x14ac:dyDescent="0.3">
      <c r="A801">
        <v>27687</v>
      </c>
      <c r="B801" t="s">
        <v>271</v>
      </c>
      <c r="C801" t="s">
        <v>3342</v>
      </c>
      <c r="D801" s="75">
        <v>6.3308000000000009</v>
      </c>
      <c r="E801">
        <v>141</v>
      </c>
      <c r="F801" s="54"/>
    </row>
    <row r="802" spans="1:6" ht="15.75" thickBot="1" x14ac:dyDescent="0.3">
      <c r="A802">
        <v>29296</v>
      </c>
      <c r="B802" t="s">
        <v>3343</v>
      </c>
      <c r="C802" t="s">
        <v>3344</v>
      </c>
      <c r="D802" s="75">
        <v>14.868</v>
      </c>
      <c r="E802">
        <v>24</v>
      </c>
      <c r="F802" s="54"/>
    </row>
    <row r="803" spans="1:6" ht="15.75" thickBot="1" x14ac:dyDescent="0.3">
      <c r="A803">
        <v>27688</v>
      </c>
      <c r="B803" t="s">
        <v>3345</v>
      </c>
      <c r="C803" t="s">
        <v>3346</v>
      </c>
      <c r="D803" s="75">
        <v>26.307000000000002</v>
      </c>
      <c r="E803">
        <v>72</v>
      </c>
      <c r="F803" s="54"/>
    </row>
    <row r="804" spans="1:6" ht="15.75" thickBot="1" x14ac:dyDescent="0.3">
      <c r="A804">
        <v>27689</v>
      </c>
      <c r="B804" t="s">
        <v>273</v>
      </c>
      <c r="C804" t="s">
        <v>3347</v>
      </c>
      <c r="D804" s="75">
        <v>4.8484000000000007</v>
      </c>
      <c r="E804">
        <v>315</v>
      </c>
      <c r="F804" s="54"/>
    </row>
    <row r="805" spans="1:6" ht="15.75" thickBot="1" x14ac:dyDescent="0.3">
      <c r="A805">
        <v>27690</v>
      </c>
      <c r="B805" t="s">
        <v>252</v>
      </c>
      <c r="C805" t="s">
        <v>3348</v>
      </c>
      <c r="D805" s="75">
        <v>6.0146000000000006</v>
      </c>
      <c r="E805">
        <v>1477</v>
      </c>
      <c r="F805" s="54"/>
    </row>
    <row r="806" spans="1:6" ht="15.75" thickBot="1" x14ac:dyDescent="0.3">
      <c r="A806">
        <v>27691</v>
      </c>
      <c r="B806" t="s">
        <v>718</v>
      </c>
      <c r="C806" t="s">
        <v>3349</v>
      </c>
      <c r="D806" s="75">
        <v>6.3036000000000003</v>
      </c>
      <c r="E806">
        <v>934</v>
      </c>
      <c r="F806" s="54"/>
    </row>
    <row r="807" spans="1:6" ht="15.75" thickBot="1" x14ac:dyDescent="0.3">
      <c r="A807">
        <v>27692</v>
      </c>
      <c r="B807" t="s">
        <v>3350</v>
      </c>
      <c r="C807" t="s">
        <v>3351</v>
      </c>
      <c r="D807" s="75" t="s">
        <v>3082</v>
      </c>
      <c r="E807">
        <v>1460</v>
      </c>
      <c r="F807" s="54"/>
    </row>
    <row r="808" spans="1:6" hidden="1" thickBot="1" x14ac:dyDescent="0.3">
      <c r="A808">
        <v>27693</v>
      </c>
      <c r="B808" t="s">
        <v>3352</v>
      </c>
      <c r="C808" t="s">
        <v>3353</v>
      </c>
      <c r="D808" s="1">
        <v>10.118400000000001</v>
      </c>
      <c r="E808">
        <v>0</v>
      </c>
      <c r="F808" s="54"/>
    </row>
    <row r="809" spans="1:6" ht="15.75" thickBot="1" x14ac:dyDescent="0.3">
      <c r="A809">
        <v>27694</v>
      </c>
      <c r="B809" t="s">
        <v>3354</v>
      </c>
      <c r="C809" t="s">
        <v>3355</v>
      </c>
      <c r="D809" s="75">
        <v>10.5944</v>
      </c>
      <c r="E809">
        <v>20</v>
      </c>
      <c r="F809" s="54"/>
    </row>
    <row r="810" spans="1:6" hidden="1" thickBot="1" x14ac:dyDescent="0.3">
      <c r="A810">
        <v>27695</v>
      </c>
      <c r="B810" t="s">
        <v>3356</v>
      </c>
      <c r="C810" t="s">
        <v>3357</v>
      </c>
      <c r="D810" s="1" t="s">
        <v>3082</v>
      </c>
      <c r="E810">
        <v>0</v>
      </c>
      <c r="F810" s="54"/>
    </row>
    <row r="811" spans="1:6" hidden="1" thickBot="1" x14ac:dyDescent="0.3">
      <c r="A811">
        <v>27696</v>
      </c>
      <c r="B811" t="s">
        <v>300</v>
      </c>
      <c r="C811" t="s">
        <v>3358</v>
      </c>
      <c r="D811" s="1">
        <v>41.09</v>
      </c>
      <c r="E811">
        <v>0</v>
      </c>
      <c r="F811" s="54"/>
    </row>
    <row r="812" spans="1:6" ht="15.75" thickBot="1" x14ac:dyDescent="0.3">
      <c r="A812">
        <v>27697</v>
      </c>
      <c r="B812" t="s">
        <v>275</v>
      </c>
      <c r="C812" t="s">
        <v>3359</v>
      </c>
      <c r="D812" s="75">
        <v>7.5004</v>
      </c>
      <c r="E812">
        <v>33</v>
      </c>
      <c r="F812" s="54"/>
    </row>
    <row r="813" spans="1:6" ht="15.75" thickBot="1" x14ac:dyDescent="0.3">
      <c r="A813">
        <v>29308</v>
      </c>
      <c r="B813" t="s">
        <v>3360</v>
      </c>
      <c r="C813" t="s">
        <v>3361</v>
      </c>
      <c r="D813" s="75" t="s">
        <v>3082</v>
      </c>
      <c r="E813">
        <v>24</v>
      </c>
      <c r="F813" s="54"/>
    </row>
    <row r="814" spans="1:6" ht="15.75" thickBot="1" x14ac:dyDescent="0.3">
      <c r="A814">
        <v>29303</v>
      </c>
      <c r="B814" t="s">
        <v>3362</v>
      </c>
      <c r="C814" t="s">
        <v>3363</v>
      </c>
      <c r="D814" s="75" t="s">
        <v>3082</v>
      </c>
      <c r="E814">
        <v>10</v>
      </c>
      <c r="F814" s="54"/>
    </row>
    <row r="815" spans="1:6" ht="15.75" thickBot="1" x14ac:dyDescent="0.3">
      <c r="A815">
        <v>27700</v>
      </c>
      <c r="B815" t="s">
        <v>277</v>
      </c>
      <c r="C815" t="s">
        <v>3364</v>
      </c>
      <c r="D815" s="75">
        <v>5.2088000000000001</v>
      </c>
      <c r="E815">
        <v>35</v>
      </c>
      <c r="F815" s="54"/>
    </row>
    <row r="816" spans="1:6" ht="15.75" thickBot="1" x14ac:dyDescent="0.3">
      <c r="A816">
        <v>27698</v>
      </c>
      <c r="B816" t="s">
        <v>254</v>
      </c>
      <c r="C816" t="s">
        <v>3365</v>
      </c>
      <c r="D816" s="75">
        <v>7.0686</v>
      </c>
      <c r="E816">
        <v>144</v>
      </c>
      <c r="F816" s="54"/>
    </row>
    <row r="817" spans="1:6" ht="15.75" thickBot="1" x14ac:dyDescent="0.3">
      <c r="A817">
        <v>27701</v>
      </c>
      <c r="B817" t="s">
        <v>721</v>
      </c>
      <c r="C817" t="s">
        <v>3366</v>
      </c>
      <c r="D817" s="75">
        <v>9.6628000000000007</v>
      </c>
      <c r="E817">
        <v>70</v>
      </c>
      <c r="F817" s="54"/>
    </row>
    <row r="818" spans="1:6" ht="15.75" thickBot="1" x14ac:dyDescent="0.3">
      <c r="A818">
        <v>27699</v>
      </c>
      <c r="B818" t="s">
        <v>3367</v>
      </c>
      <c r="C818" t="s">
        <v>3368</v>
      </c>
      <c r="D818" s="75">
        <v>13.464</v>
      </c>
      <c r="E818">
        <v>78</v>
      </c>
      <c r="F818" s="54"/>
    </row>
    <row r="819" spans="1:6" ht="15.75" thickBot="1" x14ac:dyDescent="0.3">
      <c r="A819">
        <v>29299</v>
      </c>
      <c r="B819" t="s">
        <v>3369</v>
      </c>
      <c r="C819" t="s">
        <v>3370</v>
      </c>
      <c r="D819" s="75">
        <v>10.305</v>
      </c>
      <c r="E819">
        <v>94</v>
      </c>
      <c r="F819" s="54"/>
    </row>
    <row r="820" spans="1:6" ht="15.75" thickBot="1" x14ac:dyDescent="0.3">
      <c r="A820">
        <v>27702</v>
      </c>
      <c r="B820" t="s">
        <v>3371</v>
      </c>
      <c r="C820" t="s">
        <v>3372</v>
      </c>
      <c r="D820" s="75">
        <v>33.133499999999998</v>
      </c>
      <c r="E820">
        <v>36</v>
      </c>
      <c r="F820" s="54"/>
    </row>
    <row r="821" spans="1:6" ht="15.75" thickBot="1" x14ac:dyDescent="0.3">
      <c r="A821">
        <v>29297</v>
      </c>
      <c r="B821" t="s">
        <v>3373</v>
      </c>
      <c r="C821" t="s">
        <v>3374</v>
      </c>
      <c r="D821" s="75">
        <v>33.133499999999998</v>
      </c>
      <c r="E821">
        <v>72</v>
      </c>
      <c r="F821" s="54"/>
    </row>
    <row r="822" spans="1:6" hidden="1" thickBot="1" x14ac:dyDescent="0.3">
      <c r="A822">
        <v>27704</v>
      </c>
      <c r="B822" t="s">
        <v>3375</v>
      </c>
      <c r="C822" t="s">
        <v>3376</v>
      </c>
      <c r="D822" s="1">
        <v>33.133499999999998</v>
      </c>
      <c r="E822">
        <v>0</v>
      </c>
      <c r="F822" s="54"/>
    </row>
    <row r="823" spans="1:6" hidden="1" thickBot="1" x14ac:dyDescent="0.3">
      <c r="A823">
        <v>27703</v>
      </c>
      <c r="B823" t="s">
        <v>3377</v>
      </c>
      <c r="C823" t="s">
        <v>3378</v>
      </c>
      <c r="D823" s="1">
        <v>6.0119999999999996</v>
      </c>
      <c r="E823">
        <v>0</v>
      </c>
      <c r="F823" s="54"/>
    </row>
    <row r="824" spans="1:6" ht="15.75" thickBot="1" x14ac:dyDescent="0.3">
      <c r="A824">
        <v>29294</v>
      </c>
      <c r="B824" t="s">
        <v>3379</v>
      </c>
      <c r="C824" t="s">
        <v>3380</v>
      </c>
      <c r="D824" s="75">
        <v>7.2135000000000007</v>
      </c>
      <c r="E824">
        <v>12</v>
      </c>
      <c r="F824" s="54"/>
    </row>
    <row r="825" spans="1:6" ht="15.75" thickBot="1" x14ac:dyDescent="0.3">
      <c r="A825">
        <v>27705</v>
      </c>
      <c r="B825" t="s">
        <v>3381</v>
      </c>
      <c r="C825" t="s">
        <v>3382</v>
      </c>
      <c r="D825" s="75">
        <v>7.0919999999999996</v>
      </c>
      <c r="E825">
        <v>2</v>
      </c>
      <c r="F825" s="54"/>
    </row>
    <row r="826" spans="1:6" ht="15.75" thickBot="1" x14ac:dyDescent="0.3">
      <c r="A826">
        <v>27706</v>
      </c>
      <c r="B826" t="s">
        <v>3383</v>
      </c>
      <c r="C826" t="s">
        <v>3384</v>
      </c>
      <c r="D826" s="75" t="s">
        <v>3082</v>
      </c>
      <c r="E826">
        <v>144</v>
      </c>
      <c r="F826" s="54"/>
    </row>
    <row r="827" spans="1:6" ht="15.75" thickBot="1" x14ac:dyDescent="0.3">
      <c r="A827">
        <v>27707</v>
      </c>
      <c r="B827" t="s">
        <v>3385</v>
      </c>
      <c r="C827" t="s">
        <v>3386</v>
      </c>
      <c r="D827" s="75" t="s">
        <v>3082</v>
      </c>
      <c r="E827">
        <v>60</v>
      </c>
      <c r="F827" s="54"/>
    </row>
    <row r="828" spans="1:6" ht="15.75" thickBot="1" x14ac:dyDescent="0.3">
      <c r="A828">
        <v>27708</v>
      </c>
      <c r="B828" t="s">
        <v>3387</v>
      </c>
      <c r="C828" t="s">
        <v>3388</v>
      </c>
      <c r="D828" s="75">
        <v>7.9965000000000002</v>
      </c>
      <c r="E828">
        <v>144</v>
      </c>
      <c r="F828" s="54"/>
    </row>
    <row r="829" spans="1:6" ht="15.75" thickBot="1" x14ac:dyDescent="0.3">
      <c r="A829">
        <v>27710</v>
      </c>
      <c r="B829" t="s">
        <v>3389</v>
      </c>
      <c r="C829" t="s">
        <v>3390</v>
      </c>
      <c r="D829" s="75">
        <v>7.9965000000000002</v>
      </c>
      <c r="E829">
        <v>24</v>
      </c>
      <c r="F829" s="54"/>
    </row>
    <row r="830" spans="1:6" ht="15.75" thickBot="1" x14ac:dyDescent="0.3">
      <c r="A830">
        <v>29288</v>
      </c>
      <c r="B830" t="s">
        <v>3391</v>
      </c>
      <c r="C830" t="s">
        <v>3392</v>
      </c>
      <c r="D830" s="75">
        <v>11.8125</v>
      </c>
      <c r="E830">
        <v>48</v>
      </c>
      <c r="F830" s="54"/>
    </row>
    <row r="831" spans="1:6" ht="15.75" thickBot="1" x14ac:dyDescent="0.3">
      <c r="A831">
        <v>27709</v>
      </c>
      <c r="B831" t="s">
        <v>3393</v>
      </c>
      <c r="C831" t="s">
        <v>3104</v>
      </c>
      <c r="D831" s="75">
        <v>6.0119999999999996</v>
      </c>
      <c r="E831">
        <v>12</v>
      </c>
      <c r="F831" s="54"/>
    </row>
    <row r="832" spans="1:6" ht="15.75" thickBot="1" x14ac:dyDescent="0.3">
      <c r="A832">
        <v>27711</v>
      </c>
      <c r="B832" t="s">
        <v>3394</v>
      </c>
      <c r="C832" t="s">
        <v>3395</v>
      </c>
      <c r="D832" s="75">
        <v>3.859</v>
      </c>
      <c r="E832">
        <v>76</v>
      </c>
      <c r="F832" s="54"/>
    </row>
    <row r="833" spans="1:6" hidden="1" thickBot="1" x14ac:dyDescent="0.3">
      <c r="A833">
        <v>27712</v>
      </c>
      <c r="B833" t="s">
        <v>3396</v>
      </c>
      <c r="C833" t="s">
        <v>3397</v>
      </c>
      <c r="D833" s="1">
        <v>11.016</v>
      </c>
      <c r="E833">
        <v>0</v>
      </c>
      <c r="F833" s="54"/>
    </row>
    <row r="834" spans="1:6" ht="15.75" thickBot="1" x14ac:dyDescent="0.3">
      <c r="A834">
        <v>27713</v>
      </c>
      <c r="B834" t="s">
        <v>3398</v>
      </c>
      <c r="C834" t="s">
        <v>3399</v>
      </c>
      <c r="D834" s="75">
        <v>5.3584000000000005</v>
      </c>
      <c r="E834">
        <v>204</v>
      </c>
      <c r="F834" s="54"/>
    </row>
    <row r="835" spans="1:6" ht="15.75" thickBot="1" x14ac:dyDescent="0.3">
      <c r="A835">
        <v>27715</v>
      </c>
      <c r="B835" t="s">
        <v>3400</v>
      </c>
      <c r="C835" t="s">
        <v>3401</v>
      </c>
      <c r="D835" s="75">
        <v>30.114000000000001</v>
      </c>
      <c r="E835">
        <v>24</v>
      </c>
      <c r="F835" s="54"/>
    </row>
    <row r="836" spans="1:6" hidden="1" thickBot="1" x14ac:dyDescent="0.3">
      <c r="A836">
        <v>28851</v>
      </c>
      <c r="B836" t="s">
        <v>3402</v>
      </c>
      <c r="C836" t="s">
        <v>3403</v>
      </c>
      <c r="D836" s="1" t="s">
        <v>3082</v>
      </c>
      <c r="E836">
        <v>0</v>
      </c>
      <c r="F836" s="54"/>
    </row>
    <row r="837" spans="1:6" ht="15.75" thickBot="1" x14ac:dyDescent="0.3">
      <c r="A837">
        <v>27714</v>
      </c>
      <c r="B837" t="s">
        <v>3404</v>
      </c>
      <c r="C837" t="s">
        <v>3403</v>
      </c>
      <c r="D837" s="75" t="s">
        <v>3082</v>
      </c>
      <c r="E837">
        <v>600</v>
      </c>
      <c r="F837" s="54"/>
    </row>
    <row r="838" spans="1:6" hidden="1" thickBot="1" x14ac:dyDescent="0.3">
      <c r="A838">
        <v>28853</v>
      </c>
      <c r="B838" t="s">
        <v>3405</v>
      </c>
      <c r="C838" t="s">
        <v>3406</v>
      </c>
      <c r="D838" s="1" t="s">
        <v>3082</v>
      </c>
      <c r="E838">
        <v>0</v>
      </c>
      <c r="F838" s="54"/>
    </row>
    <row r="839" spans="1:6" hidden="1" thickBot="1" x14ac:dyDescent="0.3">
      <c r="A839">
        <v>28855</v>
      </c>
      <c r="B839" t="s">
        <v>3407</v>
      </c>
      <c r="C839" t="s">
        <v>2490</v>
      </c>
      <c r="E839">
        <v>0</v>
      </c>
      <c r="F839" s="54"/>
    </row>
    <row r="840" spans="1:6" hidden="1" thickBot="1" x14ac:dyDescent="0.3">
      <c r="A840">
        <v>28854</v>
      </c>
      <c r="B840" t="s">
        <v>3408</v>
      </c>
      <c r="C840" t="s">
        <v>3409</v>
      </c>
      <c r="E840">
        <v>0</v>
      </c>
      <c r="F840" s="54"/>
    </row>
    <row r="841" spans="1:6" hidden="1" thickBot="1" x14ac:dyDescent="0.3">
      <c r="A841">
        <v>28857</v>
      </c>
      <c r="B841" t="s">
        <v>3410</v>
      </c>
      <c r="C841" t="s">
        <v>3411</v>
      </c>
      <c r="E841">
        <v>0</v>
      </c>
      <c r="F841" s="54"/>
    </row>
    <row r="842" spans="1:6" hidden="1" thickBot="1" x14ac:dyDescent="0.3">
      <c r="A842">
        <v>28858</v>
      </c>
      <c r="B842" t="s">
        <v>3412</v>
      </c>
      <c r="C842" t="s">
        <v>3413</v>
      </c>
      <c r="E842">
        <v>0</v>
      </c>
      <c r="F842" s="54"/>
    </row>
    <row r="843" spans="1:6" hidden="1" thickBot="1" x14ac:dyDescent="0.3">
      <c r="A843">
        <v>27716</v>
      </c>
      <c r="B843" t="s">
        <v>3414</v>
      </c>
      <c r="C843" t="s">
        <v>3415</v>
      </c>
      <c r="E843">
        <v>0</v>
      </c>
      <c r="F843" s="54"/>
    </row>
    <row r="844" spans="1:6" hidden="1" thickBot="1" x14ac:dyDescent="0.3">
      <c r="A844">
        <v>28856</v>
      </c>
      <c r="B844" t="s">
        <v>3416</v>
      </c>
      <c r="C844" t="s">
        <v>3417</v>
      </c>
      <c r="E844">
        <v>0</v>
      </c>
      <c r="F844" s="54"/>
    </row>
    <row r="845" spans="1:6" hidden="1" thickBot="1" x14ac:dyDescent="0.3">
      <c r="A845">
        <v>28859</v>
      </c>
      <c r="B845" t="s">
        <v>3418</v>
      </c>
      <c r="C845" t="s">
        <v>3419</v>
      </c>
      <c r="E845">
        <v>0</v>
      </c>
      <c r="F845" s="54"/>
    </row>
    <row r="846" spans="1:6" hidden="1" thickBot="1" x14ac:dyDescent="0.3">
      <c r="A846">
        <v>28861</v>
      </c>
      <c r="B846" t="s">
        <v>3420</v>
      </c>
      <c r="C846" t="s">
        <v>3421</v>
      </c>
      <c r="E846">
        <v>0</v>
      </c>
      <c r="F846" s="54"/>
    </row>
    <row r="847" spans="1:6" hidden="1" thickBot="1" x14ac:dyDescent="0.3">
      <c r="A847">
        <v>28862</v>
      </c>
      <c r="B847" t="s">
        <v>3422</v>
      </c>
      <c r="C847" t="s">
        <v>3423</v>
      </c>
      <c r="E847">
        <v>0</v>
      </c>
      <c r="F847" s="54"/>
    </row>
    <row r="848" spans="1:6" hidden="1" thickBot="1" x14ac:dyDescent="0.3">
      <c r="A848">
        <v>28860</v>
      </c>
      <c r="B848" t="s">
        <v>3424</v>
      </c>
      <c r="C848" t="s">
        <v>3425</v>
      </c>
      <c r="E848">
        <v>0</v>
      </c>
      <c r="F848" s="54"/>
    </row>
    <row r="849" spans="1:8" hidden="1" thickBot="1" x14ac:dyDescent="0.3">
      <c r="A849">
        <v>28863</v>
      </c>
      <c r="B849" t="s">
        <v>3426</v>
      </c>
      <c r="C849" t="s">
        <v>3427</v>
      </c>
      <c r="E849">
        <v>0</v>
      </c>
      <c r="F849" s="54"/>
    </row>
    <row r="850" spans="1:8" hidden="1" thickBot="1" x14ac:dyDescent="0.3">
      <c r="A850">
        <v>27719</v>
      </c>
      <c r="B850" t="s">
        <v>3428</v>
      </c>
      <c r="C850" t="s">
        <v>3429</v>
      </c>
      <c r="E850">
        <v>0</v>
      </c>
      <c r="F850" s="54"/>
    </row>
    <row r="851" spans="1:8" hidden="1" thickBot="1" x14ac:dyDescent="0.3">
      <c r="A851">
        <v>27720</v>
      </c>
      <c r="B851" t="s">
        <v>3430</v>
      </c>
      <c r="C851" t="s">
        <v>3431</v>
      </c>
      <c r="E851">
        <v>0</v>
      </c>
      <c r="F851" s="54"/>
    </row>
    <row r="852" spans="1:8" hidden="1" thickBot="1" x14ac:dyDescent="0.3">
      <c r="A852">
        <v>27721</v>
      </c>
      <c r="B852" t="s">
        <v>3432</v>
      </c>
      <c r="C852" t="s">
        <v>3433</v>
      </c>
      <c r="E852">
        <v>0</v>
      </c>
      <c r="F852" s="54"/>
    </row>
    <row r="853" spans="1:8" hidden="1" thickBot="1" x14ac:dyDescent="0.3">
      <c r="A853">
        <v>27722</v>
      </c>
      <c r="B853" t="s">
        <v>3434</v>
      </c>
      <c r="C853" t="s">
        <v>3435</v>
      </c>
      <c r="E853">
        <v>0</v>
      </c>
      <c r="F853" s="54"/>
    </row>
    <row r="854" spans="1:8" ht="15.75" thickBot="1" x14ac:dyDescent="0.3">
      <c r="A854">
        <v>28904</v>
      </c>
      <c r="B854" t="s">
        <v>3436</v>
      </c>
      <c r="C854" t="s">
        <v>3437</v>
      </c>
      <c r="D854" s="75">
        <v>216.89</v>
      </c>
      <c r="E854">
        <v>50</v>
      </c>
      <c r="F854" s="54"/>
    </row>
    <row r="855" spans="1:8" ht="15.75" thickBot="1" x14ac:dyDescent="0.3">
      <c r="A855">
        <v>28905</v>
      </c>
      <c r="B855" t="s">
        <v>3438</v>
      </c>
      <c r="C855" t="s">
        <v>3439</v>
      </c>
      <c r="D855" s="75">
        <v>330.03</v>
      </c>
      <c r="E855">
        <v>104</v>
      </c>
      <c r="F855" s="54"/>
    </row>
    <row r="856" spans="1:8" hidden="1" thickBot="1" x14ac:dyDescent="0.3">
      <c r="A856">
        <v>28908</v>
      </c>
      <c r="B856" t="s">
        <v>3440</v>
      </c>
      <c r="C856" t="s">
        <v>3440</v>
      </c>
      <c r="D856" s="62"/>
      <c r="E856">
        <v>0</v>
      </c>
      <c r="F856" s="54"/>
    </row>
    <row r="857" spans="1:8" hidden="1" thickBot="1" x14ac:dyDescent="0.3">
      <c r="A857">
        <v>27723</v>
      </c>
      <c r="B857" t="s">
        <v>3441</v>
      </c>
      <c r="C857" t="s">
        <v>3442</v>
      </c>
      <c r="E857">
        <v>0</v>
      </c>
      <c r="F857" s="54"/>
      <c r="G857" s="1"/>
      <c r="H857" s="1"/>
    </row>
    <row r="858" spans="1:8" hidden="1" thickBot="1" x14ac:dyDescent="0.3">
      <c r="A858">
        <v>27724</v>
      </c>
      <c r="B858" t="s">
        <v>315</v>
      </c>
      <c r="C858" t="s">
        <v>3443</v>
      </c>
      <c r="D858" s="62">
        <v>5.1374000000000004</v>
      </c>
      <c r="E858">
        <v>0</v>
      </c>
      <c r="F858" s="54"/>
      <c r="G858" s="1"/>
      <c r="H858" s="1"/>
    </row>
    <row r="859" spans="1:8" hidden="1" thickBot="1" x14ac:dyDescent="0.3">
      <c r="A859">
        <v>27725</v>
      </c>
      <c r="B859" t="s">
        <v>685</v>
      </c>
      <c r="C859" t="s">
        <v>3444</v>
      </c>
      <c r="D859" s="1">
        <f>_xlfn.XLOOKUP(Table1[[#This Row],[part_number]],XM!$L$9:$L$76,XM!$O$9:$O$76)</f>
        <v>5.3244000000000007</v>
      </c>
      <c r="E859">
        <v>0</v>
      </c>
      <c r="F859" s="54"/>
      <c r="G859" s="1"/>
      <c r="H859" s="1"/>
    </row>
    <row r="860" spans="1:8" hidden="1" thickBot="1" x14ac:dyDescent="0.3">
      <c r="A860">
        <v>27728</v>
      </c>
      <c r="B860" t="s">
        <v>383</v>
      </c>
      <c r="C860" t="s">
        <v>3445</v>
      </c>
      <c r="D860" s="62">
        <v>9.2799999999999994</v>
      </c>
      <c r="E860">
        <v>0</v>
      </c>
      <c r="F860" s="54"/>
      <c r="G860" s="1"/>
      <c r="H860" s="1"/>
    </row>
    <row r="861" spans="1:8" hidden="1" thickBot="1" x14ac:dyDescent="0.3">
      <c r="A861">
        <v>27727</v>
      </c>
      <c r="B861" t="s">
        <v>725</v>
      </c>
      <c r="C861" t="s">
        <v>3446</v>
      </c>
      <c r="D861" s="1">
        <f>_xlfn.XLOOKUP(Table1[[#This Row],[part_number]],XM!$L$9:$L$76,XM!$O$9:$O$76)</f>
        <v>9.6424000000000003</v>
      </c>
      <c r="E861">
        <v>0</v>
      </c>
      <c r="F861" s="54"/>
      <c r="G861" s="1"/>
      <c r="H861" s="1"/>
    </row>
    <row r="862" spans="1:8" hidden="1" thickBot="1" x14ac:dyDescent="0.3">
      <c r="A862">
        <v>27726</v>
      </c>
      <c r="B862" t="s">
        <v>336</v>
      </c>
      <c r="C862" t="s">
        <v>3447</v>
      </c>
      <c r="D862" s="62">
        <v>7.98</v>
      </c>
      <c r="E862">
        <v>0</v>
      </c>
      <c r="F862" s="54"/>
      <c r="G862" s="1"/>
      <c r="H862" s="1"/>
    </row>
    <row r="863" spans="1:8" ht="15.75" thickBot="1" x14ac:dyDescent="0.3">
      <c r="A863">
        <v>27729</v>
      </c>
      <c r="B863" t="s">
        <v>326</v>
      </c>
      <c r="C863" t="s">
        <v>3448</v>
      </c>
      <c r="D863" s="75">
        <v>5.2088000000000001</v>
      </c>
      <c r="E863">
        <v>12</v>
      </c>
      <c r="F863" s="54"/>
      <c r="G863" s="1"/>
      <c r="H863" s="1"/>
    </row>
    <row r="864" spans="1:8" hidden="1" thickBot="1" x14ac:dyDescent="0.3">
      <c r="A864">
        <v>27730</v>
      </c>
      <c r="B864" t="s">
        <v>695</v>
      </c>
      <c r="C864" t="s">
        <v>3449</v>
      </c>
      <c r="D864" s="1">
        <f>_xlfn.XLOOKUP(Table1[[#This Row],[part_number]],XM!$L$9:$L$76,XM!$O$9:$O$76)</f>
        <v>5.4196</v>
      </c>
      <c r="E864">
        <v>0</v>
      </c>
      <c r="F864" s="54"/>
      <c r="G864" s="1"/>
      <c r="H864" s="1"/>
    </row>
    <row r="865" spans="1:8" ht="15.75" thickBot="1" x14ac:dyDescent="0.3">
      <c r="A865">
        <v>27731</v>
      </c>
      <c r="B865" t="s">
        <v>385</v>
      </c>
      <c r="C865" t="s">
        <v>3450</v>
      </c>
      <c r="D865" s="75">
        <v>9.11</v>
      </c>
      <c r="E865">
        <v>23</v>
      </c>
      <c r="F865" s="54"/>
      <c r="G865" s="1"/>
      <c r="H865" s="1"/>
    </row>
    <row r="866" spans="1:8" hidden="1" thickBot="1" x14ac:dyDescent="0.3">
      <c r="A866">
        <v>27732</v>
      </c>
      <c r="B866" t="s">
        <v>329</v>
      </c>
      <c r="C866" t="s">
        <v>3451</v>
      </c>
      <c r="D866" s="62">
        <v>6.6980000000000004</v>
      </c>
      <c r="E866">
        <v>0</v>
      </c>
      <c r="F866" s="54"/>
      <c r="G866" s="1"/>
      <c r="H866" s="1"/>
    </row>
    <row r="867" spans="1:8" hidden="1" thickBot="1" x14ac:dyDescent="0.3">
      <c r="A867">
        <v>27733</v>
      </c>
      <c r="B867" t="s">
        <v>3452</v>
      </c>
      <c r="C867" t="s">
        <v>3453</v>
      </c>
      <c r="D867" s="1">
        <v>32.58</v>
      </c>
      <c r="E867">
        <v>0</v>
      </c>
      <c r="F867" s="54"/>
      <c r="G867" s="1"/>
      <c r="H867" s="1"/>
    </row>
    <row r="868" spans="1:8" hidden="1" thickBot="1" x14ac:dyDescent="0.3">
      <c r="A868">
        <v>27734</v>
      </c>
      <c r="B868" t="s">
        <v>331</v>
      </c>
      <c r="C868" t="s">
        <v>3454</v>
      </c>
      <c r="D868" s="62">
        <v>6.0282000000000009</v>
      </c>
      <c r="E868">
        <v>0</v>
      </c>
      <c r="F868" s="54"/>
      <c r="G868" s="1"/>
      <c r="H868" s="1"/>
    </row>
    <row r="869" spans="1:8" hidden="1" thickBot="1" x14ac:dyDescent="0.3">
      <c r="A869">
        <v>27735</v>
      </c>
      <c r="B869" t="s">
        <v>699</v>
      </c>
      <c r="C869" t="s">
        <v>3455</v>
      </c>
      <c r="D869" s="1">
        <f>_xlfn.XLOOKUP(Table1[[#This Row],[part_number]],XM!$L$9:$L$76,XM!$O$9:$O$76)</f>
        <v>6.2492000000000001</v>
      </c>
      <c r="E869">
        <v>0</v>
      </c>
      <c r="F869" s="54"/>
      <c r="G869" s="1"/>
      <c r="H869" s="1"/>
    </row>
    <row r="870" spans="1:8" hidden="1" thickBot="1" x14ac:dyDescent="0.3">
      <c r="A870">
        <v>27736</v>
      </c>
      <c r="B870" t="s">
        <v>387</v>
      </c>
      <c r="C870" t="s">
        <v>3456</v>
      </c>
      <c r="D870" s="62">
        <v>10.6</v>
      </c>
      <c r="E870">
        <v>0</v>
      </c>
      <c r="F870" s="54"/>
      <c r="G870" s="1"/>
      <c r="H870" s="1"/>
    </row>
    <row r="871" spans="1:8" hidden="1" thickBot="1" x14ac:dyDescent="0.3">
      <c r="A871">
        <v>27738</v>
      </c>
      <c r="B871" t="s">
        <v>389</v>
      </c>
      <c r="C871" t="s">
        <v>3457</v>
      </c>
      <c r="D871" s="1">
        <v>11.63</v>
      </c>
      <c r="E871">
        <v>0</v>
      </c>
      <c r="F871" s="54"/>
      <c r="G871" s="1"/>
      <c r="H871" s="1"/>
    </row>
    <row r="872" spans="1:8" hidden="1" thickBot="1" x14ac:dyDescent="0.3">
      <c r="A872">
        <v>27737</v>
      </c>
      <c r="B872" t="s">
        <v>342</v>
      </c>
      <c r="C872" t="s">
        <v>3458</v>
      </c>
      <c r="D872" s="62">
        <v>6.1403999999999996</v>
      </c>
      <c r="E872">
        <v>0</v>
      </c>
      <c r="F872" s="54"/>
      <c r="G872" s="1"/>
      <c r="H872" s="1"/>
    </row>
    <row r="873" spans="1:8" hidden="1" thickBot="1" x14ac:dyDescent="0.3">
      <c r="A873">
        <v>27739</v>
      </c>
      <c r="B873" t="s">
        <v>711</v>
      </c>
      <c r="C873" t="s">
        <v>3459</v>
      </c>
      <c r="D873" s="1">
        <f>_xlfn.XLOOKUP(Table1[[#This Row],[part_number]],XM!$L$9:$L$76,XM!$O$9:$O$76)</f>
        <v>6.3580000000000005</v>
      </c>
      <c r="E873">
        <v>0</v>
      </c>
      <c r="F873" s="54"/>
      <c r="G873" s="1"/>
      <c r="H873" s="1"/>
    </row>
    <row r="874" spans="1:8" hidden="1" thickBot="1" x14ac:dyDescent="0.3">
      <c r="A874">
        <v>27740</v>
      </c>
      <c r="B874" t="s">
        <v>391</v>
      </c>
      <c r="C874" t="s">
        <v>3460</v>
      </c>
      <c r="D874" s="62">
        <v>10.86</v>
      </c>
      <c r="E874">
        <v>0</v>
      </c>
      <c r="F874" s="54"/>
      <c r="G874" s="1"/>
      <c r="H874" s="1"/>
    </row>
    <row r="875" spans="1:8" hidden="1" thickBot="1" x14ac:dyDescent="0.3">
      <c r="A875">
        <v>27743</v>
      </c>
      <c r="B875" t="s">
        <v>344</v>
      </c>
      <c r="C875" t="s">
        <v>3461</v>
      </c>
      <c r="D875" s="1">
        <v>7.2250000000000005</v>
      </c>
      <c r="E875">
        <v>0</v>
      </c>
      <c r="F875" s="54"/>
      <c r="G875" s="1"/>
      <c r="H875" s="1"/>
    </row>
    <row r="876" spans="1:8" hidden="1" thickBot="1" x14ac:dyDescent="0.3">
      <c r="A876">
        <v>27741</v>
      </c>
      <c r="B876" t="s">
        <v>713</v>
      </c>
      <c r="C876" t="s">
        <v>3462</v>
      </c>
      <c r="D876" s="1">
        <f>_xlfn.XLOOKUP(Table1[[#This Row],[part_number]],XM!$L$9:$L$76,XM!$O$9:$O$76)</f>
        <v>7.4935999999999998</v>
      </c>
      <c r="E876">
        <v>0</v>
      </c>
      <c r="F876" s="54"/>
      <c r="G876" s="1"/>
      <c r="H876" s="1"/>
    </row>
    <row r="877" spans="1:8" hidden="1" thickBot="1" x14ac:dyDescent="0.3">
      <c r="A877">
        <v>27742</v>
      </c>
      <c r="B877" t="s">
        <v>393</v>
      </c>
      <c r="C877" t="s">
        <v>3463</v>
      </c>
      <c r="D877" s="1">
        <v>12.67</v>
      </c>
      <c r="E877">
        <v>0</v>
      </c>
      <c r="F877" s="54"/>
      <c r="G877" s="1"/>
      <c r="H877" s="1"/>
    </row>
    <row r="878" spans="1:8" hidden="1" thickBot="1" x14ac:dyDescent="0.3">
      <c r="A878">
        <v>27744</v>
      </c>
      <c r="B878" t="s">
        <v>346</v>
      </c>
      <c r="C878" t="s">
        <v>3464</v>
      </c>
      <c r="D878" s="62">
        <v>7.0856000000000003</v>
      </c>
      <c r="E878">
        <v>0</v>
      </c>
      <c r="F878" s="54"/>
      <c r="G878" s="1"/>
      <c r="H878" s="1"/>
    </row>
    <row r="879" spans="1:8" hidden="1" thickBot="1" x14ac:dyDescent="0.3">
      <c r="A879">
        <v>27745</v>
      </c>
      <c r="B879" t="s">
        <v>715</v>
      </c>
      <c r="C879" t="s">
        <v>3465</v>
      </c>
      <c r="D879" s="1">
        <f>_xlfn.XLOOKUP(Table1[[#This Row],[part_number]],XM!$L$9:$L$76,XM!$O$9:$O$76)</f>
        <v>7.3508000000000004</v>
      </c>
      <c r="E879">
        <v>0</v>
      </c>
      <c r="F879" s="54"/>
      <c r="G879" s="1"/>
      <c r="H879" s="1"/>
    </row>
    <row r="880" spans="1:8" hidden="1" thickBot="1" x14ac:dyDescent="0.3">
      <c r="A880">
        <v>28906</v>
      </c>
      <c r="B880" t="s">
        <v>395</v>
      </c>
      <c r="C880" t="s">
        <v>3466</v>
      </c>
      <c r="D880" s="62">
        <v>12.46</v>
      </c>
      <c r="E880">
        <v>0</v>
      </c>
      <c r="F880" s="54"/>
      <c r="G880" s="1"/>
      <c r="H880" s="1"/>
    </row>
    <row r="881" spans="1:8" hidden="1" thickBot="1" x14ac:dyDescent="0.3">
      <c r="A881">
        <v>27746</v>
      </c>
      <c r="B881" t="s">
        <v>3467</v>
      </c>
      <c r="C881" t="s">
        <v>3445</v>
      </c>
      <c r="D881" s="1">
        <v>9.2799999999999994</v>
      </c>
      <c r="E881">
        <v>0</v>
      </c>
      <c r="F881" s="54"/>
      <c r="G881" s="1"/>
      <c r="H881" s="1"/>
    </row>
    <row r="882" spans="1:8" hidden="1" thickBot="1" x14ac:dyDescent="0.3">
      <c r="A882">
        <v>27748</v>
      </c>
      <c r="B882" t="s">
        <v>352</v>
      </c>
      <c r="C882" t="s">
        <v>3468</v>
      </c>
      <c r="D882" s="62">
        <v>8.0274000000000001</v>
      </c>
      <c r="E882">
        <v>0</v>
      </c>
      <c r="F882" s="54"/>
      <c r="G882" s="1"/>
      <c r="H882" s="1"/>
    </row>
    <row r="883" spans="1:8" hidden="1" thickBot="1" x14ac:dyDescent="0.3">
      <c r="A883">
        <v>27747</v>
      </c>
      <c r="B883" t="s">
        <v>720</v>
      </c>
      <c r="C883" t="s">
        <v>3469</v>
      </c>
      <c r="D883" s="1">
        <f>_xlfn.XLOOKUP(Table1[[#This Row],[part_number]],XM!$L$9:$L$76,XM!$O$9:$O$76)</f>
        <v>8.3368000000000002</v>
      </c>
      <c r="E883">
        <v>0</v>
      </c>
      <c r="F883" s="54"/>
      <c r="G883" s="1"/>
      <c r="H883" s="1"/>
    </row>
    <row r="884" spans="1:8" hidden="1" thickBot="1" x14ac:dyDescent="0.3">
      <c r="A884">
        <v>27750</v>
      </c>
      <c r="B884" t="s">
        <v>397</v>
      </c>
      <c r="C884" t="s">
        <v>3470</v>
      </c>
      <c r="D884" s="62">
        <v>14.17</v>
      </c>
      <c r="E884">
        <v>0</v>
      </c>
      <c r="F884" s="54"/>
      <c r="G884" s="1"/>
      <c r="H884" s="1"/>
    </row>
    <row r="885" spans="1:8" hidden="1" thickBot="1" x14ac:dyDescent="0.3">
      <c r="A885">
        <v>27749</v>
      </c>
      <c r="B885" t="s">
        <v>739</v>
      </c>
      <c r="C885" t="s">
        <v>3471</v>
      </c>
      <c r="D885" s="1">
        <f>_xlfn.XLOOKUP(Table1[[#This Row],[part_number]],XM!$L$9:$L$76,XM!$O$9:$O$76)</f>
        <v>14.711800000000002</v>
      </c>
      <c r="E885">
        <v>0</v>
      </c>
      <c r="F885" s="54"/>
      <c r="G885" s="1"/>
      <c r="H885" s="1"/>
    </row>
    <row r="886" spans="1:8" hidden="1" thickBot="1" x14ac:dyDescent="0.3">
      <c r="A886">
        <v>27751</v>
      </c>
      <c r="B886" t="s">
        <v>355</v>
      </c>
      <c r="C886" t="s">
        <v>3472</v>
      </c>
      <c r="D886" s="62">
        <v>9.3126000000000015</v>
      </c>
      <c r="E886">
        <v>0</v>
      </c>
      <c r="F886" s="54"/>
      <c r="H886" s="1"/>
    </row>
    <row r="887" spans="1:8" ht="15.75" thickBot="1" x14ac:dyDescent="0.3">
      <c r="A887">
        <v>28907</v>
      </c>
      <c r="B887" t="s">
        <v>3473</v>
      </c>
      <c r="C887" t="s">
        <v>3474</v>
      </c>
      <c r="D887" s="75" t="s">
        <v>3082</v>
      </c>
      <c r="E887">
        <v>123</v>
      </c>
      <c r="F887" s="54"/>
      <c r="H887" s="1"/>
    </row>
    <row r="888" spans="1:8" ht="15.75" thickBot="1" x14ac:dyDescent="0.3">
      <c r="A888">
        <v>27752</v>
      </c>
      <c r="B888" t="s">
        <v>405</v>
      </c>
      <c r="C888" t="s">
        <v>3475</v>
      </c>
      <c r="D888" s="75">
        <v>4.7736000000000001</v>
      </c>
      <c r="E888">
        <v>96</v>
      </c>
      <c r="F888" s="54"/>
      <c r="H888" s="1"/>
    </row>
    <row r="889" spans="1:8" ht="15.75" thickBot="1" x14ac:dyDescent="0.3">
      <c r="A889">
        <v>27753</v>
      </c>
      <c r="B889" t="s">
        <v>3476</v>
      </c>
      <c r="C889" t="s">
        <v>3477</v>
      </c>
      <c r="D889" s="75">
        <v>10.01</v>
      </c>
      <c r="E889">
        <v>168</v>
      </c>
      <c r="F889" s="54"/>
      <c r="H889" s="1"/>
    </row>
    <row r="890" spans="1:8" ht="15.75" thickBot="1" x14ac:dyDescent="0.3">
      <c r="A890">
        <v>27754</v>
      </c>
      <c r="B890" t="s">
        <v>3478</v>
      </c>
      <c r="C890" t="s">
        <v>3479</v>
      </c>
      <c r="D890" s="75">
        <v>11.86</v>
      </c>
      <c r="E890">
        <v>25</v>
      </c>
      <c r="F890" s="54"/>
      <c r="H890" s="1"/>
    </row>
    <row r="891" spans="1:8" ht="15.75" thickBot="1" x14ac:dyDescent="0.3">
      <c r="A891">
        <v>27755</v>
      </c>
      <c r="B891" t="s">
        <v>3480</v>
      </c>
      <c r="C891" t="s">
        <v>3481</v>
      </c>
      <c r="D891" s="75">
        <v>14.52</v>
      </c>
      <c r="E891">
        <v>18</v>
      </c>
      <c r="F891" s="54"/>
      <c r="H891" s="1"/>
    </row>
    <row r="892" spans="1:8" hidden="1" thickBot="1" x14ac:dyDescent="0.3">
      <c r="A892">
        <v>27756</v>
      </c>
      <c r="B892" t="s">
        <v>406</v>
      </c>
      <c r="C892" t="s">
        <v>3482</v>
      </c>
      <c r="D892" s="1">
        <v>5.0345999999999993</v>
      </c>
      <c r="E892">
        <v>0</v>
      </c>
      <c r="F892" s="54"/>
      <c r="H892" s="1"/>
    </row>
    <row r="893" spans="1:8" ht="15.75" thickBot="1" x14ac:dyDescent="0.3">
      <c r="A893">
        <v>27757</v>
      </c>
      <c r="B893" t="s">
        <v>440</v>
      </c>
      <c r="C893" t="s">
        <v>3483</v>
      </c>
      <c r="D893" s="75">
        <v>6.2172000000000001</v>
      </c>
      <c r="E893">
        <v>152</v>
      </c>
      <c r="F893" s="54"/>
      <c r="H893" s="1"/>
    </row>
    <row r="894" spans="1:8" hidden="1" thickBot="1" x14ac:dyDescent="0.3">
      <c r="A894">
        <v>27758</v>
      </c>
      <c r="B894" t="s">
        <v>407</v>
      </c>
      <c r="C894" t="s">
        <v>3484</v>
      </c>
      <c r="D894" s="1">
        <v>7.3565999999999994</v>
      </c>
      <c r="E894">
        <v>0</v>
      </c>
      <c r="F894" s="54"/>
      <c r="H894" s="1"/>
    </row>
    <row r="895" spans="1:8" ht="15.75" thickBot="1" x14ac:dyDescent="0.3">
      <c r="A895">
        <v>27759</v>
      </c>
      <c r="B895" t="s">
        <v>3485</v>
      </c>
      <c r="C895" t="s">
        <v>3486</v>
      </c>
      <c r="D895" s="75">
        <v>14.7</v>
      </c>
      <c r="E895">
        <v>189</v>
      </c>
      <c r="F895" s="54"/>
      <c r="H895" s="1"/>
    </row>
    <row r="896" spans="1:8" hidden="1" thickBot="1" x14ac:dyDescent="0.3">
      <c r="A896">
        <v>27760</v>
      </c>
      <c r="B896" t="s">
        <v>3487</v>
      </c>
      <c r="C896" t="s">
        <v>3488</v>
      </c>
      <c r="D896" s="1">
        <v>17.989999999999998</v>
      </c>
      <c r="E896">
        <v>0</v>
      </c>
      <c r="F896" s="54"/>
      <c r="H896" s="1"/>
    </row>
    <row r="897" spans="1:8" hidden="1" thickBot="1" x14ac:dyDescent="0.3">
      <c r="A897">
        <v>27761</v>
      </c>
      <c r="B897" t="s">
        <v>408</v>
      </c>
      <c r="C897" t="s">
        <v>3489</v>
      </c>
      <c r="D897" s="1">
        <v>7.4339999999999993</v>
      </c>
      <c r="E897">
        <v>0</v>
      </c>
      <c r="F897" s="54"/>
      <c r="H897" s="1"/>
    </row>
    <row r="898" spans="1:8" ht="15.75" thickBot="1" x14ac:dyDescent="0.3">
      <c r="A898">
        <v>27762</v>
      </c>
      <c r="B898" t="s">
        <v>3490</v>
      </c>
      <c r="C898" t="s">
        <v>3491</v>
      </c>
      <c r="D898" s="75">
        <v>16.53</v>
      </c>
      <c r="E898">
        <v>309</v>
      </c>
      <c r="F898" s="54"/>
      <c r="H898" s="1"/>
    </row>
    <row r="899" spans="1:8" hidden="1" thickBot="1" x14ac:dyDescent="0.3">
      <c r="A899">
        <v>27763</v>
      </c>
      <c r="B899" t="s">
        <v>409</v>
      </c>
      <c r="C899" t="s">
        <v>3492</v>
      </c>
      <c r="D899" s="1">
        <v>4.7988</v>
      </c>
      <c r="E899">
        <v>0</v>
      </c>
      <c r="F899" s="54"/>
      <c r="H899" s="1"/>
    </row>
    <row r="900" spans="1:8" hidden="1" thickBot="1" x14ac:dyDescent="0.3">
      <c r="A900">
        <v>27764</v>
      </c>
      <c r="B900" t="s">
        <v>441</v>
      </c>
      <c r="C900" t="s">
        <v>3493</v>
      </c>
      <c r="D900" s="1">
        <v>5.8608000000000002</v>
      </c>
      <c r="E900">
        <v>0</v>
      </c>
      <c r="F900" s="54"/>
      <c r="H900" s="1"/>
    </row>
    <row r="901" spans="1:8" hidden="1" thickBot="1" x14ac:dyDescent="0.3">
      <c r="A901">
        <v>27765</v>
      </c>
      <c r="B901" t="s">
        <v>3494</v>
      </c>
      <c r="C901" t="s">
        <v>3495</v>
      </c>
      <c r="D901" s="1">
        <v>19.18</v>
      </c>
      <c r="E901">
        <v>0</v>
      </c>
      <c r="F901" s="54"/>
      <c r="H901" s="1"/>
    </row>
    <row r="902" spans="1:8" ht="15.75" thickBot="1" x14ac:dyDescent="0.3">
      <c r="A902">
        <v>27767</v>
      </c>
      <c r="B902" t="s">
        <v>410</v>
      </c>
      <c r="C902" t="s">
        <v>3496</v>
      </c>
      <c r="D902" s="75">
        <v>5.1840000000000002</v>
      </c>
      <c r="E902">
        <v>96</v>
      </c>
      <c r="F902" s="54"/>
      <c r="H902" s="1"/>
    </row>
    <row r="903" spans="1:8" ht="15.75" thickBot="1" x14ac:dyDescent="0.3">
      <c r="A903">
        <v>27766</v>
      </c>
      <c r="B903" t="s">
        <v>442</v>
      </c>
      <c r="C903" t="s">
        <v>3497</v>
      </c>
      <c r="D903" s="75">
        <v>6.5969999999999995</v>
      </c>
      <c r="E903">
        <v>96</v>
      </c>
      <c r="F903" s="54"/>
      <c r="H903" s="1"/>
    </row>
    <row r="904" spans="1:8" ht="15.75" thickBot="1" x14ac:dyDescent="0.3">
      <c r="A904">
        <v>27768</v>
      </c>
      <c r="B904" t="s">
        <v>411</v>
      </c>
      <c r="C904" t="s">
        <v>3498</v>
      </c>
      <c r="D904" s="75">
        <v>4.7412000000000001</v>
      </c>
      <c r="E904">
        <v>107</v>
      </c>
      <c r="F904" s="54"/>
      <c r="H904" s="1"/>
    </row>
    <row r="905" spans="1:8" ht="15.75" thickBot="1" x14ac:dyDescent="0.3">
      <c r="A905">
        <v>27769</v>
      </c>
      <c r="B905" t="s">
        <v>443</v>
      </c>
      <c r="C905" t="s">
        <v>3499</v>
      </c>
      <c r="D905" s="75">
        <v>6.2729999999999997</v>
      </c>
      <c r="E905">
        <v>487</v>
      </c>
      <c r="F905" s="54"/>
      <c r="H905" s="1"/>
    </row>
    <row r="906" spans="1:8" ht="15.75" thickBot="1" x14ac:dyDescent="0.3">
      <c r="A906">
        <v>27770</v>
      </c>
      <c r="B906" t="s">
        <v>462</v>
      </c>
      <c r="C906" t="s">
        <v>3500</v>
      </c>
      <c r="D906" s="75">
        <v>11.34</v>
      </c>
      <c r="E906">
        <v>222</v>
      </c>
      <c r="F906" s="54"/>
      <c r="H906" s="1"/>
    </row>
    <row r="907" spans="1:8" hidden="1" thickBot="1" x14ac:dyDescent="0.3">
      <c r="A907">
        <v>27771</v>
      </c>
      <c r="B907" t="s">
        <v>412</v>
      </c>
      <c r="C907" t="s">
        <v>3501</v>
      </c>
      <c r="D907" s="1">
        <v>5.0633999999999997</v>
      </c>
      <c r="E907">
        <v>0</v>
      </c>
      <c r="F907" s="54"/>
      <c r="H907" s="1"/>
    </row>
    <row r="908" spans="1:8" hidden="1" thickBot="1" x14ac:dyDescent="0.3">
      <c r="A908">
        <v>27772</v>
      </c>
      <c r="B908" t="s">
        <v>413</v>
      </c>
      <c r="C908" t="s">
        <v>3502</v>
      </c>
      <c r="D908" s="1">
        <v>7.4339999999999993</v>
      </c>
      <c r="E908">
        <v>0</v>
      </c>
      <c r="F908" s="54"/>
      <c r="H908" s="1"/>
    </row>
    <row r="909" spans="1:8" hidden="1" thickBot="1" x14ac:dyDescent="0.3">
      <c r="A909">
        <v>27773</v>
      </c>
      <c r="B909" t="s">
        <v>414</v>
      </c>
      <c r="C909" t="s">
        <v>3503</v>
      </c>
      <c r="D909" s="1">
        <v>4.5557999999999996</v>
      </c>
      <c r="E909">
        <v>0</v>
      </c>
      <c r="F909" s="54"/>
      <c r="H909" s="1"/>
    </row>
    <row r="910" spans="1:8" hidden="1" thickBot="1" x14ac:dyDescent="0.3">
      <c r="A910">
        <v>27774</v>
      </c>
      <c r="B910" t="s">
        <v>3504</v>
      </c>
      <c r="C910" t="s">
        <v>3505</v>
      </c>
      <c r="D910" s="1">
        <v>14.52</v>
      </c>
      <c r="E910">
        <v>0</v>
      </c>
      <c r="F910" s="54"/>
      <c r="H910" s="1"/>
    </row>
    <row r="911" spans="1:8" ht="15.75" thickBot="1" x14ac:dyDescent="0.3">
      <c r="A911">
        <v>27775</v>
      </c>
      <c r="B911" t="s">
        <v>3506</v>
      </c>
      <c r="C911" t="s">
        <v>3507</v>
      </c>
      <c r="D911" s="75">
        <v>17.989999999999998</v>
      </c>
      <c r="E911">
        <v>11</v>
      </c>
      <c r="F911" s="54"/>
      <c r="H911" s="1"/>
    </row>
    <row r="912" spans="1:8" ht="15.75" thickBot="1" x14ac:dyDescent="0.3">
      <c r="A912">
        <v>27776</v>
      </c>
      <c r="B912" t="s">
        <v>3508</v>
      </c>
      <c r="C912" t="s">
        <v>3509</v>
      </c>
      <c r="D912" s="75">
        <v>17.989999999999998</v>
      </c>
      <c r="E912">
        <v>12</v>
      </c>
      <c r="F912" s="54"/>
      <c r="H912" s="1"/>
    </row>
    <row r="913" spans="1:8" ht="15.75" thickBot="1" x14ac:dyDescent="0.3">
      <c r="A913">
        <v>27778</v>
      </c>
      <c r="B913" t="s">
        <v>415</v>
      </c>
      <c r="C913" t="s">
        <v>3510</v>
      </c>
      <c r="D913" s="75">
        <v>4.8365999999999998</v>
      </c>
      <c r="E913">
        <v>66</v>
      </c>
      <c r="F913" s="54"/>
      <c r="H913" s="1"/>
    </row>
    <row r="914" spans="1:8" hidden="1" thickBot="1" x14ac:dyDescent="0.3">
      <c r="A914">
        <v>27777</v>
      </c>
      <c r="B914" t="s">
        <v>3511</v>
      </c>
      <c r="C914" t="s">
        <v>3510</v>
      </c>
      <c r="D914" s="1">
        <v>14.7</v>
      </c>
      <c r="E914">
        <v>0</v>
      </c>
      <c r="F914" s="54"/>
      <c r="H914" s="1"/>
    </row>
    <row r="915" spans="1:8" ht="15.75" thickBot="1" x14ac:dyDescent="0.3">
      <c r="A915">
        <v>27780</v>
      </c>
      <c r="B915" t="s">
        <v>444</v>
      </c>
      <c r="C915" t="s">
        <v>3512</v>
      </c>
      <c r="D915" s="75">
        <v>6.4206000000000003</v>
      </c>
      <c r="E915">
        <v>472</v>
      </c>
      <c r="F915" s="54"/>
      <c r="H915" s="1"/>
    </row>
    <row r="916" spans="1:8" ht="15.75" thickBot="1" x14ac:dyDescent="0.3">
      <c r="A916">
        <v>27779</v>
      </c>
      <c r="B916" t="s">
        <v>3513</v>
      </c>
      <c r="C916" t="s">
        <v>3514</v>
      </c>
      <c r="D916" s="75">
        <v>14.7</v>
      </c>
      <c r="E916">
        <v>28</v>
      </c>
      <c r="F916" s="54"/>
      <c r="H916" s="1"/>
    </row>
    <row r="917" spans="1:8" ht="15.75" thickBot="1" x14ac:dyDescent="0.3">
      <c r="A917">
        <v>27782</v>
      </c>
      <c r="B917" t="s">
        <v>416</v>
      </c>
      <c r="C917" t="s">
        <v>3515</v>
      </c>
      <c r="D917" s="75">
        <v>7.7850000000000001</v>
      </c>
      <c r="E917">
        <v>48</v>
      </c>
      <c r="F917" s="54"/>
      <c r="H917" s="1"/>
    </row>
    <row r="918" spans="1:8" ht="15.75" thickBot="1" x14ac:dyDescent="0.3">
      <c r="A918">
        <v>27783</v>
      </c>
      <c r="B918" t="s">
        <v>417</v>
      </c>
      <c r="C918" t="s">
        <v>3516</v>
      </c>
      <c r="D918" s="75">
        <v>5.1840000000000002</v>
      </c>
      <c r="E918">
        <v>1</v>
      </c>
      <c r="F918" s="54"/>
      <c r="H918" s="1"/>
    </row>
    <row r="919" spans="1:8" ht="15.75" thickBot="1" x14ac:dyDescent="0.3">
      <c r="A919">
        <v>27781</v>
      </c>
      <c r="B919" t="s">
        <v>445</v>
      </c>
      <c r="C919" t="s">
        <v>3517</v>
      </c>
      <c r="D919" s="75">
        <v>6.9912000000000001</v>
      </c>
      <c r="E919">
        <v>230</v>
      </c>
      <c r="F919" s="54"/>
      <c r="H919" s="1"/>
    </row>
    <row r="920" spans="1:8" ht="15.75" thickBot="1" x14ac:dyDescent="0.3">
      <c r="A920">
        <v>27784</v>
      </c>
      <c r="B920" t="s">
        <v>3518</v>
      </c>
      <c r="C920" t="s">
        <v>3519</v>
      </c>
      <c r="D920" s="75">
        <v>16.53</v>
      </c>
      <c r="E920">
        <v>130</v>
      </c>
      <c r="F920" s="54"/>
      <c r="H920" s="1"/>
    </row>
    <row r="921" spans="1:8" hidden="1" thickBot="1" x14ac:dyDescent="0.3">
      <c r="A921">
        <v>27785</v>
      </c>
      <c r="B921" t="s">
        <v>418</v>
      </c>
      <c r="C921" t="s">
        <v>3520</v>
      </c>
      <c r="D921" s="1">
        <v>8.0676000000000005</v>
      </c>
      <c r="E921">
        <v>0</v>
      </c>
      <c r="F921" s="54"/>
      <c r="H921" s="1"/>
    </row>
    <row r="922" spans="1:8" hidden="1" thickBot="1" x14ac:dyDescent="0.3">
      <c r="A922">
        <v>27787</v>
      </c>
      <c r="B922" t="s">
        <v>3521</v>
      </c>
      <c r="C922" t="s">
        <v>3522</v>
      </c>
      <c r="D922" s="1">
        <v>18.420000000000002</v>
      </c>
      <c r="E922">
        <v>0</v>
      </c>
      <c r="F922" s="54"/>
      <c r="H922" s="1"/>
    </row>
    <row r="923" spans="1:8" hidden="1" thickBot="1" x14ac:dyDescent="0.3">
      <c r="A923">
        <v>27786</v>
      </c>
      <c r="B923" t="s">
        <v>3523</v>
      </c>
      <c r="C923" t="s">
        <v>3524</v>
      </c>
      <c r="D923" s="1">
        <v>22.54</v>
      </c>
      <c r="E923">
        <v>0</v>
      </c>
      <c r="F923" s="54"/>
      <c r="H923" s="1"/>
    </row>
    <row r="924" spans="1:8" hidden="1" thickBot="1" x14ac:dyDescent="0.3">
      <c r="A924">
        <v>29258</v>
      </c>
      <c r="B924" t="s">
        <v>3525</v>
      </c>
      <c r="C924" t="s">
        <v>3526</v>
      </c>
      <c r="D924" s="1" t="s">
        <v>3082</v>
      </c>
      <c r="E924">
        <v>0</v>
      </c>
      <c r="F924" s="54"/>
      <c r="H924" s="1"/>
    </row>
    <row r="925" spans="1:8" hidden="1" thickBot="1" x14ac:dyDescent="0.3">
      <c r="A925">
        <v>27788</v>
      </c>
      <c r="B925" t="s">
        <v>3527</v>
      </c>
      <c r="C925" t="s">
        <v>3528</v>
      </c>
      <c r="D925" s="1">
        <v>14.7</v>
      </c>
      <c r="E925">
        <v>0</v>
      </c>
      <c r="F925" s="54"/>
      <c r="H925" s="1"/>
    </row>
    <row r="926" spans="1:8" hidden="1" thickBot="1" x14ac:dyDescent="0.3">
      <c r="A926">
        <v>27789</v>
      </c>
      <c r="B926" t="s">
        <v>419</v>
      </c>
      <c r="C926" t="s">
        <v>3529</v>
      </c>
      <c r="D926" s="1">
        <v>4.7736000000000001</v>
      </c>
      <c r="E926">
        <v>0</v>
      </c>
      <c r="F926" s="54"/>
      <c r="H926" s="1"/>
    </row>
    <row r="927" spans="1:8" hidden="1" thickBot="1" x14ac:dyDescent="0.3">
      <c r="A927">
        <v>27790</v>
      </c>
      <c r="B927" t="s">
        <v>446</v>
      </c>
      <c r="C927" t="s">
        <v>3530</v>
      </c>
      <c r="D927" s="1">
        <v>6.6312000000000006</v>
      </c>
      <c r="E927">
        <v>0</v>
      </c>
      <c r="F927" s="54"/>
      <c r="H927" s="1"/>
    </row>
    <row r="928" spans="1:8" hidden="1" thickBot="1" x14ac:dyDescent="0.3">
      <c r="A928">
        <v>27791</v>
      </c>
      <c r="B928" t="s">
        <v>3531</v>
      </c>
      <c r="C928" t="s">
        <v>3532</v>
      </c>
      <c r="D928" s="1">
        <v>20.23</v>
      </c>
      <c r="E928">
        <v>0</v>
      </c>
      <c r="F928" s="54"/>
      <c r="H928" s="1"/>
    </row>
    <row r="929" spans="1:8" ht="15.75" thickBot="1" x14ac:dyDescent="0.3">
      <c r="A929">
        <v>27792</v>
      </c>
      <c r="B929" t="s">
        <v>3533</v>
      </c>
      <c r="C929" t="s">
        <v>3534</v>
      </c>
      <c r="D929" s="75">
        <v>16.53</v>
      </c>
      <c r="E929">
        <v>59</v>
      </c>
      <c r="F929" s="54"/>
      <c r="H929" s="1"/>
    </row>
    <row r="930" spans="1:8" ht="15.75" thickBot="1" x14ac:dyDescent="0.3">
      <c r="A930">
        <v>27793</v>
      </c>
      <c r="B930" t="s">
        <v>3535</v>
      </c>
      <c r="C930" t="s">
        <v>3536</v>
      </c>
      <c r="D930" s="75">
        <v>18.420000000000002</v>
      </c>
      <c r="E930">
        <v>36</v>
      </c>
      <c r="F930" s="54"/>
      <c r="H930" s="1"/>
    </row>
    <row r="931" spans="1:8" hidden="1" thickBot="1" x14ac:dyDescent="0.3">
      <c r="A931">
        <v>27794</v>
      </c>
      <c r="B931" t="s">
        <v>420</v>
      </c>
      <c r="C931" t="s">
        <v>3537</v>
      </c>
      <c r="D931" s="1">
        <v>8.0676000000000005</v>
      </c>
      <c r="E931">
        <v>0</v>
      </c>
      <c r="F931" s="54"/>
      <c r="H931" s="1"/>
    </row>
    <row r="932" spans="1:8" hidden="1" thickBot="1" x14ac:dyDescent="0.3">
      <c r="A932">
        <v>27795</v>
      </c>
      <c r="B932" t="s">
        <v>3538</v>
      </c>
      <c r="C932" t="s">
        <v>3539</v>
      </c>
      <c r="D932" s="1">
        <v>18.420000000000002</v>
      </c>
      <c r="E932">
        <v>0</v>
      </c>
      <c r="F932" s="54"/>
      <c r="H932" s="1"/>
    </row>
    <row r="933" spans="1:8" ht="15.75" thickBot="1" x14ac:dyDescent="0.3">
      <c r="A933">
        <v>27796</v>
      </c>
      <c r="B933" t="s">
        <v>421</v>
      </c>
      <c r="C933" t="s">
        <v>3540</v>
      </c>
      <c r="D933" s="75">
        <v>7.0506000000000002</v>
      </c>
      <c r="E933">
        <v>223</v>
      </c>
      <c r="F933" s="54"/>
      <c r="H933" s="1"/>
    </row>
    <row r="934" spans="1:8" ht="15.75" thickBot="1" x14ac:dyDescent="0.3">
      <c r="A934">
        <v>27799</v>
      </c>
      <c r="B934" t="s">
        <v>447</v>
      </c>
      <c r="C934" t="s">
        <v>3541</v>
      </c>
      <c r="D934" s="75">
        <v>6.6149999999999993</v>
      </c>
      <c r="E934">
        <v>310</v>
      </c>
      <c r="F934" s="54"/>
      <c r="H934" s="1"/>
    </row>
    <row r="935" spans="1:8" ht="15.75" thickBot="1" x14ac:dyDescent="0.3">
      <c r="A935">
        <v>27797</v>
      </c>
      <c r="B935" t="s">
        <v>3542</v>
      </c>
      <c r="C935" t="s">
        <v>3543</v>
      </c>
      <c r="D935" s="75">
        <v>26.6</v>
      </c>
      <c r="E935">
        <v>59</v>
      </c>
      <c r="F935" s="54"/>
      <c r="H935" s="1"/>
    </row>
    <row r="936" spans="1:8" ht="15.75" thickBot="1" x14ac:dyDescent="0.3">
      <c r="A936">
        <v>27798</v>
      </c>
      <c r="B936" t="s">
        <v>3544</v>
      </c>
      <c r="C936" t="s">
        <v>3545</v>
      </c>
      <c r="D936" s="75">
        <v>14.7</v>
      </c>
      <c r="E936">
        <v>12</v>
      </c>
      <c r="F936" s="54"/>
      <c r="H936" s="1"/>
    </row>
    <row r="937" spans="1:8" hidden="1" thickBot="1" x14ac:dyDescent="0.3">
      <c r="A937">
        <v>27800</v>
      </c>
      <c r="B937" t="s">
        <v>3546</v>
      </c>
      <c r="C937" t="s">
        <v>3547</v>
      </c>
      <c r="D937" s="1">
        <v>14.7</v>
      </c>
      <c r="E937">
        <v>0</v>
      </c>
      <c r="F937" s="54"/>
      <c r="H937" s="1"/>
    </row>
    <row r="938" spans="1:8" hidden="1" thickBot="1" x14ac:dyDescent="0.3">
      <c r="A938">
        <v>27802</v>
      </c>
      <c r="B938" t="s">
        <v>3548</v>
      </c>
      <c r="C938" t="s">
        <v>3549</v>
      </c>
      <c r="D938" s="1">
        <v>17.989999999999998</v>
      </c>
      <c r="E938">
        <v>0</v>
      </c>
      <c r="F938" s="54"/>
      <c r="H938" s="1"/>
    </row>
    <row r="939" spans="1:8" hidden="1" thickBot="1" x14ac:dyDescent="0.3">
      <c r="A939">
        <v>27801</v>
      </c>
      <c r="B939" t="s">
        <v>3550</v>
      </c>
      <c r="C939" t="s">
        <v>3551</v>
      </c>
      <c r="D939" s="1">
        <v>26.6</v>
      </c>
      <c r="E939">
        <v>0</v>
      </c>
      <c r="F939" s="54"/>
      <c r="H939" s="1"/>
    </row>
    <row r="940" spans="1:8" hidden="1" thickBot="1" x14ac:dyDescent="0.3">
      <c r="A940">
        <v>27804</v>
      </c>
      <c r="B940" t="s">
        <v>3552</v>
      </c>
      <c r="C940" t="s">
        <v>3553</v>
      </c>
      <c r="D940" s="1">
        <v>33.74</v>
      </c>
      <c r="E940">
        <v>0</v>
      </c>
      <c r="F940" s="54"/>
      <c r="H940" s="1"/>
    </row>
    <row r="941" spans="1:8" ht="15.75" thickBot="1" x14ac:dyDescent="0.3">
      <c r="A941">
        <v>27803</v>
      </c>
      <c r="B941" t="s">
        <v>422</v>
      </c>
      <c r="C941" t="s">
        <v>3554</v>
      </c>
      <c r="D941" s="75">
        <v>4.6061999999999994</v>
      </c>
      <c r="E941">
        <v>256</v>
      </c>
      <c r="F941" s="54"/>
      <c r="H941" s="1"/>
    </row>
    <row r="942" spans="1:8" ht="15.75" thickBot="1" x14ac:dyDescent="0.3">
      <c r="A942">
        <v>27805</v>
      </c>
      <c r="B942" t="s">
        <v>448</v>
      </c>
      <c r="C942" t="s">
        <v>3555</v>
      </c>
      <c r="D942" s="75">
        <v>6.3647999999999998</v>
      </c>
      <c r="E942">
        <v>263</v>
      </c>
      <c r="F942" s="54"/>
      <c r="H942" s="1"/>
    </row>
    <row r="943" spans="1:8" ht="15.75" thickBot="1" x14ac:dyDescent="0.3">
      <c r="A943">
        <v>27806</v>
      </c>
      <c r="B943" t="s">
        <v>463</v>
      </c>
      <c r="C943" t="s">
        <v>3556</v>
      </c>
      <c r="D943" s="75">
        <v>11.1114</v>
      </c>
      <c r="E943">
        <v>77</v>
      </c>
      <c r="F943" s="54"/>
      <c r="H943" s="1"/>
    </row>
    <row r="944" spans="1:8" hidden="1" thickBot="1" x14ac:dyDescent="0.3">
      <c r="A944">
        <v>27807</v>
      </c>
      <c r="B944" t="s">
        <v>3557</v>
      </c>
      <c r="C944" t="s">
        <v>3558</v>
      </c>
      <c r="D944" s="1">
        <v>15.53</v>
      </c>
      <c r="E944">
        <v>0</v>
      </c>
      <c r="F944" s="54"/>
      <c r="H944" s="1"/>
    </row>
    <row r="945" spans="1:8" ht="15.75" thickBot="1" x14ac:dyDescent="0.3">
      <c r="A945">
        <v>27808</v>
      </c>
      <c r="B945" t="s">
        <v>3559</v>
      </c>
      <c r="C945" t="s">
        <v>3560</v>
      </c>
      <c r="D945" s="75">
        <v>20.23</v>
      </c>
      <c r="E945">
        <v>60</v>
      </c>
      <c r="F945" s="54"/>
      <c r="H945" s="1"/>
    </row>
    <row r="946" spans="1:8" hidden="1" thickBot="1" x14ac:dyDescent="0.3">
      <c r="A946">
        <v>27809</v>
      </c>
      <c r="B946" t="s">
        <v>3561</v>
      </c>
      <c r="C946" t="s">
        <v>3562</v>
      </c>
      <c r="D946" s="1">
        <v>12.63</v>
      </c>
      <c r="E946">
        <v>0</v>
      </c>
      <c r="F946" s="54"/>
      <c r="H946" s="1"/>
    </row>
    <row r="947" spans="1:8" ht="15.75" thickBot="1" x14ac:dyDescent="0.3">
      <c r="A947">
        <v>27810</v>
      </c>
      <c r="B947" t="s">
        <v>423</v>
      </c>
      <c r="C947" t="s">
        <v>3563</v>
      </c>
      <c r="D947" s="75">
        <v>6.6113999999999988</v>
      </c>
      <c r="E947">
        <v>87</v>
      </c>
      <c r="F947" s="54"/>
      <c r="H947" s="1"/>
    </row>
    <row r="948" spans="1:8" ht="15.75" thickBot="1" x14ac:dyDescent="0.3">
      <c r="A948">
        <v>27812</v>
      </c>
      <c r="B948" t="s">
        <v>449</v>
      </c>
      <c r="C948" t="s">
        <v>3564</v>
      </c>
      <c r="D948" s="75">
        <v>8.1755999999999993</v>
      </c>
      <c r="E948">
        <v>414</v>
      </c>
      <c r="F948" s="54"/>
      <c r="H948" s="1"/>
    </row>
    <row r="949" spans="1:8" ht="15.75" thickBot="1" x14ac:dyDescent="0.3">
      <c r="A949">
        <v>27811</v>
      </c>
      <c r="B949" t="s">
        <v>424</v>
      </c>
      <c r="C949" t="s">
        <v>3565</v>
      </c>
      <c r="D949" s="75">
        <v>5.1048</v>
      </c>
      <c r="E949">
        <v>156</v>
      </c>
      <c r="F949" s="54"/>
      <c r="H949" s="1"/>
    </row>
    <row r="950" spans="1:8" ht="15.75" thickBot="1" x14ac:dyDescent="0.3">
      <c r="A950">
        <v>27814</v>
      </c>
      <c r="B950" t="s">
        <v>450</v>
      </c>
      <c r="C950" t="s">
        <v>3566</v>
      </c>
      <c r="D950" s="75">
        <v>7.3565999999999994</v>
      </c>
      <c r="E950">
        <v>201</v>
      </c>
      <c r="F950" s="54"/>
      <c r="H950" s="1"/>
    </row>
    <row r="951" spans="1:8" ht="15.75" thickBot="1" x14ac:dyDescent="0.3">
      <c r="A951">
        <v>27813</v>
      </c>
      <c r="B951" t="s">
        <v>464</v>
      </c>
      <c r="C951" t="s">
        <v>3567</v>
      </c>
      <c r="D951" s="75">
        <v>12.942</v>
      </c>
      <c r="E951">
        <v>124</v>
      </c>
      <c r="F951" s="54"/>
      <c r="H951" s="1"/>
    </row>
    <row r="952" spans="1:8" hidden="1" thickBot="1" x14ac:dyDescent="0.3">
      <c r="A952">
        <v>27815</v>
      </c>
      <c r="B952" t="s">
        <v>3568</v>
      </c>
      <c r="C952" t="s">
        <v>3569</v>
      </c>
      <c r="D952" s="1">
        <v>16.53</v>
      </c>
      <c r="E952">
        <v>0</v>
      </c>
      <c r="F952" s="54"/>
      <c r="H952" s="1"/>
    </row>
    <row r="953" spans="1:8" ht="15.75" thickBot="1" x14ac:dyDescent="0.3">
      <c r="A953">
        <v>27816</v>
      </c>
      <c r="B953" t="s">
        <v>425</v>
      </c>
      <c r="C953" t="s">
        <v>3570</v>
      </c>
      <c r="D953" s="75">
        <v>8.0676000000000005</v>
      </c>
      <c r="E953">
        <v>39</v>
      </c>
      <c r="F953" s="54"/>
      <c r="H953" s="1"/>
    </row>
    <row r="954" spans="1:8" ht="15.75" thickBot="1" x14ac:dyDescent="0.3">
      <c r="A954">
        <v>27817</v>
      </c>
      <c r="B954" t="s">
        <v>3571</v>
      </c>
      <c r="C954" t="s">
        <v>3572</v>
      </c>
      <c r="D954" s="75">
        <v>22.54</v>
      </c>
      <c r="E954">
        <v>8</v>
      </c>
      <c r="F954" s="54"/>
      <c r="H954" s="1"/>
    </row>
    <row r="955" spans="1:8" ht="15.75" thickBot="1" x14ac:dyDescent="0.3">
      <c r="A955">
        <v>27818</v>
      </c>
      <c r="B955" t="s">
        <v>3573</v>
      </c>
      <c r="C955" t="s">
        <v>3574</v>
      </c>
      <c r="D955" s="75">
        <v>450</v>
      </c>
      <c r="E955">
        <v>96</v>
      </c>
      <c r="F955" s="54"/>
      <c r="H955" s="1"/>
    </row>
    <row r="956" spans="1:8" ht="15.75" thickBot="1" x14ac:dyDescent="0.3">
      <c r="A956">
        <v>27819</v>
      </c>
      <c r="B956" t="s">
        <v>3575</v>
      </c>
      <c r="C956" t="s">
        <v>3576</v>
      </c>
      <c r="D956" s="75">
        <v>24.2</v>
      </c>
      <c r="E956">
        <v>35</v>
      </c>
      <c r="F956" s="54"/>
      <c r="H956" s="1"/>
    </row>
    <row r="957" spans="1:8" hidden="1" thickBot="1" x14ac:dyDescent="0.3">
      <c r="A957">
        <v>27820</v>
      </c>
      <c r="B957" t="s">
        <v>3577</v>
      </c>
      <c r="C957" t="s">
        <v>3578</v>
      </c>
      <c r="D957" s="1">
        <v>22.49</v>
      </c>
      <c r="E957">
        <v>0</v>
      </c>
      <c r="F957" s="54"/>
      <c r="H957" s="1"/>
    </row>
    <row r="958" spans="1:8" ht="15.75" thickBot="1" x14ac:dyDescent="0.3">
      <c r="A958">
        <v>27821</v>
      </c>
      <c r="B958" t="s">
        <v>3579</v>
      </c>
      <c r="C958" t="s">
        <v>3580</v>
      </c>
      <c r="D958" s="75">
        <v>16.53</v>
      </c>
      <c r="E958">
        <v>10</v>
      </c>
      <c r="F958" s="54"/>
      <c r="H958" s="1"/>
    </row>
    <row r="959" spans="1:8" ht="15.75" thickBot="1" x14ac:dyDescent="0.3">
      <c r="A959">
        <v>27822</v>
      </c>
      <c r="B959" t="s">
        <v>3581</v>
      </c>
      <c r="C959" t="s">
        <v>3582</v>
      </c>
      <c r="D959" s="75">
        <v>16.53</v>
      </c>
      <c r="E959">
        <v>37</v>
      </c>
      <c r="F959" s="54"/>
      <c r="H959" s="1"/>
    </row>
    <row r="960" spans="1:8" ht="15.75" thickBot="1" x14ac:dyDescent="0.3">
      <c r="A960">
        <v>27823</v>
      </c>
      <c r="B960" t="s">
        <v>3583</v>
      </c>
      <c r="C960" t="s">
        <v>3584</v>
      </c>
      <c r="D960" s="75">
        <v>16.53</v>
      </c>
      <c r="E960">
        <v>23</v>
      </c>
      <c r="F960" s="54"/>
      <c r="H960" s="1"/>
    </row>
    <row r="961" spans="1:8" ht="15.75" thickBot="1" x14ac:dyDescent="0.3">
      <c r="A961">
        <v>27824</v>
      </c>
      <c r="B961" t="s">
        <v>3585</v>
      </c>
      <c r="C961" t="s">
        <v>3586</v>
      </c>
      <c r="D961" s="75">
        <v>18.420000000000002</v>
      </c>
      <c r="E961">
        <v>19</v>
      </c>
      <c r="F961" s="54"/>
      <c r="H961" s="1"/>
    </row>
    <row r="962" spans="1:8" ht="15.75" thickBot="1" x14ac:dyDescent="0.3">
      <c r="A962">
        <v>27825</v>
      </c>
      <c r="B962" t="s">
        <v>3587</v>
      </c>
      <c r="C962" t="s">
        <v>3584</v>
      </c>
      <c r="D962" s="75">
        <v>16.53</v>
      </c>
      <c r="E962">
        <v>24</v>
      </c>
      <c r="F962" s="54"/>
      <c r="H962" s="1"/>
    </row>
    <row r="963" spans="1:8" ht="15.75" thickBot="1" x14ac:dyDescent="0.3">
      <c r="A963">
        <v>27827</v>
      </c>
      <c r="B963" t="s">
        <v>3588</v>
      </c>
      <c r="C963" t="s">
        <v>3589</v>
      </c>
      <c r="D963" s="75">
        <v>14.52</v>
      </c>
      <c r="E963">
        <v>8</v>
      </c>
      <c r="F963" s="54"/>
      <c r="H963" s="1"/>
    </row>
    <row r="964" spans="1:8" ht="15.75" thickBot="1" x14ac:dyDescent="0.3">
      <c r="A964">
        <v>27826</v>
      </c>
      <c r="B964" t="s">
        <v>426</v>
      </c>
      <c r="C964" t="s">
        <v>3590</v>
      </c>
      <c r="D964" s="75">
        <v>7.4339999999999993</v>
      </c>
      <c r="E964">
        <v>72</v>
      </c>
      <c r="F964" s="54"/>
      <c r="H964" s="1"/>
    </row>
    <row r="965" spans="1:8" hidden="1" thickBot="1" x14ac:dyDescent="0.3">
      <c r="A965">
        <v>27828</v>
      </c>
      <c r="B965" t="s">
        <v>451</v>
      </c>
      <c r="C965" t="s">
        <v>3591</v>
      </c>
      <c r="D965" s="1">
        <v>8.73</v>
      </c>
      <c r="E965">
        <v>0</v>
      </c>
      <c r="F965" s="54"/>
      <c r="H965" s="1"/>
    </row>
    <row r="966" spans="1:8" ht="15.75" thickBot="1" x14ac:dyDescent="0.3">
      <c r="A966">
        <v>27829</v>
      </c>
      <c r="B966" t="s">
        <v>427</v>
      </c>
      <c r="C966" t="s">
        <v>3592</v>
      </c>
      <c r="D966" s="75">
        <v>7.0506000000000002</v>
      </c>
      <c r="E966">
        <v>80</v>
      </c>
      <c r="F966" s="54"/>
      <c r="H966" s="1"/>
    </row>
    <row r="967" spans="1:8" ht="15.75" thickBot="1" x14ac:dyDescent="0.3">
      <c r="A967">
        <v>27830</v>
      </c>
      <c r="B967" t="s">
        <v>453</v>
      </c>
      <c r="C967" t="s">
        <v>3593</v>
      </c>
      <c r="D967" s="75">
        <v>8.73</v>
      </c>
      <c r="E967">
        <v>208</v>
      </c>
      <c r="F967" s="54"/>
      <c r="H967" s="1"/>
    </row>
    <row r="968" spans="1:8" ht="15.75" thickBot="1" x14ac:dyDescent="0.3">
      <c r="A968">
        <v>27832</v>
      </c>
      <c r="B968" t="s">
        <v>3594</v>
      </c>
      <c r="C968" t="s">
        <v>3595</v>
      </c>
      <c r="D968" s="75">
        <v>20.23</v>
      </c>
      <c r="E968">
        <v>20</v>
      </c>
      <c r="F968" s="54"/>
      <c r="H968" s="1"/>
    </row>
    <row r="969" spans="1:8" ht="15.75" thickBot="1" x14ac:dyDescent="0.3">
      <c r="A969">
        <v>27831</v>
      </c>
      <c r="B969" t="s">
        <v>428</v>
      </c>
      <c r="C969" t="s">
        <v>3596</v>
      </c>
      <c r="D969" s="75">
        <v>5.9291999999999998</v>
      </c>
      <c r="E969">
        <v>224</v>
      </c>
      <c r="F969" s="54"/>
      <c r="H969" s="1"/>
    </row>
    <row r="970" spans="1:8" ht="15.75" thickBot="1" x14ac:dyDescent="0.3">
      <c r="A970">
        <v>27833</v>
      </c>
      <c r="B970" t="s">
        <v>454</v>
      </c>
      <c r="C970" t="s">
        <v>3597</v>
      </c>
      <c r="D970" s="75">
        <v>8.4743999999999993</v>
      </c>
      <c r="E970">
        <v>50</v>
      </c>
      <c r="F970" s="54"/>
      <c r="H970" s="1"/>
    </row>
    <row r="971" spans="1:8" ht="15.75" thickBot="1" x14ac:dyDescent="0.3">
      <c r="A971">
        <v>27835</v>
      </c>
      <c r="B971" t="s">
        <v>465</v>
      </c>
      <c r="C971" t="s">
        <v>3598</v>
      </c>
      <c r="D971" s="75">
        <v>14.198399999999999</v>
      </c>
      <c r="E971">
        <v>9</v>
      </c>
      <c r="F971" s="54"/>
      <c r="H971" s="1"/>
    </row>
    <row r="972" spans="1:8" ht="15.75" thickBot="1" x14ac:dyDescent="0.3">
      <c r="A972">
        <v>27834</v>
      </c>
      <c r="B972" t="s">
        <v>429</v>
      </c>
      <c r="C972" t="s">
        <v>3599</v>
      </c>
      <c r="D972" s="75">
        <v>6.6113999999999988</v>
      </c>
      <c r="E972">
        <v>34</v>
      </c>
      <c r="F972" s="54"/>
      <c r="H972" s="1"/>
    </row>
    <row r="973" spans="1:8" ht="15.75" thickBot="1" x14ac:dyDescent="0.3">
      <c r="A973">
        <v>27836</v>
      </c>
      <c r="B973" t="s">
        <v>455</v>
      </c>
      <c r="C973" t="s">
        <v>3600</v>
      </c>
      <c r="D973" s="75">
        <v>8.9748000000000001</v>
      </c>
      <c r="E973">
        <v>146</v>
      </c>
      <c r="F973" s="54"/>
      <c r="H973" s="1"/>
    </row>
    <row r="974" spans="1:8" hidden="1" thickBot="1" x14ac:dyDescent="0.3">
      <c r="A974">
        <v>27837</v>
      </c>
      <c r="B974" t="s">
        <v>430</v>
      </c>
      <c r="C974" t="s">
        <v>3601</v>
      </c>
      <c r="D974" s="1">
        <v>7.758</v>
      </c>
      <c r="E974">
        <v>0</v>
      </c>
      <c r="F974" s="54"/>
      <c r="H974" s="1"/>
    </row>
    <row r="975" spans="1:8" ht="15.75" thickBot="1" x14ac:dyDescent="0.3">
      <c r="A975">
        <v>27838</v>
      </c>
      <c r="B975" t="s">
        <v>3602</v>
      </c>
      <c r="C975" t="s">
        <v>3603</v>
      </c>
      <c r="D975" s="75">
        <v>22.54</v>
      </c>
      <c r="E975">
        <v>1</v>
      </c>
      <c r="F975" s="54"/>
      <c r="H975" s="1"/>
    </row>
    <row r="976" spans="1:8" hidden="1" thickBot="1" x14ac:dyDescent="0.3">
      <c r="A976">
        <v>27839</v>
      </c>
      <c r="B976" t="s">
        <v>3604</v>
      </c>
      <c r="C976" t="s">
        <v>3605</v>
      </c>
      <c r="D976" s="1">
        <v>18.420000000000002</v>
      </c>
      <c r="E976">
        <v>0</v>
      </c>
      <c r="F976" s="54"/>
      <c r="H976" s="1"/>
    </row>
    <row r="977" spans="1:8" hidden="1" thickBot="1" x14ac:dyDescent="0.3">
      <c r="A977">
        <v>27840</v>
      </c>
      <c r="B977" t="s">
        <v>3606</v>
      </c>
      <c r="C977" t="s">
        <v>3607</v>
      </c>
      <c r="D977" s="1">
        <v>36.840000000000003</v>
      </c>
      <c r="E977">
        <v>0</v>
      </c>
      <c r="F977" s="54"/>
      <c r="H977" s="1"/>
    </row>
    <row r="978" spans="1:8" ht="15.75" thickBot="1" x14ac:dyDescent="0.3">
      <c r="A978">
        <v>27841</v>
      </c>
      <c r="B978" t="s">
        <v>431</v>
      </c>
      <c r="C978" t="s">
        <v>3608</v>
      </c>
      <c r="D978" s="75">
        <v>5.1479999999999997</v>
      </c>
      <c r="E978">
        <v>206</v>
      </c>
      <c r="F978" s="54"/>
      <c r="H978" s="1"/>
    </row>
    <row r="979" spans="1:8" ht="15.75" thickBot="1" x14ac:dyDescent="0.3">
      <c r="A979">
        <v>27843</v>
      </c>
      <c r="B979" t="s">
        <v>456</v>
      </c>
      <c r="C979" t="s">
        <v>3609</v>
      </c>
      <c r="D979" s="75">
        <v>7.4862000000000002</v>
      </c>
      <c r="E979">
        <v>560</v>
      </c>
      <c r="F979" s="54"/>
      <c r="H979" s="1"/>
    </row>
    <row r="980" spans="1:8" ht="15.75" thickBot="1" x14ac:dyDescent="0.3">
      <c r="A980">
        <v>27844</v>
      </c>
      <c r="B980" t="s">
        <v>466</v>
      </c>
      <c r="C980" t="s">
        <v>3610</v>
      </c>
      <c r="D980" s="75">
        <v>13.2768</v>
      </c>
      <c r="E980">
        <v>263</v>
      </c>
      <c r="F980" s="54"/>
      <c r="H980" s="1"/>
    </row>
    <row r="981" spans="1:8" ht="15.75" thickBot="1" x14ac:dyDescent="0.3">
      <c r="A981">
        <v>27842</v>
      </c>
      <c r="B981" t="s">
        <v>3611</v>
      </c>
      <c r="C981" t="s">
        <v>3612</v>
      </c>
      <c r="D981" s="75">
        <v>18.420000000000002</v>
      </c>
      <c r="E981">
        <v>21</v>
      </c>
      <c r="F981" s="54"/>
      <c r="H981" s="1"/>
    </row>
    <row r="982" spans="1:8" ht="15.75" thickBot="1" x14ac:dyDescent="0.3">
      <c r="A982">
        <v>27845</v>
      </c>
      <c r="B982" t="s">
        <v>432</v>
      </c>
      <c r="C982" t="s">
        <v>3613</v>
      </c>
      <c r="D982" s="75">
        <v>7.1928000000000001</v>
      </c>
      <c r="E982">
        <v>128</v>
      </c>
      <c r="F982" s="54"/>
      <c r="H982" s="1"/>
    </row>
    <row r="983" spans="1:8" ht="15.75" thickBot="1" x14ac:dyDescent="0.3">
      <c r="A983">
        <v>27846</v>
      </c>
      <c r="B983" t="s">
        <v>433</v>
      </c>
      <c r="C983" t="s">
        <v>3614</v>
      </c>
      <c r="D983" s="75">
        <v>5.8643999999999998</v>
      </c>
      <c r="E983">
        <v>212</v>
      </c>
      <c r="F983" s="54"/>
      <c r="H983" s="1"/>
    </row>
    <row r="984" spans="1:8" ht="15.75" thickBot="1" x14ac:dyDescent="0.3">
      <c r="A984">
        <v>27847</v>
      </c>
      <c r="B984" t="s">
        <v>457</v>
      </c>
      <c r="C984" t="s">
        <v>3615</v>
      </c>
      <c r="D984" s="75">
        <v>8.8254000000000001</v>
      </c>
      <c r="E984">
        <v>581</v>
      </c>
      <c r="F984" s="54"/>
      <c r="H984" s="1"/>
    </row>
    <row r="985" spans="1:8" ht="15.75" thickBot="1" x14ac:dyDescent="0.3">
      <c r="A985">
        <v>27848</v>
      </c>
      <c r="B985" t="s">
        <v>467</v>
      </c>
      <c r="C985" t="s">
        <v>3616</v>
      </c>
      <c r="D985" s="75">
        <v>15.454799999999999</v>
      </c>
      <c r="E985">
        <v>150</v>
      </c>
      <c r="F985" s="54"/>
      <c r="H985" s="1"/>
    </row>
    <row r="986" spans="1:8" ht="15.75" thickBot="1" x14ac:dyDescent="0.3">
      <c r="A986">
        <v>27849</v>
      </c>
      <c r="B986" t="s">
        <v>434</v>
      </c>
      <c r="C986" t="s">
        <v>3617</v>
      </c>
      <c r="D986" s="75">
        <v>5.7653999999999996</v>
      </c>
      <c r="E986">
        <v>366</v>
      </c>
      <c r="F986" s="54"/>
      <c r="H986" s="1"/>
    </row>
    <row r="987" spans="1:8" ht="15.75" thickBot="1" x14ac:dyDescent="0.3">
      <c r="A987">
        <v>27850</v>
      </c>
      <c r="B987" t="s">
        <v>458</v>
      </c>
      <c r="C987" t="s">
        <v>3618</v>
      </c>
      <c r="D987" s="75">
        <v>8.6454000000000004</v>
      </c>
      <c r="E987">
        <v>735</v>
      </c>
      <c r="F987" s="54"/>
      <c r="H987" s="1"/>
    </row>
    <row r="988" spans="1:8" ht="15.75" thickBot="1" x14ac:dyDescent="0.3">
      <c r="A988">
        <v>27851</v>
      </c>
      <c r="B988" t="s">
        <v>468</v>
      </c>
      <c r="C988" t="s">
        <v>3619</v>
      </c>
      <c r="D988" s="75">
        <v>15.208199999999998</v>
      </c>
      <c r="E988">
        <v>48</v>
      </c>
      <c r="F988" s="54"/>
      <c r="H988" s="1"/>
    </row>
    <row r="989" spans="1:8" ht="15.75" thickBot="1" x14ac:dyDescent="0.3">
      <c r="A989">
        <v>27852</v>
      </c>
      <c r="B989" t="s">
        <v>3620</v>
      </c>
      <c r="C989" t="s">
        <v>3621</v>
      </c>
      <c r="D989" s="75">
        <v>24.2</v>
      </c>
      <c r="E989">
        <v>34</v>
      </c>
      <c r="F989" s="54"/>
      <c r="H989" s="1"/>
    </row>
    <row r="990" spans="1:8" ht="15.75" thickBot="1" x14ac:dyDescent="0.3">
      <c r="A990">
        <v>27853</v>
      </c>
      <c r="B990" t="s">
        <v>435</v>
      </c>
      <c r="C990" t="s">
        <v>3622</v>
      </c>
      <c r="D990" s="75">
        <v>7.7507999999999999</v>
      </c>
      <c r="E990">
        <v>75</v>
      </c>
      <c r="F990" s="54"/>
      <c r="H990" s="1"/>
    </row>
    <row r="991" spans="1:8" hidden="1" thickBot="1" x14ac:dyDescent="0.3">
      <c r="A991">
        <v>27854</v>
      </c>
      <c r="B991" t="s">
        <v>459</v>
      </c>
      <c r="C991" t="s">
        <v>3623</v>
      </c>
      <c r="D991" s="1">
        <v>10.4688</v>
      </c>
      <c r="E991">
        <v>0</v>
      </c>
      <c r="F991" s="54"/>
      <c r="H991" s="1"/>
    </row>
    <row r="992" spans="1:8" ht="15.75" thickBot="1" x14ac:dyDescent="0.3">
      <c r="A992">
        <v>27856</v>
      </c>
      <c r="B992" t="s">
        <v>3624</v>
      </c>
      <c r="C992" t="s">
        <v>3625</v>
      </c>
      <c r="D992" s="75">
        <v>22.49</v>
      </c>
      <c r="E992">
        <v>36</v>
      </c>
      <c r="F992" s="54"/>
      <c r="H992" s="1"/>
    </row>
    <row r="993" spans="1:8" ht="15.75" thickBot="1" x14ac:dyDescent="0.3">
      <c r="A993">
        <v>27855</v>
      </c>
      <c r="B993" t="s">
        <v>3626</v>
      </c>
      <c r="C993" t="s">
        <v>3627</v>
      </c>
      <c r="D993" s="75">
        <v>24.71</v>
      </c>
      <c r="E993">
        <v>24</v>
      </c>
      <c r="F993" s="54"/>
      <c r="H993" s="1"/>
    </row>
    <row r="994" spans="1:8" hidden="1" thickBot="1" x14ac:dyDescent="0.3">
      <c r="A994">
        <v>27859</v>
      </c>
      <c r="B994" t="s">
        <v>3628</v>
      </c>
      <c r="C994" t="s">
        <v>3629</v>
      </c>
      <c r="D994" s="1">
        <v>48.4</v>
      </c>
      <c r="E994">
        <v>0</v>
      </c>
      <c r="F994" s="54"/>
      <c r="H994" s="1"/>
    </row>
    <row r="995" spans="1:8" ht="15.75" thickBot="1" x14ac:dyDescent="0.3">
      <c r="A995">
        <v>27858</v>
      </c>
      <c r="B995" t="s">
        <v>3630</v>
      </c>
      <c r="C995" t="s">
        <v>3631</v>
      </c>
      <c r="D995" s="75">
        <v>18.420000000000002</v>
      </c>
      <c r="E995">
        <v>21</v>
      </c>
      <c r="F995" s="54"/>
      <c r="H995" s="1"/>
    </row>
    <row r="996" spans="1:8" hidden="1" thickBot="1" x14ac:dyDescent="0.3">
      <c r="A996">
        <v>27857</v>
      </c>
      <c r="B996" t="s">
        <v>3632</v>
      </c>
      <c r="C996" t="s">
        <v>3633</v>
      </c>
      <c r="D996" s="1">
        <v>21.23</v>
      </c>
      <c r="E996">
        <v>0</v>
      </c>
      <c r="F996" s="54"/>
      <c r="H996" s="1"/>
    </row>
    <row r="997" spans="1:8" ht="15.75" thickBot="1" x14ac:dyDescent="0.3">
      <c r="A997">
        <v>27860</v>
      </c>
      <c r="B997" t="s">
        <v>3634</v>
      </c>
      <c r="C997" t="s">
        <v>3635</v>
      </c>
      <c r="D997" s="75">
        <v>25.98</v>
      </c>
      <c r="E997">
        <v>36</v>
      </c>
      <c r="F997" s="54"/>
      <c r="H997" s="1"/>
    </row>
    <row r="998" spans="1:8" ht="15.75" thickBot="1" x14ac:dyDescent="0.3">
      <c r="A998">
        <v>27861</v>
      </c>
      <c r="B998" t="s">
        <v>3636</v>
      </c>
      <c r="C998" t="s">
        <v>3637</v>
      </c>
      <c r="D998" s="75">
        <v>18.420000000000002</v>
      </c>
      <c r="E998">
        <v>29</v>
      </c>
      <c r="F998" s="54"/>
      <c r="H998" s="1"/>
    </row>
    <row r="999" spans="1:8" ht="15.75" thickBot="1" x14ac:dyDescent="0.3">
      <c r="A999">
        <v>27862</v>
      </c>
      <c r="B999" t="s">
        <v>3638</v>
      </c>
      <c r="C999" t="s">
        <v>3639</v>
      </c>
      <c r="D999" s="75">
        <v>19.760000000000002</v>
      </c>
      <c r="E999">
        <v>36</v>
      </c>
      <c r="F999" s="54"/>
      <c r="H999" s="1"/>
    </row>
    <row r="1000" spans="1:8" ht="15.75" thickBot="1" x14ac:dyDescent="0.3">
      <c r="A1000">
        <v>27863</v>
      </c>
      <c r="B1000" t="s">
        <v>3640</v>
      </c>
      <c r="C1000" t="s">
        <v>3641</v>
      </c>
      <c r="D1000" s="75">
        <v>19.760000000000002</v>
      </c>
      <c r="E1000">
        <v>30</v>
      </c>
      <c r="F1000" s="54"/>
      <c r="H1000" s="1"/>
    </row>
    <row r="1001" spans="1:8" ht="15.75" thickBot="1" x14ac:dyDescent="0.3">
      <c r="A1001">
        <v>27864</v>
      </c>
      <c r="B1001" t="s">
        <v>3642</v>
      </c>
      <c r="C1001" t="s">
        <v>3643</v>
      </c>
      <c r="D1001" s="75">
        <v>45.04</v>
      </c>
      <c r="E1001">
        <v>1</v>
      </c>
      <c r="F1001" s="54"/>
      <c r="H1001" s="1"/>
    </row>
    <row r="1002" spans="1:8" hidden="1" thickBot="1" x14ac:dyDescent="0.3">
      <c r="A1002">
        <v>27865</v>
      </c>
      <c r="B1002" t="s">
        <v>3644</v>
      </c>
      <c r="C1002" t="s">
        <v>3645</v>
      </c>
      <c r="D1002" s="1">
        <v>33.32</v>
      </c>
      <c r="E1002">
        <v>0</v>
      </c>
      <c r="F1002" s="54"/>
      <c r="H1002" s="1"/>
    </row>
    <row r="1003" spans="1:8" ht="15.75" thickBot="1" x14ac:dyDescent="0.3">
      <c r="A1003">
        <v>27866</v>
      </c>
      <c r="B1003" t="s">
        <v>437</v>
      </c>
      <c r="C1003" t="s">
        <v>3646</v>
      </c>
      <c r="D1003" s="75">
        <v>6.7319999999999993</v>
      </c>
      <c r="E1003">
        <v>169</v>
      </c>
      <c r="F1003" s="54"/>
      <c r="H1003" s="1"/>
    </row>
    <row r="1004" spans="1:8" ht="15.75" thickBot="1" x14ac:dyDescent="0.3">
      <c r="A1004">
        <v>27867</v>
      </c>
      <c r="B1004" t="s">
        <v>460</v>
      </c>
      <c r="C1004" t="s">
        <v>3647</v>
      </c>
      <c r="D1004" s="75">
        <v>9.8010000000000002</v>
      </c>
      <c r="E1004">
        <v>1250</v>
      </c>
      <c r="F1004" s="54"/>
      <c r="H1004" s="1"/>
    </row>
    <row r="1005" spans="1:8" ht="15.75" thickBot="1" x14ac:dyDescent="0.3">
      <c r="A1005">
        <v>27868</v>
      </c>
      <c r="B1005" t="s">
        <v>469</v>
      </c>
      <c r="C1005" t="s">
        <v>3648</v>
      </c>
      <c r="D1005" s="75">
        <v>17.308799999999998</v>
      </c>
      <c r="E1005">
        <v>431</v>
      </c>
      <c r="F1005" s="54"/>
      <c r="H1005" s="1"/>
    </row>
    <row r="1006" spans="1:8" ht="15.75" thickBot="1" x14ac:dyDescent="0.3">
      <c r="A1006">
        <v>27869</v>
      </c>
      <c r="B1006" t="s">
        <v>3649</v>
      </c>
      <c r="C1006" t="s">
        <v>3650</v>
      </c>
      <c r="D1006" s="75">
        <v>38.28</v>
      </c>
      <c r="E1006">
        <v>32</v>
      </c>
      <c r="F1006" s="54"/>
      <c r="H1006" s="1"/>
    </row>
    <row r="1007" spans="1:8" hidden="1" thickBot="1" x14ac:dyDescent="0.3">
      <c r="A1007">
        <v>27870</v>
      </c>
      <c r="B1007" t="s">
        <v>438</v>
      </c>
      <c r="C1007" t="s">
        <v>3651</v>
      </c>
      <c r="D1007" s="1">
        <v>9.9215999999999998</v>
      </c>
      <c r="E1007">
        <v>0</v>
      </c>
      <c r="F1007" s="54"/>
      <c r="H1007" s="1"/>
    </row>
    <row r="1008" spans="1:8" hidden="1" thickBot="1" x14ac:dyDescent="0.3">
      <c r="A1008">
        <v>27871</v>
      </c>
      <c r="B1008" t="s">
        <v>439</v>
      </c>
      <c r="C1008" t="s">
        <v>3652</v>
      </c>
      <c r="D1008" s="1">
        <v>8.0495999999999999</v>
      </c>
      <c r="E1008">
        <v>0</v>
      </c>
      <c r="F1008" s="54"/>
      <c r="H1008" s="1"/>
    </row>
    <row r="1009" spans="1:8" ht="15.75" thickBot="1" x14ac:dyDescent="0.3">
      <c r="A1009">
        <v>27872</v>
      </c>
      <c r="B1009" t="s">
        <v>461</v>
      </c>
      <c r="C1009" t="s">
        <v>3653</v>
      </c>
      <c r="D1009" s="75">
        <v>11.3598</v>
      </c>
      <c r="E1009">
        <v>8</v>
      </c>
      <c r="F1009" s="54"/>
      <c r="H1009" s="1"/>
    </row>
    <row r="1010" spans="1:8" ht="15.75" thickBot="1" x14ac:dyDescent="0.3">
      <c r="A1010">
        <v>27873</v>
      </c>
      <c r="B1010" t="s">
        <v>3654</v>
      </c>
      <c r="C1010" t="s">
        <v>3655</v>
      </c>
      <c r="D1010" s="75">
        <v>38.28</v>
      </c>
      <c r="E1010">
        <v>6</v>
      </c>
      <c r="F1010" s="54"/>
      <c r="H1010" s="1"/>
    </row>
    <row r="1011" spans="1:8" ht="15.75" thickBot="1" x14ac:dyDescent="0.3">
      <c r="A1011">
        <v>27874</v>
      </c>
      <c r="B1011" t="s">
        <v>3656</v>
      </c>
      <c r="C1011" t="s">
        <v>3657</v>
      </c>
      <c r="D1011" s="75">
        <v>24.71</v>
      </c>
      <c r="E1011">
        <v>11</v>
      </c>
      <c r="F1011" s="54"/>
      <c r="H1011" s="1"/>
    </row>
    <row r="1012" spans="1:8" hidden="1" thickBot="1" x14ac:dyDescent="0.3">
      <c r="A1012">
        <v>27875</v>
      </c>
      <c r="B1012" t="s">
        <v>3658</v>
      </c>
      <c r="C1012" t="s">
        <v>3659</v>
      </c>
      <c r="D1012" s="1">
        <v>30.27</v>
      </c>
      <c r="E1012">
        <v>0</v>
      </c>
      <c r="F1012" s="54"/>
      <c r="H1012" s="1"/>
    </row>
    <row r="1013" spans="1:8" ht="15.75" thickBot="1" x14ac:dyDescent="0.3">
      <c r="A1013">
        <v>27876</v>
      </c>
      <c r="B1013" t="s">
        <v>3660</v>
      </c>
      <c r="C1013" t="s">
        <v>3661</v>
      </c>
      <c r="D1013" s="75">
        <v>36.840000000000003</v>
      </c>
      <c r="E1013">
        <v>60</v>
      </c>
      <c r="F1013" s="54"/>
      <c r="H1013" s="1"/>
    </row>
    <row r="1014" spans="1:8" hidden="1" thickBot="1" x14ac:dyDescent="0.3">
      <c r="A1014">
        <v>27877</v>
      </c>
      <c r="B1014" t="s">
        <v>3662</v>
      </c>
      <c r="C1014" t="s">
        <v>3663</v>
      </c>
      <c r="D1014" s="1">
        <v>44.98</v>
      </c>
      <c r="E1014">
        <v>0</v>
      </c>
      <c r="F1014" s="54"/>
      <c r="H1014" s="1"/>
    </row>
    <row r="1015" spans="1:8" hidden="1" thickBot="1" x14ac:dyDescent="0.3">
      <c r="A1015">
        <v>27878</v>
      </c>
      <c r="B1015" t="s">
        <v>3664</v>
      </c>
      <c r="C1015" t="s">
        <v>3665</v>
      </c>
      <c r="D1015" s="1">
        <v>22.49</v>
      </c>
      <c r="E1015">
        <v>0</v>
      </c>
      <c r="F1015" s="54"/>
      <c r="H1015" s="1"/>
    </row>
    <row r="1016" spans="1:8" hidden="1" thickBot="1" x14ac:dyDescent="0.3">
      <c r="A1016">
        <v>27879</v>
      </c>
      <c r="B1016" t="s">
        <v>3666</v>
      </c>
      <c r="C1016" t="s">
        <v>3667</v>
      </c>
      <c r="D1016" s="1">
        <v>24.71</v>
      </c>
      <c r="E1016">
        <v>0</v>
      </c>
      <c r="F1016" s="54"/>
      <c r="H1016" s="1"/>
    </row>
    <row r="1017" spans="1:8" ht="15.75" thickBot="1" x14ac:dyDescent="0.3">
      <c r="A1017">
        <v>27880</v>
      </c>
      <c r="B1017" t="s">
        <v>3668</v>
      </c>
      <c r="C1017" t="s">
        <v>3669</v>
      </c>
      <c r="D1017" s="75">
        <v>30.27</v>
      </c>
      <c r="E1017">
        <v>112</v>
      </c>
      <c r="F1017" s="54"/>
      <c r="H1017" s="1"/>
    </row>
    <row r="1018" spans="1:8" hidden="1" thickBot="1" x14ac:dyDescent="0.3">
      <c r="A1018">
        <v>27882</v>
      </c>
      <c r="B1018" t="s">
        <v>3670</v>
      </c>
      <c r="C1018" t="s">
        <v>3671</v>
      </c>
      <c r="D1018" s="1">
        <v>24.71</v>
      </c>
      <c r="E1018">
        <v>0</v>
      </c>
      <c r="F1018" s="54"/>
      <c r="H1018" s="1"/>
    </row>
    <row r="1019" spans="1:8" ht="15.75" thickBot="1" x14ac:dyDescent="0.3">
      <c r="A1019">
        <v>27881</v>
      </c>
      <c r="B1019" t="s">
        <v>3672</v>
      </c>
      <c r="C1019" t="s">
        <v>3673</v>
      </c>
      <c r="D1019" s="75">
        <v>44.98</v>
      </c>
      <c r="E1019">
        <v>2</v>
      </c>
      <c r="F1019" s="54"/>
      <c r="H1019" s="1"/>
    </row>
    <row r="1020" spans="1:8" ht="15.75" thickBot="1" x14ac:dyDescent="0.3">
      <c r="A1020">
        <v>27883</v>
      </c>
      <c r="B1020" t="s">
        <v>3674</v>
      </c>
      <c r="C1020" t="s">
        <v>3675</v>
      </c>
      <c r="D1020" s="75">
        <v>24.71</v>
      </c>
      <c r="E1020">
        <v>4</v>
      </c>
      <c r="F1020" s="54"/>
      <c r="H1020" s="1"/>
    </row>
    <row r="1021" spans="1:8" hidden="1" thickBot="1" x14ac:dyDescent="0.3">
      <c r="A1021">
        <v>27884</v>
      </c>
      <c r="B1021" t="s">
        <v>3676</v>
      </c>
      <c r="C1021" t="s">
        <v>3677</v>
      </c>
      <c r="D1021" s="1">
        <v>14.7</v>
      </c>
      <c r="E1021">
        <v>0</v>
      </c>
      <c r="F1021" s="54"/>
      <c r="H1021" s="1"/>
    </row>
    <row r="1022" spans="1:8" hidden="1" thickBot="1" x14ac:dyDescent="0.3">
      <c r="A1022">
        <v>27885</v>
      </c>
      <c r="B1022" t="s">
        <v>3678</v>
      </c>
      <c r="C1022" t="s">
        <v>3679</v>
      </c>
      <c r="D1022" s="1">
        <v>4.7699999999999996</v>
      </c>
      <c r="E1022">
        <v>0</v>
      </c>
      <c r="F1022" s="54"/>
      <c r="H1022" s="1"/>
    </row>
    <row r="1023" spans="1:8" ht="15.75" thickBot="1" x14ac:dyDescent="0.3">
      <c r="A1023">
        <v>27886</v>
      </c>
      <c r="B1023" t="s">
        <v>3680</v>
      </c>
      <c r="C1023" t="s">
        <v>3681</v>
      </c>
      <c r="D1023" s="75">
        <v>37.700000000000003</v>
      </c>
      <c r="E1023">
        <v>120</v>
      </c>
      <c r="F1023" s="54"/>
    </row>
    <row r="1024" spans="1:8" hidden="1" thickBot="1" x14ac:dyDescent="0.3">
      <c r="A1024">
        <v>27887</v>
      </c>
      <c r="B1024" t="s">
        <v>3682</v>
      </c>
      <c r="C1024" t="s">
        <v>3683</v>
      </c>
      <c r="E1024">
        <v>0</v>
      </c>
      <c r="F1024" s="54"/>
    </row>
    <row r="1025" spans="1:6" ht="15.75" thickBot="1" x14ac:dyDescent="0.3">
      <c r="A1025">
        <v>27889</v>
      </c>
      <c r="B1025" t="s">
        <v>3684</v>
      </c>
      <c r="C1025" t="s">
        <v>3685</v>
      </c>
      <c r="D1025" s="75">
        <v>154.16999999999999</v>
      </c>
      <c r="E1025">
        <v>2</v>
      </c>
      <c r="F1025" s="54"/>
    </row>
    <row r="1026" spans="1:6" hidden="1" thickBot="1" x14ac:dyDescent="0.3">
      <c r="A1026">
        <v>27888</v>
      </c>
      <c r="B1026" t="s">
        <v>3686</v>
      </c>
      <c r="C1026" t="s">
        <v>3687</v>
      </c>
      <c r="E1026">
        <v>0</v>
      </c>
      <c r="F1026" s="54"/>
    </row>
    <row r="1027" spans="1:6" ht="15.75" thickBot="1" x14ac:dyDescent="0.3">
      <c r="A1027">
        <v>28910</v>
      </c>
      <c r="B1027" t="s">
        <v>3688</v>
      </c>
      <c r="C1027" t="s">
        <v>3689</v>
      </c>
      <c r="D1027" s="75">
        <v>226.38</v>
      </c>
      <c r="E1027">
        <v>29</v>
      </c>
      <c r="F1027" s="54"/>
    </row>
    <row r="1028" spans="1:6" hidden="1" thickBot="1" x14ac:dyDescent="0.3">
      <c r="A1028">
        <v>28909</v>
      </c>
      <c r="B1028" t="s">
        <v>3690</v>
      </c>
      <c r="C1028" t="s">
        <v>3691</v>
      </c>
      <c r="E1028">
        <v>0</v>
      </c>
      <c r="F1028" s="54"/>
    </row>
    <row r="1029" spans="1:6" hidden="1" thickBot="1" x14ac:dyDescent="0.3">
      <c r="A1029">
        <v>28911</v>
      </c>
      <c r="B1029" t="s">
        <v>3692</v>
      </c>
      <c r="C1029" t="s">
        <v>3693</v>
      </c>
      <c r="E1029">
        <v>0</v>
      </c>
      <c r="F1029" s="54"/>
    </row>
    <row r="1030" spans="1:6" hidden="1" thickBot="1" x14ac:dyDescent="0.3">
      <c r="A1030">
        <v>28912</v>
      </c>
      <c r="B1030" t="s">
        <v>3694</v>
      </c>
      <c r="C1030" t="s">
        <v>2490</v>
      </c>
      <c r="E1030">
        <v>0</v>
      </c>
      <c r="F1030" s="54"/>
    </row>
    <row r="1031" spans="1:6" hidden="1" thickBot="1" x14ac:dyDescent="0.3">
      <c r="A1031">
        <v>28913</v>
      </c>
      <c r="B1031" t="s">
        <v>3695</v>
      </c>
      <c r="C1031" t="s">
        <v>3696</v>
      </c>
      <c r="E1031">
        <v>0</v>
      </c>
      <c r="F1031" s="54"/>
    </row>
    <row r="1032" spans="1:6" hidden="1" thickBot="1" x14ac:dyDescent="0.3">
      <c r="A1032">
        <v>28914</v>
      </c>
      <c r="B1032" t="s">
        <v>3697</v>
      </c>
      <c r="C1032" t="s">
        <v>3683</v>
      </c>
      <c r="E1032">
        <v>0</v>
      </c>
      <c r="F1032" s="54"/>
    </row>
    <row r="1033" spans="1:6" hidden="1" thickBot="1" x14ac:dyDescent="0.3">
      <c r="A1033">
        <v>28918</v>
      </c>
      <c r="B1033" t="s">
        <v>3698</v>
      </c>
      <c r="C1033" t="s">
        <v>3699</v>
      </c>
      <c r="E1033">
        <v>0</v>
      </c>
      <c r="F1033" s="54"/>
    </row>
    <row r="1034" spans="1:6" hidden="1" thickBot="1" x14ac:dyDescent="0.3">
      <c r="A1034">
        <v>28917</v>
      </c>
      <c r="B1034" t="s">
        <v>3700</v>
      </c>
      <c r="C1034" t="s">
        <v>3701</v>
      </c>
      <c r="E1034">
        <v>0</v>
      </c>
      <c r="F1034" s="54"/>
    </row>
    <row r="1035" spans="1:6" hidden="1" thickBot="1" x14ac:dyDescent="0.3">
      <c r="A1035">
        <v>28916</v>
      </c>
      <c r="B1035" t="s">
        <v>3702</v>
      </c>
      <c r="C1035" t="s">
        <v>3703</v>
      </c>
      <c r="E1035">
        <v>0</v>
      </c>
      <c r="F1035" s="54"/>
    </row>
    <row r="1036" spans="1:6" hidden="1" thickBot="1" x14ac:dyDescent="0.3">
      <c r="A1036">
        <v>28915</v>
      </c>
      <c r="B1036" t="s">
        <v>3704</v>
      </c>
      <c r="C1036" t="s">
        <v>3705</v>
      </c>
      <c r="E1036">
        <v>0</v>
      </c>
      <c r="F1036" s="54"/>
    </row>
    <row r="1037" spans="1:6" ht="15.75" thickBot="1" x14ac:dyDescent="0.3">
      <c r="A1037">
        <v>27891</v>
      </c>
      <c r="B1037" t="s">
        <v>3706</v>
      </c>
      <c r="C1037" t="s">
        <v>3707</v>
      </c>
      <c r="D1037" s="75">
        <v>49</v>
      </c>
      <c r="E1037">
        <v>31</v>
      </c>
      <c r="F1037" s="54"/>
    </row>
    <row r="1038" spans="1:6" ht="15.75" thickBot="1" x14ac:dyDescent="0.3">
      <c r="A1038">
        <v>27893</v>
      </c>
      <c r="B1038" t="s">
        <v>3708</v>
      </c>
      <c r="C1038" t="s">
        <v>3709</v>
      </c>
      <c r="D1038" s="75">
        <v>58</v>
      </c>
      <c r="E1038">
        <v>215</v>
      </c>
      <c r="F1038" s="54"/>
    </row>
    <row r="1039" spans="1:6" ht="15.75" thickBot="1" x14ac:dyDescent="0.3">
      <c r="A1039">
        <v>27894</v>
      </c>
      <c r="B1039" t="s">
        <v>3710</v>
      </c>
      <c r="C1039" t="s">
        <v>3711</v>
      </c>
      <c r="D1039" s="75">
        <v>60</v>
      </c>
      <c r="E1039">
        <v>79</v>
      </c>
      <c r="F1039" s="54"/>
    </row>
    <row r="1040" spans="1:6" ht="15.75" thickBot="1" x14ac:dyDescent="0.3">
      <c r="A1040">
        <v>27895</v>
      </c>
      <c r="B1040" t="s">
        <v>3712</v>
      </c>
      <c r="C1040" t="s">
        <v>3713</v>
      </c>
      <c r="D1040" s="75">
        <v>140</v>
      </c>
      <c r="E1040">
        <v>18</v>
      </c>
      <c r="F1040" s="54"/>
    </row>
    <row r="1041" spans="1:6" hidden="1" thickBot="1" x14ac:dyDescent="0.3">
      <c r="A1041">
        <v>27897</v>
      </c>
      <c r="B1041" t="s">
        <v>3714</v>
      </c>
      <c r="C1041" t="s">
        <v>3715</v>
      </c>
      <c r="E1041">
        <v>0</v>
      </c>
      <c r="F1041" s="54"/>
    </row>
    <row r="1042" spans="1:6" hidden="1" thickBot="1" x14ac:dyDescent="0.3">
      <c r="A1042">
        <v>28921</v>
      </c>
      <c r="B1042" t="s">
        <v>3716</v>
      </c>
      <c r="C1042" t="s">
        <v>3717</v>
      </c>
      <c r="E1042">
        <v>0</v>
      </c>
      <c r="F1042" s="54"/>
    </row>
    <row r="1043" spans="1:6" hidden="1" thickBot="1" x14ac:dyDescent="0.3">
      <c r="A1043">
        <v>28922</v>
      </c>
      <c r="B1043" t="s">
        <v>3718</v>
      </c>
      <c r="C1043" t="s">
        <v>3719</v>
      </c>
      <c r="E1043">
        <v>0</v>
      </c>
      <c r="F1043" s="54"/>
    </row>
    <row r="1044" spans="1:6" hidden="1" thickBot="1" x14ac:dyDescent="0.3">
      <c r="A1044">
        <v>28924</v>
      </c>
      <c r="B1044" t="s">
        <v>3720</v>
      </c>
      <c r="C1044" t="s">
        <v>2490</v>
      </c>
      <c r="E1044">
        <v>0</v>
      </c>
      <c r="F1044" s="54"/>
    </row>
    <row r="1045" spans="1:6" hidden="1" thickBot="1" x14ac:dyDescent="0.3">
      <c r="A1045">
        <v>28925</v>
      </c>
      <c r="B1045" t="s">
        <v>3721</v>
      </c>
      <c r="C1045" t="s">
        <v>2490</v>
      </c>
      <c r="E1045">
        <v>0</v>
      </c>
      <c r="F1045" s="54"/>
    </row>
    <row r="1046" spans="1:6" ht="15.75" thickBot="1" x14ac:dyDescent="0.3">
      <c r="A1046">
        <v>27896</v>
      </c>
      <c r="B1046" t="s">
        <v>3722</v>
      </c>
      <c r="C1046" t="s">
        <v>3723</v>
      </c>
      <c r="D1046" s="75">
        <v>36.6</v>
      </c>
      <c r="E1046">
        <v>18</v>
      </c>
      <c r="F1046" s="54"/>
    </row>
    <row r="1047" spans="1:6" hidden="1" thickBot="1" x14ac:dyDescent="0.3">
      <c r="A1047">
        <v>27898</v>
      </c>
      <c r="B1047" t="s">
        <v>3724</v>
      </c>
      <c r="C1047" t="s">
        <v>3725</v>
      </c>
      <c r="E1047">
        <v>0</v>
      </c>
      <c r="F1047" s="54"/>
    </row>
    <row r="1048" spans="1:6" hidden="1" thickBot="1" x14ac:dyDescent="0.3">
      <c r="A1048">
        <v>27899</v>
      </c>
      <c r="B1048" t="s">
        <v>3726</v>
      </c>
      <c r="C1048" t="s">
        <v>3727</v>
      </c>
      <c r="E1048">
        <v>0</v>
      </c>
      <c r="F1048" s="54"/>
    </row>
    <row r="1049" spans="1:6" ht="15.75" thickBot="1" x14ac:dyDescent="0.3">
      <c r="A1049">
        <v>27900</v>
      </c>
      <c r="B1049" t="s">
        <v>3728</v>
      </c>
      <c r="C1049" t="s">
        <v>3727</v>
      </c>
      <c r="D1049" s="75">
        <v>43.6</v>
      </c>
      <c r="E1049">
        <v>8</v>
      </c>
      <c r="F1049" s="54"/>
    </row>
    <row r="1050" spans="1:6" ht="15.75" thickBot="1" x14ac:dyDescent="0.3">
      <c r="A1050">
        <v>27901</v>
      </c>
      <c r="B1050" t="s">
        <v>3729</v>
      </c>
      <c r="C1050" t="s">
        <v>3730</v>
      </c>
      <c r="D1050" s="75">
        <v>46.3</v>
      </c>
      <c r="E1050">
        <v>2</v>
      </c>
      <c r="F1050" s="54"/>
    </row>
    <row r="1051" spans="1:6" ht="15.75" thickBot="1" x14ac:dyDescent="0.3">
      <c r="A1051">
        <v>27903</v>
      </c>
      <c r="B1051" t="s">
        <v>3731</v>
      </c>
      <c r="C1051" t="s">
        <v>3732</v>
      </c>
      <c r="D1051" s="75">
        <v>47</v>
      </c>
      <c r="E1051">
        <v>70</v>
      </c>
      <c r="F1051" s="54"/>
    </row>
    <row r="1052" spans="1:6" hidden="1" thickBot="1" x14ac:dyDescent="0.3">
      <c r="A1052">
        <v>27902</v>
      </c>
      <c r="B1052" t="s">
        <v>3733</v>
      </c>
      <c r="C1052" t="s">
        <v>3734</v>
      </c>
      <c r="E1052">
        <v>0</v>
      </c>
      <c r="F1052" s="54"/>
    </row>
    <row r="1053" spans="1:6" hidden="1" thickBot="1" x14ac:dyDescent="0.3">
      <c r="A1053">
        <v>28923</v>
      </c>
      <c r="B1053" t="s">
        <v>3735</v>
      </c>
      <c r="C1053" t="s">
        <v>3736</v>
      </c>
      <c r="E1053">
        <v>0</v>
      </c>
      <c r="F1053" s="54"/>
    </row>
    <row r="1054" spans="1:6" hidden="1" thickBot="1" x14ac:dyDescent="0.3">
      <c r="A1054">
        <v>27904</v>
      </c>
      <c r="B1054" t="s">
        <v>3737</v>
      </c>
      <c r="C1054" t="s">
        <v>3738</v>
      </c>
      <c r="E1054">
        <v>0</v>
      </c>
      <c r="F1054" s="54"/>
    </row>
    <row r="1055" spans="1:6" hidden="1" thickBot="1" x14ac:dyDescent="0.3">
      <c r="A1055">
        <v>27905</v>
      </c>
      <c r="B1055" t="s">
        <v>3739</v>
      </c>
      <c r="C1055" t="s">
        <v>3740</v>
      </c>
      <c r="E1055">
        <v>0</v>
      </c>
      <c r="F1055" s="54"/>
    </row>
    <row r="1056" spans="1:6" hidden="1" thickBot="1" x14ac:dyDescent="0.3">
      <c r="A1056">
        <v>27906</v>
      </c>
      <c r="B1056" t="s">
        <v>3741</v>
      </c>
      <c r="C1056" t="s">
        <v>3742</v>
      </c>
      <c r="E1056">
        <v>0</v>
      </c>
      <c r="F1056" s="54"/>
    </row>
    <row r="1057" spans="1:6" hidden="1" thickBot="1" x14ac:dyDescent="0.3">
      <c r="A1057">
        <v>27907</v>
      </c>
      <c r="B1057" t="s">
        <v>3743</v>
      </c>
      <c r="C1057" t="s">
        <v>3744</v>
      </c>
      <c r="E1057">
        <v>0</v>
      </c>
      <c r="F1057" s="54"/>
    </row>
    <row r="1058" spans="1:6" hidden="1" thickBot="1" x14ac:dyDescent="0.3">
      <c r="A1058">
        <v>27908</v>
      </c>
      <c r="B1058" t="s">
        <v>3745</v>
      </c>
      <c r="C1058" t="s">
        <v>3746</v>
      </c>
      <c r="E1058">
        <v>0</v>
      </c>
      <c r="F1058" s="54"/>
    </row>
    <row r="1059" spans="1:6" hidden="1" thickBot="1" x14ac:dyDescent="0.3">
      <c r="A1059">
        <v>27909</v>
      </c>
      <c r="B1059" t="s">
        <v>3747</v>
      </c>
      <c r="C1059" t="s">
        <v>3748</v>
      </c>
      <c r="E1059">
        <v>0</v>
      </c>
      <c r="F1059" s="54"/>
    </row>
    <row r="1060" spans="1:6" hidden="1" thickBot="1" x14ac:dyDescent="0.3">
      <c r="A1060">
        <v>27910</v>
      </c>
      <c r="B1060" t="s">
        <v>3749</v>
      </c>
      <c r="C1060" t="s">
        <v>3750</v>
      </c>
      <c r="E1060">
        <v>0</v>
      </c>
      <c r="F1060" s="54"/>
    </row>
    <row r="1061" spans="1:6" hidden="1" thickBot="1" x14ac:dyDescent="0.3">
      <c r="A1061">
        <v>27911</v>
      </c>
      <c r="B1061" t="s">
        <v>3751</v>
      </c>
      <c r="C1061" t="s">
        <v>3752</v>
      </c>
      <c r="E1061">
        <v>0</v>
      </c>
      <c r="F1061" s="54"/>
    </row>
    <row r="1062" spans="1:6" hidden="1" thickBot="1" x14ac:dyDescent="0.3">
      <c r="A1062">
        <v>27912</v>
      </c>
      <c r="B1062" t="s">
        <v>3753</v>
      </c>
      <c r="C1062" t="s">
        <v>3754</v>
      </c>
      <c r="E1062">
        <v>0</v>
      </c>
      <c r="F1062" s="54"/>
    </row>
    <row r="1063" spans="1:6" hidden="1" thickBot="1" x14ac:dyDescent="0.3">
      <c r="A1063">
        <v>27914</v>
      </c>
      <c r="B1063" t="s">
        <v>3755</v>
      </c>
      <c r="C1063" t="s">
        <v>3756</v>
      </c>
      <c r="E1063">
        <v>0</v>
      </c>
      <c r="F1063" s="54"/>
    </row>
    <row r="1064" spans="1:6" hidden="1" thickBot="1" x14ac:dyDescent="0.3">
      <c r="A1064">
        <v>27913</v>
      </c>
      <c r="B1064" t="s">
        <v>3757</v>
      </c>
      <c r="C1064" t="s">
        <v>3758</v>
      </c>
      <c r="E1064">
        <v>0</v>
      </c>
      <c r="F1064" s="54"/>
    </row>
    <row r="1065" spans="1:6" hidden="1" thickBot="1" x14ac:dyDescent="0.3">
      <c r="A1065">
        <v>27915</v>
      </c>
      <c r="B1065" t="s">
        <v>3759</v>
      </c>
      <c r="C1065" t="s">
        <v>3760</v>
      </c>
      <c r="E1065">
        <v>0</v>
      </c>
      <c r="F1065" s="54"/>
    </row>
    <row r="1066" spans="1:6" hidden="1" thickBot="1" x14ac:dyDescent="0.3">
      <c r="A1066">
        <v>27916</v>
      </c>
      <c r="B1066" t="s">
        <v>3761</v>
      </c>
      <c r="C1066" t="s">
        <v>3762</v>
      </c>
      <c r="E1066">
        <v>0</v>
      </c>
      <c r="F1066" s="54"/>
    </row>
    <row r="1067" spans="1:6" hidden="1" thickBot="1" x14ac:dyDescent="0.3">
      <c r="A1067">
        <v>27919</v>
      </c>
      <c r="B1067" t="s">
        <v>3763</v>
      </c>
      <c r="C1067" t="s">
        <v>3754</v>
      </c>
      <c r="E1067">
        <v>0</v>
      </c>
      <c r="F1067" s="54"/>
    </row>
    <row r="1068" spans="1:6" hidden="1" thickBot="1" x14ac:dyDescent="0.3">
      <c r="A1068">
        <v>27918</v>
      </c>
      <c r="B1068" t="s">
        <v>3764</v>
      </c>
      <c r="C1068" t="s">
        <v>3765</v>
      </c>
      <c r="E1068">
        <v>0</v>
      </c>
      <c r="F1068" s="54"/>
    </row>
    <row r="1069" spans="1:6" hidden="1" thickBot="1" x14ac:dyDescent="0.3">
      <c r="A1069">
        <v>27917</v>
      </c>
      <c r="B1069" t="s">
        <v>3766</v>
      </c>
      <c r="C1069" t="s">
        <v>3767</v>
      </c>
      <c r="E1069">
        <v>0</v>
      </c>
      <c r="F1069" s="54"/>
    </row>
    <row r="1070" spans="1:6" hidden="1" thickBot="1" x14ac:dyDescent="0.3">
      <c r="A1070">
        <v>28930</v>
      </c>
      <c r="B1070" t="s">
        <v>3768</v>
      </c>
      <c r="C1070" t="s">
        <v>3769</v>
      </c>
      <c r="E1070">
        <v>0</v>
      </c>
      <c r="F1070" s="54"/>
    </row>
    <row r="1071" spans="1:6" hidden="1" thickBot="1" x14ac:dyDescent="0.3">
      <c r="A1071">
        <v>28928</v>
      </c>
      <c r="B1071" t="s">
        <v>3770</v>
      </c>
      <c r="C1071" t="s">
        <v>3771</v>
      </c>
      <c r="E1071">
        <v>0</v>
      </c>
      <c r="F1071" s="54"/>
    </row>
    <row r="1072" spans="1:6" hidden="1" thickBot="1" x14ac:dyDescent="0.3">
      <c r="A1072">
        <v>27920</v>
      </c>
      <c r="B1072" t="s">
        <v>3772</v>
      </c>
      <c r="C1072" t="s">
        <v>3773</v>
      </c>
      <c r="E1072">
        <v>0</v>
      </c>
      <c r="F1072" s="54"/>
    </row>
    <row r="1073" spans="1:6" hidden="1" thickBot="1" x14ac:dyDescent="0.3">
      <c r="A1073">
        <v>27921</v>
      </c>
      <c r="B1073" t="s">
        <v>3774</v>
      </c>
      <c r="C1073" t="s">
        <v>3775</v>
      </c>
      <c r="E1073">
        <v>0</v>
      </c>
      <c r="F1073" s="54"/>
    </row>
    <row r="1074" spans="1:6" hidden="1" thickBot="1" x14ac:dyDescent="0.3">
      <c r="A1074">
        <v>27922</v>
      </c>
      <c r="B1074" t="s">
        <v>3776</v>
      </c>
      <c r="C1074" t="s">
        <v>3777</v>
      </c>
      <c r="E1074">
        <v>0</v>
      </c>
      <c r="F1074" s="54"/>
    </row>
    <row r="1075" spans="1:6" hidden="1" thickBot="1" x14ac:dyDescent="0.3">
      <c r="A1075">
        <v>27923</v>
      </c>
      <c r="B1075" t="s">
        <v>3778</v>
      </c>
      <c r="C1075" t="s">
        <v>3779</v>
      </c>
      <c r="E1075">
        <v>0</v>
      </c>
      <c r="F1075" s="54"/>
    </row>
    <row r="1076" spans="1:6" hidden="1" thickBot="1" x14ac:dyDescent="0.3">
      <c r="A1076">
        <v>27925</v>
      </c>
      <c r="B1076" t="s">
        <v>3780</v>
      </c>
      <c r="C1076" t="s">
        <v>3781</v>
      </c>
      <c r="E1076">
        <v>0</v>
      </c>
      <c r="F1076" s="54"/>
    </row>
    <row r="1077" spans="1:6" ht="15.75" thickBot="1" x14ac:dyDescent="0.3">
      <c r="A1077">
        <v>27924</v>
      </c>
      <c r="B1077" t="s">
        <v>3782</v>
      </c>
      <c r="C1077" t="s">
        <v>3783</v>
      </c>
      <c r="D1077" s="75">
        <v>75.5</v>
      </c>
      <c r="E1077">
        <v>6</v>
      </c>
      <c r="F1077" s="54"/>
    </row>
    <row r="1078" spans="1:6" hidden="1" thickBot="1" x14ac:dyDescent="0.3">
      <c r="A1078">
        <v>27926</v>
      </c>
      <c r="B1078" t="s">
        <v>3784</v>
      </c>
      <c r="C1078" t="s">
        <v>3785</v>
      </c>
      <c r="E1078">
        <v>0</v>
      </c>
      <c r="F1078" s="54"/>
    </row>
    <row r="1079" spans="1:6" hidden="1" thickBot="1" x14ac:dyDescent="0.3">
      <c r="A1079">
        <v>28926</v>
      </c>
      <c r="B1079" t="s">
        <v>3786</v>
      </c>
      <c r="C1079" t="s">
        <v>3787</v>
      </c>
      <c r="E1079">
        <v>0</v>
      </c>
      <c r="F1079" s="54"/>
    </row>
    <row r="1080" spans="1:6" hidden="1" thickBot="1" x14ac:dyDescent="0.3">
      <c r="A1080">
        <v>27927</v>
      </c>
      <c r="B1080" t="s">
        <v>3788</v>
      </c>
      <c r="C1080" t="s">
        <v>3789</v>
      </c>
      <c r="E1080">
        <v>0</v>
      </c>
      <c r="F1080" s="54"/>
    </row>
    <row r="1081" spans="1:6" hidden="1" thickBot="1" x14ac:dyDescent="0.3">
      <c r="A1081">
        <v>27929</v>
      </c>
      <c r="B1081" t="s">
        <v>3790</v>
      </c>
      <c r="C1081" t="s">
        <v>3791</v>
      </c>
      <c r="E1081">
        <v>0</v>
      </c>
      <c r="F1081" s="54"/>
    </row>
    <row r="1082" spans="1:6" hidden="1" thickBot="1" x14ac:dyDescent="0.3">
      <c r="A1082">
        <v>27928</v>
      </c>
      <c r="B1082" t="s">
        <v>3792</v>
      </c>
      <c r="C1082" t="s">
        <v>3793</v>
      </c>
      <c r="E1082">
        <v>0</v>
      </c>
      <c r="F1082" s="54"/>
    </row>
    <row r="1083" spans="1:6" hidden="1" thickBot="1" x14ac:dyDescent="0.3">
      <c r="A1083">
        <v>27930</v>
      </c>
      <c r="B1083" t="s">
        <v>3794</v>
      </c>
      <c r="C1083" t="s">
        <v>3795</v>
      </c>
      <c r="E1083">
        <v>0</v>
      </c>
      <c r="F1083" s="54"/>
    </row>
    <row r="1084" spans="1:6" hidden="1" thickBot="1" x14ac:dyDescent="0.3">
      <c r="A1084">
        <v>27931</v>
      </c>
      <c r="B1084" t="s">
        <v>3796</v>
      </c>
      <c r="C1084" t="s">
        <v>3797</v>
      </c>
      <c r="E1084">
        <v>0</v>
      </c>
      <c r="F1084" s="54"/>
    </row>
    <row r="1085" spans="1:6" ht="15.75" thickBot="1" x14ac:dyDescent="0.3">
      <c r="A1085">
        <v>27932</v>
      </c>
      <c r="B1085" t="s">
        <v>3798</v>
      </c>
      <c r="C1085" t="s">
        <v>3799</v>
      </c>
      <c r="D1085" s="75">
        <v>57</v>
      </c>
      <c r="E1085">
        <v>210</v>
      </c>
      <c r="F1085" s="54"/>
    </row>
    <row r="1086" spans="1:6" hidden="1" thickBot="1" x14ac:dyDescent="0.3">
      <c r="A1086">
        <v>27933</v>
      </c>
      <c r="B1086" t="s">
        <v>3800</v>
      </c>
      <c r="C1086" t="s">
        <v>2672</v>
      </c>
      <c r="E1086">
        <v>0</v>
      </c>
      <c r="F1086" s="54"/>
    </row>
    <row r="1087" spans="1:6" hidden="1" thickBot="1" x14ac:dyDescent="0.3">
      <c r="A1087">
        <v>27934</v>
      </c>
      <c r="B1087" t="s">
        <v>3801</v>
      </c>
      <c r="C1087" t="s">
        <v>3802</v>
      </c>
      <c r="E1087">
        <v>0</v>
      </c>
      <c r="F1087" s="54"/>
    </row>
    <row r="1088" spans="1:6" hidden="1" thickBot="1" x14ac:dyDescent="0.3">
      <c r="A1088">
        <v>27935</v>
      </c>
      <c r="B1088" t="s">
        <v>3803</v>
      </c>
      <c r="C1088" t="s">
        <v>3804</v>
      </c>
      <c r="E1088">
        <v>0</v>
      </c>
      <c r="F1088" s="54"/>
    </row>
    <row r="1089" spans="1:6" hidden="1" thickBot="1" x14ac:dyDescent="0.3">
      <c r="A1089">
        <v>27936</v>
      </c>
      <c r="B1089" t="s">
        <v>3805</v>
      </c>
      <c r="C1089" t="s">
        <v>3806</v>
      </c>
      <c r="E1089">
        <v>0</v>
      </c>
      <c r="F1089" s="54"/>
    </row>
    <row r="1090" spans="1:6" ht="15.75" thickBot="1" x14ac:dyDescent="0.3">
      <c r="A1090">
        <v>27937</v>
      </c>
      <c r="B1090" t="s">
        <v>3807</v>
      </c>
      <c r="C1090" t="s">
        <v>3808</v>
      </c>
      <c r="D1090" s="75">
        <v>54.74</v>
      </c>
      <c r="E1090">
        <v>206</v>
      </c>
      <c r="F1090" s="54"/>
    </row>
    <row r="1091" spans="1:6" hidden="1" thickBot="1" x14ac:dyDescent="0.3">
      <c r="A1091">
        <v>27938</v>
      </c>
      <c r="B1091" t="s">
        <v>3809</v>
      </c>
      <c r="C1091" t="s">
        <v>3810</v>
      </c>
      <c r="E1091">
        <v>0</v>
      </c>
      <c r="F1091" s="54"/>
    </row>
    <row r="1092" spans="1:6" hidden="1" thickBot="1" x14ac:dyDescent="0.3">
      <c r="A1092">
        <v>27940</v>
      </c>
      <c r="B1092" t="s">
        <v>3811</v>
      </c>
      <c r="C1092" t="s">
        <v>3812</v>
      </c>
      <c r="E1092">
        <v>0</v>
      </c>
      <c r="F1092" s="54"/>
    </row>
    <row r="1093" spans="1:6" hidden="1" thickBot="1" x14ac:dyDescent="0.3">
      <c r="A1093">
        <v>27939</v>
      </c>
      <c r="B1093" t="s">
        <v>3813</v>
      </c>
      <c r="C1093" t="s">
        <v>3814</v>
      </c>
      <c r="E1093">
        <v>0</v>
      </c>
      <c r="F1093" s="54"/>
    </row>
    <row r="1094" spans="1:6" hidden="1" thickBot="1" x14ac:dyDescent="0.3">
      <c r="A1094">
        <v>27941</v>
      </c>
      <c r="B1094" t="s">
        <v>3815</v>
      </c>
      <c r="C1094" t="s">
        <v>3816</v>
      </c>
      <c r="E1094">
        <v>0</v>
      </c>
      <c r="F1094" s="54"/>
    </row>
    <row r="1095" spans="1:6" hidden="1" thickBot="1" x14ac:dyDescent="0.3">
      <c r="A1095">
        <v>27942</v>
      </c>
      <c r="B1095" t="s">
        <v>3817</v>
      </c>
      <c r="C1095" t="s">
        <v>3818</v>
      </c>
      <c r="E1095">
        <v>0</v>
      </c>
      <c r="F1095" s="54"/>
    </row>
    <row r="1096" spans="1:6" hidden="1" thickBot="1" x14ac:dyDescent="0.3">
      <c r="A1096">
        <v>27943</v>
      </c>
      <c r="B1096" t="s">
        <v>3819</v>
      </c>
      <c r="C1096" t="s">
        <v>3820</v>
      </c>
      <c r="E1096">
        <v>0</v>
      </c>
      <c r="F1096" s="54"/>
    </row>
    <row r="1097" spans="1:6" ht="15.75" thickBot="1" x14ac:dyDescent="0.3">
      <c r="A1097">
        <v>27944</v>
      </c>
      <c r="B1097" t="s">
        <v>3821</v>
      </c>
      <c r="C1097" t="s">
        <v>3822</v>
      </c>
      <c r="D1097" s="75">
        <v>20.46</v>
      </c>
      <c r="E1097">
        <v>72</v>
      </c>
      <c r="F1097" s="54"/>
    </row>
    <row r="1098" spans="1:6" hidden="1" thickBot="1" x14ac:dyDescent="0.3">
      <c r="A1098">
        <v>27945</v>
      </c>
      <c r="B1098" t="s">
        <v>3823</v>
      </c>
      <c r="C1098" t="s">
        <v>3824</v>
      </c>
      <c r="E1098">
        <v>0</v>
      </c>
      <c r="F1098" s="54"/>
    </row>
    <row r="1099" spans="1:6" hidden="1" thickBot="1" x14ac:dyDescent="0.3">
      <c r="A1099">
        <v>27946</v>
      </c>
      <c r="B1099" t="s">
        <v>3825</v>
      </c>
      <c r="C1099" t="s">
        <v>3826</v>
      </c>
      <c r="E1099">
        <v>0</v>
      </c>
      <c r="F1099" s="54"/>
    </row>
    <row r="1100" spans="1:6" hidden="1" thickBot="1" x14ac:dyDescent="0.3">
      <c r="A1100">
        <v>27947</v>
      </c>
      <c r="B1100" t="s">
        <v>3827</v>
      </c>
      <c r="C1100" t="s">
        <v>3828</v>
      </c>
      <c r="E1100">
        <v>0</v>
      </c>
      <c r="F1100" s="54"/>
    </row>
    <row r="1101" spans="1:6" hidden="1" thickBot="1" x14ac:dyDescent="0.3">
      <c r="A1101">
        <v>27948</v>
      </c>
      <c r="B1101" t="s">
        <v>3829</v>
      </c>
      <c r="C1101" t="s">
        <v>3830</v>
      </c>
      <c r="E1101">
        <v>0</v>
      </c>
      <c r="F1101" s="54"/>
    </row>
    <row r="1102" spans="1:6" hidden="1" thickBot="1" x14ac:dyDescent="0.3">
      <c r="A1102">
        <v>27951</v>
      </c>
      <c r="B1102" t="s">
        <v>3831</v>
      </c>
      <c r="C1102" t="s">
        <v>3832</v>
      </c>
      <c r="E1102">
        <v>0</v>
      </c>
      <c r="F1102" s="54"/>
    </row>
    <row r="1103" spans="1:6" hidden="1" thickBot="1" x14ac:dyDescent="0.3">
      <c r="A1103">
        <v>27950</v>
      </c>
      <c r="B1103" t="s">
        <v>3833</v>
      </c>
      <c r="C1103" t="s">
        <v>3834</v>
      </c>
      <c r="E1103">
        <v>0</v>
      </c>
      <c r="F1103" s="54"/>
    </row>
    <row r="1104" spans="1:6" hidden="1" thickBot="1" x14ac:dyDescent="0.3">
      <c r="A1104">
        <v>27949</v>
      </c>
      <c r="B1104" t="s">
        <v>3835</v>
      </c>
      <c r="C1104" t="s">
        <v>3836</v>
      </c>
      <c r="E1104">
        <v>0</v>
      </c>
      <c r="F1104" s="54"/>
    </row>
    <row r="1105" spans="1:6" hidden="1" thickBot="1" x14ac:dyDescent="0.3">
      <c r="A1105">
        <v>27952</v>
      </c>
      <c r="B1105" t="s">
        <v>3837</v>
      </c>
      <c r="C1105" t="s">
        <v>3838</v>
      </c>
      <c r="E1105">
        <v>0</v>
      </c>
      <c r="F1105" s="54"/>
    </row>
    <row r="1106" spans="1:6" hidden="1" thickBot="1" x14ac:dyDescent="0.3">
      <c r="A1106">
        <v>27953</v>
      </c>
      <c r="B1106" t="s">
        <v>3839</v>
      </c>
      <c r="C1106" t="s">
        <v>3840</v>
      </c>
      <c r="E1106">
        <v>0</v>
      </c>
      <c r="F1106" s="54"/>
    </row>
    <row r="1107" spans="1:6" ht="15.75" thickBot="1" x14ac:dyDescent="0.3">
      <c r="A1107">
        <v>27955</v>
      </c>
      <c r="B1107" t="s">
        <v>3841</v>
      </c>
      <c r="C1107" t="s">
        <v>3842</v>
      </c>
      <c r="D1107" s="75">
        <v>27</v>
      </c>
      <c r="E1107">
        <v>190</v>
      </c>
      <c r="F1107" s="54"/>
    </row>
    <row r="1108" spans="1:6" hidden="1" thickBot="1" x14ac:dyDescent="0.3">
      <c r="A1108">
        <v>28929</v>
      </c>
      <c r="B1108" t="s">
        <v>3843</v>
      </c>
      <c r="C1108" t="s">
        <v>3844</v>
      </c>
      <c r="E1108">
        <v>0</v>
      </c>
      <c r="F1108" s="54"/>
    </row>
    <row r="1109" spans="1:6" ht="15.75" thickBot="1" x14ac:dyDescent="0.3">
      <c r="A1109">
        <v>28932</v>
      </c>
      <c r="B1109" t="s">
        <v>3845</v>
      </c>
      <c r="C1109" t="s">
        <v>3846</v>
      </c>
      <c r="D1109" s="75" t="s">
        <v>3082</v>
      </c>
      <c r="E1109">
        <v>63</v>
      </c>
      <c r="F1109" s="54"/>
    </row>
    <row r="1110" spans="1:6" hidden="1" thickBot="1" x14ac:dyDescent="0.3">
      <c r="A1110">
        <v>28933</v>
      </c>
      <c r="B1110" t="s">
        <v>3847</v>
      </c>
      <c r="C1110" t="s">
        <v>3848</v>
      </c>
      <c r="E1110">
        <v>0</v>
      </c>
      <c r="F1110" s="54"/>
    </row>
    <row r="1111" spans="1:6" hidden="1" thickBot="1" x14ac:dyDescent="0.3">
      <c r="A1111">
        <v>27958</v>
      </c>
      <c r="B1111" t="s">
        <v>3849</v>
      </c>
      <c r="C1111" t="s">
        <v>3850</v>
      </c>
      <c r="E1111">
        <v>0</v>
      </c>
      <c r="F1111" s="54"/>
    </row>
    <row r="1112" spans="1:6" hidden="1" thickBot="1" x14ac:dyDescent="0.3">
      <c r="A1112">
        <v>27957</v>
      </c>
      <c r="B1112" t="s">
        <v>3851</v>
      </c>
      <c r="C1112" t="s">
        <v>3852</v>
      </c>
      <c r="E1112">
        <v>0</v>
      </c>
      <c r="F1112" s="54"/>
    </row>
    <row r="1113" spans="1:6" hidden="1" thickBot="1" x14ac:dyDescent="0.3">
      <c r="A1113">
        <v>27959</v>
      </c>
      <c r="B1113" t="s">
        <v>3853</v>
      </c>
      <c r="C1113" t="s">
        <v>3854</v>
      </c>
      <c r="E1113">
        <v>0</v>
      </c>
      <c r="F1113" s="54"/>
    </row>
    <row r="1114" spans="1:6" hidden="1" thickBot="1" x14ac:dyDescent="0.3">
      <c r="A1114">
        <v>28935</v>
      </c>
      <c r="B1114" t="s">
        <v>3855</v>
      </c>
      <c r="C1114" t="s">
        <v>3856</v>
      </c>
      <c r="E1114">
        <v>0</v>
      </c>
      <c r="F1114" s="54"/>
    </row>
    <row r="1115" spans="1:6" hidden="1" thickBot="1" x14ac:dyDescent="0.3">
      <c r="A1115">
        <v>27961</v>
      </c>
      <c r="B1115" t="s">
        <v>3857</v>
      </c>
      <c r="C1115" t="s">
        <v>3858</v>
      </c>
      <c r="E1115">
        <v>0</v>
      </c>
      <c r="F1115" s="54"/>
    </row>
    <row r="1116" spans="1:6" hidden="1" thickBot="1" x14ac:dyDescent="0.3">
      <c r="A1116">
        <v>27960</v>
      </c>
      <c r="B1116" t="s">
        <v>3859</v>
      </c>
      <c r="C1116" t="s">
        <v>3860</v>
      </c>
      <c r="E1116">
        <v>0</v>
      </c>
      <c r="F1116" s="54"/>
    </row>
    <row r="1117" spans="1:6" hidden="1" thickBot="1" x14ac:dyDescent="0.3">
      <c r="A1117">
        <v>27962</v>
      </c>
      <c r="B1117" t="s">
        <v>3861</v>
      </c>
      <c r="C1117" t="s">
        <v>3862</v>
      </c>
      <c r="E1117">
        <v>0</v>
      </c>
      <c r="F1117" s="54"/>
    </row>
    <row r="1118" spans="1:6" ht="15.75" thickBot="1" x14ac:dyDescent="0.3">
      <c r="A1118">
        <v>27963</v>
      </c>
      <c r="B1118" t="s">
        <v>3863</v>
      </c>
      <c r="C1118" t="s">
        <v>3864</v>
      </c>
      <c r="D1118" s="75">
        <v>107</v>
      </c>
      <c r="E1118">
        <v>1172</v>
      </c>
      <c r="F1118" s="54"/>
    </row>
    <row r="1119" spans="1:6" hidden="1" thickBot="1" x14ac:dyDescent="0.3">
      <c r="A1119">
        <v>27965</v>
      </c>
      <c r="B1119" t="s">
        <v>3865</v>
      </c>
      <c r="C1119" t="s">
        <v>3866</v>
      </c>
      <c r="E1119">
        <v>0</v>
      </c>
      <c r="F1119" s="54"/>
    </row>
    <row r="1120" spans="1:6" hidden="1" thickBot="1" x14ac:dyDescent="0.3">
      <c r="A1120">
        <v>27964</v>
      </c>
      <c r="B1120" t="s">
        <v>3867</v>
      </c>
      <c r="C1120" t="s">
        <v>3868</v>
      </c>
      <c r="E1120">
        <v>0</v>
      </c>
      <c r="F1120" s="54"/>
    </row>
    <row r="1121" spans="1:6" ht="15.75" thickBot="1" x14ac:dyDescent="0.3">
      <c r="A1121">
        <v>27966</v>
      </c>
      <c r="B1121" t="s">
        <v>3869</v>
      </c>
      <c r="C1121" t="s">
        <v>3870</v>
      </c>
      <c r="D1121" s="75">
        <v>81</v>
      </c>
      <c r="E1121">
        <v>683</v>
      </c>
      <c r="F1121" s="54"/>
    </row>
    <row r="1122" spans="1:6" hidden="1" thickBot="1" x14ac:dyDescent="0.3">
      <c r="A1122">
        <v>27967</v>
      </c>
      <c r="B1122" t="s">
        <v>3871</v>
      </c>
      <c r="C1122" t="s">
        <v>3872</v>
      </c>
      <c r="E1122">
        <v>0</v>
      </c>
      <c r="F1122" s="54"/>
    </row>
    <row r="1123" spans="1:6" ht="15.75" thickBot="1" x14ac:dyDescent="0.3">
      <c r="A1123">
        <v>27968</v>
      </c>
      <c r="B1123" t="s">
        <v>3873</v>
      </c>
      <c r="C1123" t="s">
        <v>3874</v>
      </c>
      <c r="D1123" s="75">
        <v>129</v>
      </c>
      <c r="E1123">
        <v>260</v>
      </c>
      <c r="F1123" s="54"/>
    </row>
    <row r="1124" spans="1:6" hidden="1" thickBot="1" x14ac:dyDescent="0.3">
      <c r="A1124">
        <v>27969</v>
      </c>
      <c r="B1124" t="s">
        <v>3875</v>
      </c>
      <c r="C1124" t="s">
        <v>3876</v>
      </c>
      <c r="E1124">
        <v>0</v>
      </c>
      <c r="F1124" s="54"/>
    </row>
    <row r="1125" spans="1:6" ht="15.75" thickBot="1" x14ac:dyDescent="0.3">
      <c r="A1125">
        <v>27970</v>
      </c>
      <c r="B1125" t="s">
        <v>3877</v>
      </c>
      <c r="C1125" t="s">
        <v>3878</v>
      </c>
      <c r="D1125" s="75">
        <v>127</v>
      </c>
      <c r="E1125">
        <v>399</v>
      </c>
      <c r="F1125" s="54"/>
    </row>
    <row r="1126" spans="1:6" hidden="1" thickBot="1" x14ac:dyDescent="0.3">
      <c r="A1126">
        <v>28936</v>
      </c>
      <c r="B1126" t="s">
        <v>3879</v>
      </c>
      <c r="C1126" t="s">
        <v>3880</v>
      </c>
      <c r="E1126">
        <v>0</v>
      </c>
      <c r="F1126" s="54"/>
    </row>
    <row r="1127" spans="1:6" hidden="1" thickBot="1" x14ac:dyDescent="0.3">
      <c r="A1127">
        <v>28939</v>
      </c>
      <c r="B1127" t="s">
        <v>3881</v>
      </c>
      <c r="C1127" t="s">
        <v>3882</v>
      </c>
      <c r="E1127">
        <v>0</v>
      </c>
      <c r="F1127" s="54"/>
    </row>
    <row r="1128" spans="1:6" hidden="1" thickBot="1" x14ac:dyDescent="0.3">
      <c r="A1128">
        <v>28938</v>
      </c>
      <c r="B1128" t="s">
        <v>3883</v>
      </c>
      <c r="C1128" t="s">
        <v>3884</v>
      </c>
      <c r="E1128">
        <v>0</v>
      </c>
      <c r="F1128" s="54"/>
    </row>
    <row r="1129" spans="1:6" hidden="1" thickBot="1" x14ac:dyDescent="0.3">
      <c r="A1129">
        <v>28940</v>
      </c>
      <c r="B1129" t="s">
        <v>3885</v>
      </c>
      <c r="C1129" t="s">
        <v>3885</v>
      </c>
      <c r="E1129">
        <v>0</v>
      </c>
      <c r="F1129" s="54"/>
    </row>
    <row r="1130" spans="1:6" hidden="1" thickBot="1" x14ac:dyDescent="0.3">
      <c r="A1130">
        <v>28941</v>
      </c>
      <c r="B1130" t="s">
        <v>3886</v>
      </c>
      <c r="C1130" t="s">
        <v>3886</v>
      </c>
      <c r="E1130">
        <v>0</v>
      </c>
      <c r="F1130" s="54"/>
    </row>
    <row r="1131" spans="1:6" hidden="1" thickBot="1" x14ac:dyDescent="0.3">
      <c r="A1131">
        <v>28945</v>
      </c>
      <c r="B1131" t="s">
        <v>3887</v>
      </c>
      <c r="C1131" t="s">
        <v>3888</v>
      </c>
      <c r="E1131">
        <v>0</v>
      </c>
      <c r="F1131" s="54"/>
    </row>
    <row r="1132" spans="1:6" hidden="1" thickBot="1" x14ac:dyDescent="0.3">
      <c r="A1132">
        <v>28942</v>
      </c>
      <c r="B1132" t="s">
        <v>3889</v>
      </c>
      <c r="C1132" t="s">
        <v>3890</v>
      </c>
      <c r="E1132">
        <v>0</v>
      </c>
      <c r="F1132" s="54"/>
    </row>
    <row r="1133" spans="1:6" hidden="1" thickBot="1" x14ac:dyDescent="0.3">
      <c r="A1133">
        <v>27971</v>
      </c>
      <c r="B1133" t="s">
        <v>3891</v>
      </c>
      <c r="C1133" t="s">
        <v>3892</v>
      </c>
      <c r="E1133">
        <v>0</v>
      </c>
      <c r="F1133" s="54"/>
    </row>
    <row r="1134" spans="1:6" hidden="1" thickBot="1" x14ac:dyDescent="0.3">
      <c r="A1134">
        <v>27972</v>
      </c>
      <c r="B1134" t="s">
        <v>3893</v>
      </c>
      <c r="C1134" t="s">
        <v>3894</v>
      </c>
      <c r="E1134">
        <v>0</v>
      </c>
      <c r="F1134" s="54"/>
    </row>
    <row r="1135" spans="1:6" hidden="1" thickBot="1" x14ac:dyDescent="0.3">
      <c r="A1135">
        <v>28943</v>
      </c>
      <c r="B1135" t="s">
        <v>3895</v>
      </c>
      <c r="C1135" t="s">
        <v>3896</v>
      </c>
      <c r="E1135">
        <v>0</v>
      </c>
      <c r="F1135" s="54"/>
    </row>
    <row r="1136" spans="1:6" hidden="1" thickBot="1" x14ac:dyDescent="0.3">
      <c r="A1136">
        <v>28948</v>
      </c>
      <c r="B1136" t="s">
        <v>3897</v>
      </c>
      <c r="C1136" t="s">
        <v>3898</v>
      </c>
      <c r="E1136">
        <v>0</v>
      </c>
      <c r="F1136" s="54"/>
    </row>
    <row r="1137" spans="1:6" hidden="1" thickBot="1" x14ac:dyDescent="0.3">
      <c r="A1137">
        <v>27973</v>
      </c>
      <c r="B1137" t="s">
        <v>3899</v>
      </c>
      <c r="C1137" t="s">
        <v>3900</v>
      </c>
      <c r="E1137">
        <v>0</v>
      </c>
      <c r="F1137" s="54"/>
    </row>
    <row r="1138" spans="1:6" hidden="1" thickBot="1" x14ac:dyDescent="0.3">
      <c r="A1138">
        <v>27974</v>
      </c>
      <c r="B1138" t="s">
        <v>3901</v>
      </c>
      <c r="C1138" t="s">
        <v>3902</v>
      </c>
      <c r="E1138">
        <v>0</v>
      </c>
      <c r="F1138" s="54"/>
    </row>
    <row r="1139" spans="1:6" hidden="1" thickBot="1" x14ac:dyDescent="0.3">
      <c r="A1139">
        <v>28944</v>
      </c>
      <c r="B1139" t="s">
        <v>3903</v>
      </c>
      <c r="C1139" t="s">
        <v>3904</v>
      </c>
      <c r="E1139">
        <v>0</v>
      </c>
      <c r="F1139" s="54"/>
    </row>
    <row r="1140" spans="1:6" hidden="1" thickBot="1" x14ac:dyDescent="0.3">
      <c r="A1140">
        <v>28949</v>
      </c>
      <c r="B1140" t="s">
        <v>3905</v>
      </c>
      <c r="C1140" t="s">
        <v>3906</v>
      </c>
      <c r="E1140">
        <v>0</v>
      </c>
      <c r="F1140" s="54"/>
    </row>
    <row r="1141" spans="1:6" hidden="1" thickBot="1" x14ac:dyDescent="0.3">
      <c r="A1141">
        <v>28947</v>
      </c>
      <c r="B1141" t="s">
        <v>3907</v>
      </c>
      <c r="C1141" t="s">
        <v>3908</v>
      </c>
      <c r="E1141">
        <v>0</v>
      </c>
      <c r="F1141" s="54"/>
    </row>
    <row r="1142" spans="1:6" hidden="1" thickBot="1" x14ac:dyDescent="0.3">
      <c r="A1142">
        <v>28946</v>
      </c>
      <c r="B1142" t="s">
        <v>3909</v>
      </c>
      <c r="C1142" t="s">
        <v>3910</v>
      </c>
      <c r="E1142">
        <v>0</v>
      </c>
      <c r="F1142" s="54"/>
    </row>
    <row r="1143" spans="1:6" hidden="1" thickBot="1" x14ac:dyDescent="0.3">
      <c r="A1143">
        <v>28950</v>
      </c>
      <c r="B1143" t="s">
        <v>3911</v>
      </c>
      <c r="C1143" t="s">
        <v>3912</v>
      </c>
      <c r="E1143">
        <v>0</v>
      </c>
      <c r="F1143" s="54"/>
    </row>
    <row r="1144" spans="1:6" hidden="1" thickBot="1" x14ac:dyDescent="0.3">
      <c r="A1144">
        <v>27975</v>
      </c>
      <c r="B1144" t="s">
        <v>3913</v>
      </c>
      <c r="C1144" t="s">
        <v>3914</v>
      </c>
      <c r="E1144">
        <v>0</v>
      </c>
      <c r="F1144" s="54"/>
    </row>
    <row r="1145" spans="1:6" hidden="1" thickBot="1" x14ac:dyDescent="0.3">
      <c r="A1145">
        <v>28951</v>
      </c>
      <c r="B1145" t="s">
        <v>3915</v>
      </c>
      <c r="C1145" t="s">
        <v>3916</v>
      </c>
      <c r="E1145">
        <v>0</v>
      </c>
      <c r="F1145" s="54"/>
    </row>
    <row r="1146" spans="1:6" hidden="1" thickBot="1" x14ac:dyDescent="0.3">
      <c r="A1146">
        <v>28952</v>
      </c>
      <c r="B1146" t="s">
        <v>3917</v>
      </c>
      <c r="C1146" t="s">
        <v>3918</v>
      </c>
      <c r="E1146">
        <v>0</v>
      </c>
      <c r="F1146" s="54"/>
    </row>
    <row r="1147" spans="1:6" hidden="1" thickBot="1" x14ac:dyDescent="0.3">
      <c r="A1147">
        <v>27976</v>
      </c>
      <c r="B1147" t="s">
        <v>3919</v>
      </c>
      <c r="C1147" t="s">
        <v>3920</v>
      </c>
      <c r="E1147">
        <v>0</v>
      </c>
      <c r="F1147" s="54"/>
    </row>
    <row r="1148" spans="1:6" hidden="1" thickBot="1" x14ac:dyDescent="0.3">
      <c r="A1148">
        <v>27977</v>
      </c>
      <c r="B1148" t="s">
        <v>3921</v>
      </c>
      <c r="C1148" t="s">
        <v>3922</v>
      </c>
      <c r="E1148">
        <v>0</v>
      </c>
      <c r="F1148" s="54"/>
    </row>
    <row r="1149" spans="1:6" hidden="1" thickBot="1" x14ac:dyDescent="0.3">
      <c r="A1149">
        <v>27978</v>
      </c>
      <c r="B1149" t="s">
        <v>3923</v>
      </c>
      <c r="C1149" t="s">
        <v>3924</v>
      </c>
      <c r="E1149">
        <v>0</v>
      </c>
      <c r="F1149" s="54"/>
    </row>
    <row r="1150" spans="1:6" hidden="1" thickBot="1" x14ac:dyDescent="0.3">
      <c r="A1150">
        <v>27982</v>
      </c>
      <c r="B1150" t="s">
        <v>3925</v>
      </c>
      <c r="C1150" t="s">
        <v>3926</v>
      </c>
      <c r="E1150">
        <v>0</v>
      </c>
      <c r="F1150" s="54"/>
    </row>
    <row r="1151" spans="1:6" hidden="1" thickBot="1" x14ac:dyDescent="0.3">
      <c r="A1151">
        <v>27979</v>
      </c>
      <c r="B1151" t="s">
        <v>3927</v>
      </c>
      <c r="C1151" t="s">
        <v>3928</v>
      </c>
      <c r="E1151">
        <v>0</v>
      </c>
      <c r="F1151" s="54"/>
    </row>
    <row r="1152" spans="1:6" hidden="1" thickBot="1" x14ac:dyDescent="0.3">
      <c r="A1152">
        <v>28953</v>
      </c>
      <c r="B1152" t="s">
        <v>3929</v>
      </c>
      <c r="C1152" t="s">
        <v>2490</v>
      </c>
      <c r="E1152">
        <v>0</v>
      </c>
      <c r="F1152" s="54"/>
    </row>
    <row r="1153" spans="1:6" hidden="1" thickBot="1" x14ac:dyDescent="0.3">
      <c r="A1153">
        <v>27980</v>
      </c>
      <c r="B1153" t="s">
        <v>3930</v>
      </c>
      <c r="C1153" t="s">
        <v>3931</v>
      </c>
      <c r="E1153">
        <v>0</v>
      </c>
      <c r="F1153" s="54"/>
    </row>
    <row r="1154" spans="1:6" hidden="1" thickBot="1" x14ac:dyDescent="0.3">
      <c r="A1154">
        <v>27983</v>
      </c>
      <c r="B1154" t="s">
        <v>3932</v>
      </c>
      <c r="C1154" t="s">
        <v>3933</v>
      </c>
      <c r="E1154">
        <v>0</v>
      </c>
      <c r="F1154" s="54"/>
    </row>
    <row r="1155" spans="1:6" hidden="1" thickBot="1" x14ac:dyDescent="0.3">
      <c r="A1155">
        <v>27981</v>
      </c>
      <c r="B1155" t="s">
        <v>3934</v>
      </c>
      <c r="C1155" t="s">
        <v>3935</v>
      </c>
      <c r="E1155">
        <v>0</v>
      </c>
      <c r="F1155" s="54"/>
    </row>
    <row r="1156" spans="1:6" hidden="1" thickBot="1" x14ac:dyDescent="0.3">
      <c r="A1156">
        <v>28954</v>
      </c>
      <c r="B1156" t="s">
        <v>3936</v>
      </c>
      <c r="C1156" t="s">
        <v>3937</v>
      </c>
      <c r="E1156">
        <v>0</v>
      </c>
      <c r="F1156" s="54"/>
    </row>
    <row r="1157" spans="1:6" hidden="1" thickBot="1" x14ac:dyDescent="0.3">
      <c r="A1157">
        <v>28956</v>
      </c>
      <c r="B1157" t="s">
        <v>3938</v>
      </c>
      <c r="C1157" t="s">
        <v>3939</v>
      </c>
      <c r="E1157">
        <v>0</v>
      </c>
      <c r="F1157" s="54"/>
    </row>
    <row r="1158" spans="1:6" hidden="1" thickBot="1" x14ac:dyDescent="0.3">
      <c r="A1158">
        <v>28958</v>
      </c>
      <c r="B1158" t="s">
        <v>3940</v>
      </c>
      <c r="C1158" t="s">
        <v>2490</v>
      </c>
      <c r="E1158">
        <v>0</v>
      </c>
      <c r="F1158" s="54"/>
    </row>
    <row r="1159" spans="1:6" hidden="1" thickBot="1" x14ac:dyDescent="0.3">
      <c r="A1159">
        <v>27985</v>
      </c>
      <c r="B1159" t="s">
        <v>3941</v>
      </c>
      <c r="C1159" t="s">
        <v>3935</v>
      </c>
      <c r="E1159">
        <v>0</v>
      </c>
      <c r="F1159" s="54"/>
    </row>
    <row r="1160" spans="1:6" hidden="1" thickBot="1" x14ac:dyDescent="0.3">
      <c r="A1160">
        <v>27987</v>
      </c>
      <c r="B1160" t="s">
        <v>3942</v>
      </c>
      <c r="C1160" t="s">
        <v>3943</v>
      </c>
      <c r="E1160">
        <v>0</v>
      </c>
      <c r="F1160" s="54"/>
    </row>
    <row r="1161" spans="1:6" hidden="1" thickBot="1" x14ac:dyDescent="0.3">
      <c r="A1161">
        <v>27986</v>
      </c>
      <c r="B1161" t="s">
        <v>3944</v>
      </c>
      <c r="C1161" t="s">
        <v>3945</v>
      </c>
      <c r="E1161">
        <v>0</v>
      </c>
      <c r="F1161" s="54"/>
    </row>
    <row r="1162" spans="1:6" hidden="1" thickBot="1" x14ac:dyDescent="0.3">
      <c r="A1162">
        <v>27989</v>
      </c>
      <c r="B1162" t="s">
        <v>3946</v>
      </c>
      <c r="C1162" t="s">
        <v>3947</v>
      </c>
      <c r="E1162">
        <v>0</v>
      </c>
      <c r="F1162" s="54"/>
    </row>
    <row r="1163" spans="1:6" hidden="1" thickBot="1" x14ac:dyDescent="0.3">
      <c r="A1163">
        <v>27988</v>
      </c>
      <c r="B1163" t="s">
        <v>3948</v>
      </c>
      <c r="C1163" t="s">
        <v>3949</v>
      </c>
      <c r="E1163">
        <v>0</v>
      </c>
      <c r="F1163" s="54"/>
    </row>
    <row r="1164" spans="1:6" hidden="1" thickBot="1" x14ac:dyDescent="0.3">
      <c r="A1164">
        <v>27990</v>
      </c>
      <c r="B1164" t="s">
        <v>3950</v>
      </c>
      <c r="C1164" t="s">
        <v>3951</v>
      </c>
      <c r="E1164">
        <v>0</v>
      </c>
      <c r="F1164" s="54"/>
    </row>
    <row r="1165" spans="1:6" hidden="1" thickBot="1" x14ac:dyDescent="0.3">
      <c r="A1165">
        <v>27992</v>
      </c>
      <c r="B1165" t="s">
        <v>3952</v>
      </c>
      <c r="C1165" t="s">
        <v>3953</v>
      </c>
      <c r="E1165">
        <v>0</v>
      </c>
      <c r="F1165" s="54"/>
    </row>
    <row r="1166" spans="1:6" hidden="1" thickBot="1" x14ac:dyDescent="0.3">
      <c r="A1166">
        <v>27991</v>
      </c>
      <c r="B1166" t="s">
        <v>3954</v>
      </c>
      <c r="C1166" t="s">
        <v>3955</v>
      </c>
      <c r="E1166">
        <v>0</v>
      </c>
      <c r="F1166" s="54"/>
    </row>
    <row r="1167" spans="1:6" hidden="1" thickBot="1" x14ac:dyDescent="0.3">
      <c r="A1167">
        <v>27993</v>
      </c>
      <c r="B1167" t="s">
        <v>3956</v>
      </c>
      <c r="C1167" t="s">
        <v>3957</v>
      </c>
      <c r="E1167">
        <v>0</v>
      </c>
      <c r="F1167" s="54"/>
    </row>
    <row r="1168" spans="1:6" hidden="1" thickBot="1" x14ac:dyDescent="0.3">
      <c r="A1168">
        <v>27994</v>
      </c>
      <c r="B1168" t="s">
        <v>3958</v>
      </c>
      <c r="C1168" t="s">
        <v>3959</v>
      </c>
      <c r="E1168">
        <v>0</v>
      </c>
      <c r="F1168" s="54"/>
    </row>
    <row r="1169" spans="1:6" hidden="1" thickBot="1" x14ac:dyDescent="0.3">
      <c r="A1169">
        <v>27995</v>
      </c>
      <c r="B1169" t="s">
        <v>3960</v>
      </c>
      <c r="C1169" t="s">
        <v>3961</v>
      </c>
      <c r="E1169">
        <v>0</v>
      </c>
      <c r="F1169" s="54"/>
    </row>
    <row r="1170" spans="1:6" hidden="1" thickBot="1" x14ac:dyDescent="0.3">
      <c r="A1170">
        <v>27999</v>
      </c>
      <c r="B1170" t="s">
        <v>3962</v>
      </c>
      <c r="C1170" t="s">
        <v>3963</v>
      </c>
      <c r="E1170">
        <v>0</v>
      </c>
      <c r="F1170" s="54"/>
    </row>
    <row r="1171" spans="1:6" hidden="1" thickBot="1" x14ac:dyDescent="0.3">
      <c r="A1171">
        <v>27996</v>
      </c>
      <c r="B1171" t="s">
        <v>3964</v>
      </c>
      <c r="C1171" t="s">
        <v>3965</v>
      </c>
      <c r="E1171">
        <v>0</v>
      </c>
      <c r="F1171" s="54"/>
    </row>
    <row r="1172" spans="1:6" hidden="1" thickBot="1" x14ac:dyDescent="0.3">
      <c r="A1172">
        <v>27997</v>
      </c>
      <c r="B1172" t="s">
        <v>3966</v>
      </c>
      <c r="C1172" t="s">
        <v>3967</v>
      </c>
      <c r="E1172">
        <v>0</v>
      </c>
      <c r="F1172" s="54"/>
    </row>
    <row r="1173" spans="1:6" hidden="1" thickBot="1" x14ac:dyDescent="0.3">
      <c r="A1173">
        <v>28955</v>
      </c>
      <c r="B1173" t="s">
        <v>3968</v>
      </c>
      <c r="C1173" t="s">
        <v>3969</v>
      </c>
      <c r="E1173">
        <v>0</v>
      </c>
      <c r="F1173" s="54"/>
    </row>
    <row r="1174" spans="1:6" hidden="1" thickBot="1" x14ac:dyDescent="0.3">
      <c r="A1174">
        <v>28002</v>
      </c>
      <c r="B1174" t="s">
        <v>3970</v>
      </c>
      <c r="C1174" t="s">
        <v>3971</v>
      </c>
      <c r="E1174">
        <v>0</v>
      </c>
      <c r="F1174" s="54"/>
    </row>
    <row r="1175" spans="1:6" hidden="1" thickBot="1" x14ac:dyDescent="0.3">
      <c r="A1175">
        <v>27998</v>
      </c>
      <c r="B1175" t="s">
        <v>3972</v>
      </c>
      <c r="C1175" t="s">
        <v>3973</v>
      </c>
      <c r="E1175">
        <v>0</v>
      </c>
      <c r="F1175" s="54"/>
    </row>
    <row r="1176" spans="1:6" ht="15.75" thickBot="1" x14ac:dyDescent="0.3">
      <c r="A1176">
        <v>28961</v>
      </c>
      <c r="B1176" t="s">
        <v>3974</v>
      </c>
      <c r="C1176" t="s">
        <v>3975</v>
      </c>
      <c r="D1176" s="75" t="s">
        <v>3082</v>
      </c>
      <c r="E1176">
        <v>258</v>
      </c>
      <c r="F1176" s="54"/>
    </row>
    <row r="1177" spans="1:6" hidden="1" thickBot="1" x14ac:dyDescent="0.3">
      <c r="A1177">
        <v>28957</v>
      </c>
      <c r="B1177" t="s">
        <v>3976</v>
      </c>
      <c r="C1177" t="s">
        <v>3977</v>
      </c>
      <c r="E1177">
        <v>0</v>
      </c>
      <c r="F1177" s="54"/>
    </row>
    <row r="1178" spans="1:6" hidden="1" thickBot="1" x14ac:dyDescent="0.3">
      <c r="A1178">
        <v>28973</v>
      </c>
      <c r="B1178" t="s">
        <v>3978</v>
      </c>
      <c r="C1178" t="s">
        <v>3979</v>
      </c>
      <c r="E1178">
        <v>0</v>
      </c>
      <c r="F1178" s="54"/>
    </row>
    <row r="1179" spans="1:6" hidden="1" thickBot="1" x14ac:dyDescent="0.3">
      <c r="A1179">
        <v>28982</v>
      </c>
      <c r="B1179" t="s">
        <v>3980</v>
      </c>
      <c r="C1179" t="s">
        <v>3981</v>
      </c>
      <c r="E1179">
        <v>0</v>
      </c>
      <c r="F1179" s="54"/>
    </row>
    <row r="1180" spans="1:6" hidden="1" thickBot="1" x14ac:dyDescent="0.3">
      <c r="A1180">
        <v>28984</v>
      </c>
      <c r="B1180" t="s">
        <v>3982</v>
      </c>
      <c r="C1180" t="s">
        <v>3983</v>
      </c>
      <c r="E1180">
        <v>0</v>
      </c>
      <c r="F1180" s="54"/>
    </row>
    <row r="1181" spans="1:6" hidden="1" thickBot="1" x14ac:dyDescent="0.3">
      <c r="A1181">
        <v>28985</v>
      </c>
      <c r="B1181" t="s">
        <v>3984</v>
      </c>
      <c r="C1181" t="s">
        <v>3985</v>
      </c>
      <c r="E1181">
        <v>0</v>
      </c>
      <c r="F1181" s="54"/>
    </row>
    <row r="1182" spans="1:6" hidden="1" thickBot="1" x14ac:dyDescent="0.3">
      <c r="A1182">
        <v>28986</v>
      </c>
      <c r="B1182" t="s">
        <v>3986</v>
      </c>
      <c r="C1182" t="s">
        <v>3987</v>
      </c>
      <c r="E1182">
        <v>0</v>
      </c>
      <c r="F1182" s="54"/>
    </row>
    <row r="1183" spans="1:6" hidden="1" thickBot="1" x14ac:dyDescent="0.3">
      <c r="A1183">
        <v>28010</v>
      </c>
      <c r="B1183" t="s">
        <v>3988</v>
      </c>
      <c r="C1183" t="s">
        <v>3989</v>
      </c>
      <c r="E1183">
        <v>0</v>
      </c>
      <c r="F1183" s="54"/>
    </row>
    <row r="1184" spans="1:6" hidden="1" thickBot="1" x14ac:dyDescent="0.3">
      <c r="A1184">
        <v>28011</v>
      </c>
      <c r="B1184" t="s">
        <v>3990</v>
      </c>
      <c r="C1184" t="s">
        <v>3991</v>
      </c>
      <c r="E1184">
        <v>0</v>
      </c>
      <c r="F1184" s="54"/>
    </row>
    <row r="1185" spans="1:6" ht="15.75" thickBot="1" x14ac:dyDescent="0.3">
      <c r="A1185">
        <v>28012</v>
      </c>
      <c r="B1185" t="s">
        <v>3992</v>
      </c>
      <c r="C1185" t="s">
        <v>3993</v>
      </c>
      <c r="D1185" s="75">
        <v>18</v>
      </c>
      <c r="E1185">
        <v>1653</v>
      </c>
      <c r="F1185" s="54"/>
    </row>
    <row r="1186" spans="1:6" hidden="1" thickBot="1" x14ac:dyDescent="0.3">
      <c r="A1186">
        <v>29053</v>
      </c>
      <c r="B1186" t="s">
        <v>3994</v>
      </c>
      <c r="C1186" t="s">
        <v>3995</v>
      </c>
      <c r="E1186">
        <v>0</v>
      </c>
      <c r="F1186" s="54"/>
    </row>
    <row r="1187" spans="1:6" hidden="1" thickBot="1" x14ac:dyDescent="0.3">
      <c r="A1187">
        <v>28013</v>
      </c>
      <c r="B1187" t="s">
        <v>3996</v>
      </c>
      <c r="C1187" t="s">
        <v>3997</v>
      </c>
      <c r="E1187">
        <v>0</v>
      </c>
      <c r="F1187" s="54"/>
    </row>
    <row r="1188" spans="1:6" hidden="1" thickBot="1" x14ac:dyDescent="0.3">
      <c r="A1188">
        <v>28014</v>
      </c>
      <c r="B1188" t="s">
        <v>3998</v>
      </c>
      <c r="C1188" t="s">
        <v>3999</v>
      </c>
      <c r="E1188">
        <v>0</v>
      </c>
      <c r="F1188" s="54"/>
    </row>
    <row r="1189" spans="1:6" hidden="1" thickBot="1" x14ac:dyDescent="0.3">
      <c r="A1189">
        <v>28016</v>
      </c>
      <c r="B1189" t="s">
        <v>4000</v>
      </c>
      <c r="C1189" t="s">
        <v>4001</v>
      </c>
      <c r="E1189">
        <v>0</v>
      </c>
      <c r="F1189" s="54"/>
    </row>
    <row r="1190" spans="1:6" hidden="1" thickBot="1" x14ac:dyDescent="0.3">
      <c r="A1190">
        <v>28015</v>
      </c>
      <c r="B1190" t="s">
        <v>4002</v>
      </c>
      <c r="C1190" t="s">
        <v>4003</v>
      </c>
      <c r="E1190">
        <v>0</v>
      </c>
      <c r="F1190" s="54"/>
    </row>
    <row r="1191" spans="1:6" ht="15.75" thickBot="1" x14ac:dyDescent="0.3">
      <c r="A1191">
        <v>28017</v>
      </c>
      <c r="B1191" t="s">
        <v>4004</v>
      </c>
      <c r="C1191" t="s">
        <v>4005</v>
      </c>
      <c r="D1191" s="75">
        <v>81.180000000000007</v>
      </c>
      <c r="E1191">
        <v>5</v>
      </c>
      <c r="F1191" s="54"/>
    </row>
    <row r="1192" spans="1:6" hidden="1" thickBot="1" x14ac:dyDescent="0.3">
      <c r="A1192">
        <v>28018</v>
      </c>
      <c r="B1192" t="s">
        <v>4006</v>
      </c>
      <c r="C1192" t="s">
        <v>4007</v>
      </c>
      <c r="E1192">
        <v>0</v>
      </c>
      <c r="F1192" s="54"/>
    </row>
    <row r="1193" spans="1:6" ht="15.75" thickBot="1" x14ac:dyDescent="0.3">
      <c r="A1193">
        <v>28019</v>
      </c>
      <c r="B1193" t="s">
        <v>4008</v>
      </c>
      <c r="C1193" t="s">
        <v>4009</v>
      </c>
      <c r="D1193" s="75">
        <v>87.39</v>
      </c>
      <c r="E1193">
        <v>14</v>
      </c>
      <c r="F1193" s="54"/>
    </row>
    <row r="1194" spans="1:6" hidden="1" thickBot="1" x14ac:dyDescent="0.3">
      <c r="A1194">
        <v>28021</v>
      </c>
      <c r="B1194" t="s">
        <v>4010</v>
      </c>
      <c r="C1194" t="s">
        <v>4011</v>
      </c>
      <c r="E1194">
        <v>0</v>
      </c>
      <c r="F1194" s="54"/>
    </row>
    <row r="1195" spans="1:6" ht="15.75" thickBot="1" x14ac:dyDescent="0.3">
      <c r="A1195">
        <v>28020</v>
      </c>
      <c r="B1195" t="s">
        <v>4012</v>
      </c>
      <c r="C1195" t="s">
        <v>4013</v>
      </c>
      <c r="D1195" s="75">
        <v>112.42</v>
      </c>
      <c r="E1195">
        <v>7</v>
      </c>
      <c r="F1195" s="54"/>
    </row>
    <row r="1196" spans="1:6" hidden="1" thickBot="1" x14ac:dyDescent="0.3">
      <c r="A1196">
        <v>28022</v>
      </c>
      <c r="B1196" t="s">
        <v>4014</v>
      </c>
      <c r="C1196" t="s">
        <v>4015</v>
      </c>
      <c r="E1196">
        <v>0</v>
      </c>
      <c r="F1196" s="54"/>
    </row>
    <row r="1197" spans="1:6" hidden="1" thickBot="1" x14ac:dyDescent="0.3">
      <c r="A1197">
        <v>29088</v>
      </c>
      <c r="B1197" t="s">
        <v>4016</v>
      </c>
      <c r="C1197" t="s">
        <v>4017</v>
      </c>
      <c r="E1197">
        <v>0</v>
      </c>
      <c r="F1197" s="54"/>
    </row>
    <row r="1198" spans="1:6" hidden="1" thickBot="1" x14ac:dyDescent="0.3">
      <c r="A1198">
        <v>29087</v>
      </c>
      <c r="B1198" t="s">
        <v>4018</v>
      </c>
      <c r="C1198" t="s">
        <v>4019</v>
      </c>
      <c r="E1198">
        <v>0</v>
      </c>
      <c r="F1198" s="54"/>
    </row>
    <row r="1199" spans="1:6" ht="15.75" thickBot="1" x14ac:dyDescent="0.3">
      <c r="A1199">
        <v>29092</v>
      </c>
      <c r="B1199" t="s">
        <v>4020</v>
      </c>
      <c r="C1199" t="s">
        <v>4021</v>
      </c>
      <c r="D1199" s="75">
        <v>38</v>
      </c>
      <c r="E1199">
        <v>149</v>
      </c>
      <c r="F1199" s="54"/>
    </row>
    <row r="1200" spans="1:6" ht="15.75" thickBot="1" x14ac:dyDescent="0.3">
      <c r="A1200">
        <v>28023</v>
      </c>
      <c r="B1200" t="s">
        <v>4022</v>
      </c>
      <c r="C1200" t="s">
        <v>4023</v>
      </c>
      <c r="D1200" s="75">
        <v>41</v>
      </c>
      <c r="E1200">
        <v>41</v>
      </c>
      <c r="F1200" s="54"/>
    </row>
    <row r="1201" spans="1:6" hidden="1" thickBot="1" x14ac:dyDescent="0.3">
      <c r="A1201">
        <v>29093</v>
      </c>
      <c r="B1201" t="s">
        <v>4024</v>
      </c>
      <c r="C1201" t="s">
        <v>4025</v>
      </c>
      <c r="E1201">
        <v>0</v>
      </c>
      <c r="F1201" s="54"/>
    </row>
    <row r="1202" spans="1:6" ht="15.75" thickBot="1" x14ac:dyDescent="0.3">
      <c r="A1202">
        <v>29095</v>
      </c>
      <c r="B1202" t="s">
        <v>4026</v>
      </c>
      <c r="C1202" t="s">
        <v>4027</v>
      </c>
      <c r="D1202" s="75">
        <v>52.92</v>
      </c>
      <c r="E1202">
        <v>79</v>
      </c>
      <c r="F1202" s="54"/>
    </row>
    <row r="1203" spans="1:6" ht="15.75" thickBot="1" x14ac:dyDescent="0.3">
      <c r="A1203">
        <v>29094</v>
      </c>
      <c r="B1203" t="s">
        <v>4028</v>
      </c>
      <c r="C1203" t="s">
        <v>4029</v>
      </c>
      <c r="D1203" s="75">
        <v>53.98</v>
      </c>
      <c r="E1203">
        <v>4</v>
      </c>
      <c r="F1203" s="54"/>
    </row>
    <row r="1204" spans="1:6" ht="15.75" thickBot="1" x14ac:dyDescent="0.3">
      <c r="A1204">
        <v>29096</v>
      </c>
      <c r="B1204" t="s">
        <v>4030</v>
      </c>
      <c r="C1204" t="s">
        <v>4031</v>
      </c>
      <c r="D1204" s="75">
        <v>47.71</v>
      </c>
      <c r="E1204">
        <v>219</v>
      </c>
      <c r="F1204" s="54"/>
    </row>
    <row r="1205" spans="1:6" ht="15.75" thickBot="1" x14ac:dyDescent="0.3">
      <c r="A1205">
        <v>29097</v>
      </c>
      <c r="B1205" t="s">
        <v>4032</v>
      </c>
      <c r="C1205" t="s">
        <v>4033</v>
      </c>
      <c r="D1205" s="75">
        <v>39.47</v>
      </c>
      <c r="E1205">
        <v>83</v>
      </c>
      <c r="F1205" s="54"/>
    </row>
    <row r="1206" spans="1:6" ht="15.75" thickBot="1" x14ac:dyDescent="0.3">
      <c r="A1206">
        <v>29098</v>
      </c>
      <c r="B1206" t="s">
        <v>4034</v>
      </c>
      <c r="C1206" t="s">
        <v>4035</v>
      </c>
      <c r="D1206" s="75">
        <v>55.75</v>
      </c>
      <c r="E1206">
        <v>20</v>
      </c>
      <c r="F1206" s="54"/>
    </row>
    <row r="1207" spans="1:6" ht="15.75" thickBot="1" x14ac:dyDescent="0.3">
      <c r="A1207">
        <v>29100</v>
      </c>
      <c r="B1207" t="s">
        <v>4036</v>
      </c>
      <c r="C1207" t="s">
        <v>4037</v>
      </c>
      <c r="D1207" s="75">
        <v>49.5</v>
      </c>
      <c r="E1207">
        <v>186</v>
      </c>
      <c r="F1207" s="54"/>
    </row>
    <row r="1208" spans="1:6" hidden="1" thickBot="1" x14ac:dyDescent="0.3">
      <c r="A1208">
        <v>29099</v>
      </c>
      <c r="B1208" t="s">
        <v>4038</v>
      </c>
      <c r="C1208" t="s">
        <v>2490</v>
      </c>
      <c r="E1208">
        <v>0</v>
      </c>
      <c r="F1208" s="54"/>
    </row>
    <row r="1209" spans="1:6" hidden="1" thickBot="1" x14ac:dyDescent="0.3">
      <c r="A1209">
        <v>29102</v>
      </c>
      <c r="B1209" t="s">
        <v>4039</v>
      </c>
      <c r="C1209" t="s">
        <v>4040</v>
      </c>
      <c r="E1209">
        <v>0</v>
      </c>
      <c r="F1209" s="54"/>
    </row>
    <row r="1210" spans="1:6" hidden="1" thickBot="1" x14ac:dyDescent="0.3">
      <c r="A1210">
        <v>29107</v>
      </c>
      <c r="B1210" t="s">
        <v>4041</v>
      </c>
      <c r="C1210" t="s">
        <v>4042</v>
      </c>
      <c r="E1210">
        <v>0</v>
      </c>
      <c r="F1210" s="54"/>
    </row>
    <row r="1211" spans="1:6" hidden="1" thickBot="1" x14ac:dyDescent="0.3">
      <c r="A1211">
        <v>29105</v>
      </c>
      <c r="B1211" t="s">
        <v>4043</v>
      </c>
      <c r="C1211" t="s">
        <v>4044</v>
      </c>
      <c r="E1211">
        <v>0</v>
      </c>
      <c r="F1211" s="54"/>
    </row>
    <row r="1212" spans="1:6" ht="15.75" thickBot="1" x14ac:dyDescent="0.3">
      <c r="A1212">
        <v>29078</v>
      </c>
      <c r="B1212" t="s">
        <v>4045</v>
      </c>
      <c r="C1212" t="s">
        <v>4046</v>
      </c>
      <c r="D1212" s="75" t="s">
        <v>3082</v>
      </c>
      <c r="E1212">
        <v>620</v>
      </c>
      <c r="F1212" s="54"/>
    </row>
    <row r="1213" spans="1:6" hidden="1" thickBot="1" x14ac:dyDescent="0.3">
      <c r="A1213">
        <v>29103</v>
      </c>
      <c r="B1213" t="s">
        <v>4047</v>
      </c>
      <c r="C1213" t="s">
        <v>4048</v>
      </c>
      <c r="E1213">
        <v>0</v>
      </c>
      <c r="F1213" s="54"/>
    </row>
    <row r="1214" spans="1:6" hidden="1" thickBot="1" x14ac:dyDescent="0.3">
      <c r="A1214">
        <v>29108</v>
      </c>
      <c r="B1214" t="s">
        <v>4049</v>
      </c>
      <c r="C1214" t="s">
        <v>4050</v>
      </c>
      <c r="E1214">
        <v>0</v>
      </c>
      <c r="F1214" s="54"/>
    </row>
    <row r="1215" spans="1:6" hidden="1" thickBot="1" x14ac:dyDescent="0.3">
      <c r="A1215">
        <v>29109</v>
      </c>
      <c r="B1215" t="s">
        <v>4051</v>
      </c>
      <c r="C1215" t="s">
        <v>4052</v>
      </c>
      <c r="E1215">
        <v>0</v>
      </c>
      <c r="F1215" s="54"/>
    </row>
    <row r="1216" spans="1:6" hidden="1" thickBot="1" x14ac:dyDescent="0.3">
      <c r="A1216">
        <v>29119</v>
      </c>
      <c r="B1216" t="s">
        <v>4053</v>
      </c>
      <c r="C1216" t="s">
        <v>2490</v>
      </c>
      <c r="E1216">
        <v>0</v>
      </c>
      <c r="F1216" s="54"/>
    </row>
    <row r="1217" spans="1:6" ht="15.75" thickBot="1" x14ac:dyDescent="0.3">
      <c r="A1217">
        <v>29120</v>
      </c>
      <c r="B1217" t="s">
        <v>4054</v>
      </c>
      <c r="C1217" t="s">
        <v>4055</v>
      </c>
      <c r="D1217" s="75">
        <v>39.1</v>
      </c>
      <c r="E1217">
        <v>35</v>
      </c>
      <c r="F1217" s="54"/>
    </row>
    <row r="1218" spans="1:6" ht="15.75" thickBot="1" x14ac:dyDescent="0.3">
      <c r="A1218">
        <v>29121</v>
      </c>
      <c r="B1218" t="s">
        <v>4056</v>
      </c>
      <c r="C1218" t="s">
        <v>4057</v>
      </c>
      <c r="D1218" s="75" t="s">
        <v>3082</v>
      </c>
      <c r="E1218">
        <v>8</v>
      </c>
      <c r="F1218" s="54"/>
    </row>
    <row r="1219" spans="1:6" hidden="1" thickBot="1" x14ac:dyDescent="0.3">
      <c r="A1219">
        <v>29127</v>
      </c>
      <c r="B1219" t="s">
        <v>4058</v>
      </c>
      <c r="C1219" t="s">
        <v>4059</v>
      </c>
      <c r="E1219">
        <v>0</v>
      </c>
      <c r="F1219" s="54"/>
    </row>
    <row r="1220" spans="1:6" hidden="1" thickBot="1" x14ac:dyDescent="0.3">
      <c r="A1220">
        <v>29124</v>
      </c>
      <c r="B1220" t="s">
        <v>920</v>
      </c>
      <c r="C1220" t="s">
        <v>4060</v>
      </c>
      <c r="E1220">
        <v>0</v>
      </c>
      <c r="F1220" s="54"/>
    </row>
    <row r="1221" spans="1:6" hidden="1" thickBot="1" x14ac:dyDescent="0.3">
      <c r="A1221">
        <v>29126</v>
      </c>
      <c r="B1221" t="s">
        <v>937</v>
      </c>
      <c r="C1221" t="s">
        <v>4061</v>
      </c>
      <c r="E1221">
        <v>0</v>
      </c>
      <c r="F1221" s="54"/>
    </row>
    <row r="1222" spans="1:6" hidden="1" thickBot="1" x14ac:dyDescent="0.3">
      <c r="A1222">
        <v>29122</v>
      </c>
      <c r="B1222" t="s">
        <v>939</v>
      </c>
      <c r="C1222" t="s">
        <v>4062</v>
      </c>
      <c r="E1222">
        <v>0</v>
      </c>
      <c r="F1222" s="54"/>
    </row>
    <row r="1223" spans="1:6" hidden="1" thickBot="1" x14ac:dyDescent="0.3">
      <c r="A1223">
        <v>29125</v>
      </c>
      <c r="B1223" t="s">
        <v>4063</v>
      </c>
      <c r="C1223" t="s">
        <v>4064</v>
      </c>
      <c r="E1223">
        <v>0</v>
      </c>
      <c r="F1223" s="54"/>
    </row>
    <row r="1224" spans="1:6" hidden="1" thickBot="1" x14ac:dyDescent="0.3">
      <c r="A1224">
        <v>29123</v>
      </c>
      <c r="B1224" t="s">
        <v>835</v>
      </c>
      <c r="C1224" t="s">
        <v>4065</v>
      </c>
      <c r="E1224">
        <v>0</v>
      </c>
      <c r="F1224" s="54"/>
    </row>
    <row r="1225" spans="1:6" hidden="1" thickBot="1" x14ac:dyDescent="0.3">
      <c r="A1225">
        <v>29128</v>
      </c>
      <c r="B1225" t="s">
        <v>830</v>
      </c>
      <c r="C1225" t="s">
        <v>4066</v>
      </c>
      <c r="E1225">
        <v>0</v>
      </c>
      <c r="F1225" s="54"/>
    </row>
    <row r="1226" spans="1:6" ht="15.75" thickBot="1" x14ac:dyDescent="0.3">
      <c r="A1226">
        <v>29129</v>
      </c>
      <c r="B1226" t="s">
        <v>4067</v>
      </c>
      <c r="C1226" t="s">
        <v>4068</v>
      </c>
      <c r="D1226" s="75">
        <v>36.14</v>
      </c>
      <c r="E1226">
        <v>16</v>
      </c>
      <c r="F1226" s="54"/>
    </row>
    <row r="1227" spans="1:6" ht="15.75" thickBot="1" x14ac:dyDescent="0.3">
      <c r="A1227">
        <v>29130</v>
      </c>
      <c r="B1227" t="s">
        <v>4069</v>
      </c>
      <c r="C1227" t="s">
        <v>4070</v>
      </c>
      <c r="D1227" s="75">
        <v>51.09</v>
      </c>
      <c r="E1227">
        <v>6</v>
      </c>
      <c r="F1227" s="54"/>
    </row>
    <row r="1228" spans="1:6" ht="15.75" thickBot="1" x14ac:dyDescent="0.3">
      <c r="A1228">
        <v>28024</v>
      </c>
      <c r="B1228" t="s">
        <v>4071</v>
      </c>
      <c r="C1228" t="s">
        <v>4072</v>
      </c>
      <c r="D1228" s="75">
        <v>32.869999999999997</v>
      </c>
      <c r="E1228">
        <v>8</v>
      </c>
      <c r="F1228" s="54"/>
    </row>
    <row r="1229" spans="1:6" hidden="1" thickBot="1" x14ac:dyDescent="0.3">
      <c r="A1229">
        <v>29131</v>
      </c>
      <c r="B1229" t="s">
        <v>904</v>
      </c>
      <c r="C1229" t="s">
        <v>4073</v>
      </c>
      <c r="E1229">
        <v>0</v>
      </c>
      <c r="F1229" s="54"/>
    </row>
    <row r="1230" spans="1:6" hidden="1" thickBot="1" x14ac:dyDescent="0.3">
      <c r="A1230">
        <v>28025</v>
      </c>
      <c r="B1230" t="s">
        <v>4074</v>
      </c>
      <c r="C1230" t="s">
        <v>4075</v>
      </c>
      <c r="E1230">
        <v>0</v>
      </c>
      <c r="F1230" s="54"/>
    </row>
    <row r="1231" spans="1:6" ht="15.75" thickBot="1" x14ac:dyDescent="0.3">
      <c r="A1231">
        <v>29136</v>
      </c>
      <c r="B1231" t="s">
        <v>4076</v>
      </c>
      <c r="C1231" t="s">
        <v>4077</v>
      </c>
      <c r="D1231" s="75">
        <v>42.22</v>
      </c>
      <c r="E1231">
        <v>19</v>
      </c>
      <c r="F1231" s="54"/>
    </row>
    <row r="1232" spans="1:6" hidden="1" thickBot="1" x14ac:dyDescent="0.3">
      <c r="A1232">
        <v>28026</v>
      </c>
      <c r="B1232" t="s">
        <v>4078</v>
      </c>
      <c r="C1232" t="s">
        <v>4079</v>
      </c>
      <c r="E1232">
        <v>0</v>
      </c>
      <c r="F1232" s="54"/>
    </row>
    <row r="1233" spans="1:6" hidden="1" thickBot="1" x14ac:dyDescent="0.3">
      <c r="A1233">
        <v>29133</v>
      </c>
      <c r="B1233" t="s">
        <v>4080</v>
      </c>
      <c r="C1233" t="s">
        <v>4081</v>
      </c>
      <c r="E1233">
        <v>0</v>
      </c>
      <c r="F1233" s="54"/>
    </row>
    <row r="1234" spans="1:6" hidden="1" thickBot="1" x14ac:dyDescent="0.3">
      <c r="A1234">
        <v>28027</v>
      </c>
      <c r="B1234" t="s">
        <v>4082</v>
      </c>
      <c r="C1234" t="s">
        <v>4083</v>
      </c>
      <c r="E1234">
        <v>0</v>
      </c>
      <c r="F1234" s="54"/>
    </row>
    <row r="1235" spans="1:6" ht="15.75" thickBot="1" x14ac:dyDescent="0.3">
      <c r="A1235">
        <v>29132</v>
      </c>
      <c r="B1235" t="s">
        <v>4084</v>
      </c>
      <c r="C1235" t="s">
        <v>4085</v>
      </c>
      <c r="D1235" s="75">
        <v>49.11</v>
      </c>
      <c r="E1235">
        <v>20</v>
      </c>
      <c r="F1235" s="54"/>
    </row>
    <row r="1236" spans="1:6" hidden="1" thickBot="1" x14ac:dyDescent="0.3">
      <c r="A1236">
        <v>29134</v>
      </c>
      <c r="B1236" t="s">
        <v>4086</v>
      </c>
      <c r="C1236" t="s">
        <v>4087</v>
      </c>
      <c r="E1236">
        <v>0</v>
      </c>
      <c r="F1236" s="54"/>
    </row>
    <row r="1237" spans="1:6" hidden="1" thickBot="1" x14ac:dyDescent="0.3">
      <c r="A1237">
        <v>29135</v>
      </c>
      <c r="B1237" t="s">
        <v>4088</v>
      </c>
      <c r="C1237" t="s">
        <v>4089</v>
      </c>
      <c r="E1237">
        <v>0</v>
      </c>
      <c r="F1237" s="54"/>
    </row>
    <row r="1238" spans="1:6" hidden="1" thickBot="1" x14ac:dyDescent="0.3">
      <c r="A1238">
        <v>28028</v>
      </c>
      <c r="B1238" t="s">
        <v>905</v>
      </c>
      <c r="C1238" t="s">
        <v>4090</v>
      </c>
      <c r="E1238">
        <v>0</v>
      </c>
      <c r="F1238" s="54"/>
    </row>
    <row r="1239" spans="1:6" hidden="1" thickBot="1" x14ac:dyDescent="0.3">
      <c r="A1239">
        <v>29138</v>
      </c>
      <c r="B1239" t="s">
        <v>794</v>
      </c>
      <c r="C1239" t="s">
        <v>4091</v>
      </c>
      <c r="E1239">
        <v>0</v>
      </c>
      <c r="F1239" s="54"/>
    </row>
    <row r="1240" spans="1:6" hidden="1" thickBot="1" x14ac:dyDescent="0.3">
      <c r="A1240">
        <v>28029</v>
      </c>
      <c r="B1240" t="s">
        <v>795</v>
      </c>
      <c r="C1240" t="s">
        <v>4092</v>
      </c>
      <c r="E1240">
        <v>0</v>
      </c>
      <c r="F1240" s="54"/>
    </row>
    <row r="1241" spans="1:6" ht="15.75" thickBot="1" x14ac:dyDescent="0.3">
      <c r="A1241">
        <v>29137</v>
      </c>
      <c r="B1241" t="s">
        <v>4093</v>
      </c>
      <c r="C1241" t="s">
        <v>4094</v>
      </c>
      <c r="D1241" s="75">
        <v>49.11</v>
      </c>
      <c r="E1241">
        <v>42</v>
      </c>
      <c r="F1241" s="54"/>
    </row>
    <row r="1242" spans="1:6" ht="15.75" thickBot="1" x14ac:dyDescent="0.3">
      <c r="A1242">
        <v>29139</v>
      </c>
      <c r="B1242" t="s">
        <v>4095</v>
      </c>
      <c r="C1242" t="s">
        <v>4096</v>
      </c>
      <c r="D1242" s="75">
        <v>57.15</v>
      </c>
      <c r="E1242">
        <v>8</v>
      </c>
      <c r="F1242" s="54"/>
    </row>
    <row r="1243" spans="1:6" hidden="1" thickBot="1" x14ac:dyDescent="0.3">
      <c r="A1243">
        <v>29140</v>
      </c>
      <c r="B1243" t="s">
        <v>4097</v>
      </c>
      <c r="C1243" t="s">
        <v>4098</v>
      </c>
      <c r="E1243">
        <v>0</v>
      </c>
      <c r="F1243" s="54"/>
    </row>
    <row r="1244" spans="1:6" hidden="1" thickBot="1" x14ac:dyDescent="0.3">
      <c r="A1244">
        <v>29141</v>
      </c>
      <c r="B1244" t="s">
        <v>4099</v>
      </c>
      <c r="C1244" t="s">
        <v>4100</v>
      </c>
      <c r="E1244">
        <v>0</v>
      </c>
      <c r="F1244" s="54"/>
    </row>
    <row r="1245" spans="1:6" ht="15.75" thickBot="1" x14ac:dyDescent="0.3">
      <c r="A1245">
        <v>29142</v>
      </c>
      <c r="B1245" t="s">
        <v>4101</v>
      </c>
      <c r="C1245" t="s">
        <v>4100</v>
      </c>
      <c r="D1245" s="75">
        <v>40.47</v>
      </c>
      <c r="E1245">
        <v>35</v>
      </c>
      <c r="F1245" s="54"/>
    </row>
    <row r="1246" spans="1:6" hidden="1" thickBot="1" x14ac:dyDescent="0.3">
      <c r="A1246">
        <v>29144</v>
      </c>
      <c r="B1246" t="s">
        <v>4102</v>
      </c>
      <c r="C1246" t="s">
        <v>4103</v>
      </c>
      <c r="E1246">
        <v>0</v>
      </c>
      <c r="F1246" s="54"/>
    </row>
    <row r="1247" spans="1:6" hidden="1" thickBot="1" x14ac:dyDescent="0.3">
      <c r="A1247">
        <v>29143</v>
      </c>
      <c r="B1247" t="s">
        <v>4104</v>
      </c>
      <c r="C1247" t="s">
        <v>4105</v>
      </c>
      <c r="E1247">
        <v>0</v>
      </c>
      <c r="F1247" s="54"/>
    </row>
    <row r="1248" spans="1:6" hidden="1" thickBot="1" x14ac:dyDescent="0.3">
      <c r="A1248">
        <v>29145</v>
      </c>
      <c r="B1248" t="s">
        <v>872</v>
      </c>
      <c r="C1248" t="s">
        <v>4106</v>
      </c>
      <c r="E1248">
        <v>0</v>
      </c>
      <c r="F1248" s="54"/>
    </row>
    <row r="1249" spans="1:6" hidden="1" thickBot="1" x14ac:dyDescent="0.3">
      <c r="A1249">
        <v>29148</v>
      </c>
      <c r="B1249" t="s">
        <v>877</v>
      </c>
      <c r="C1249" t="s">
        <v>4107</v>
      </c>
      <c r="E1249">
        <v>0</v>
      </c>
      <c r="F1249" s="54"/>
    </row>
    <row r="1250" spans="1:6" ht="15.75" thickBot="1" x14ac:dyDescent="0.3">
      <c r="A1250">
        <v>29147</v>
      </c>
      <c r="B1250" t="s">
        <v>868</v>
      </c>
      <c r="C1250" t="s">
        <v>4108</v>
      </c>
      <c r="D1250" s="75">
        <v>38.42</v>
      </c>
      <c r="E1250">
        <v>210</v>
      </c>
      <c r="F1250" s="54"/>
    </row>
    <row r="1251" spans="1:6" hidden="1" thickBot="1" x14ac:dyDescent="0.3">
      <c r="A1251">
        <v>29150</v>
      </c>
      <c r="B1251" t="s">
        <v>763</v>
      </c>
      <c r="C1251" t="s">
        <v>4109</v>
      </c>
      <c r="E1251">
        <v>0</v>
      </c>
      <c r="F1251" s="54"/>
    </row>
    <row r="1252" spans="1:6" hidden="1" thickBot="1" x14ac:dyDescent="0.3">
      <c r="A1252">
        <v>29149</v>
      </c>
      <c r="B1252" t="s">
        <v>755</v>
      </c>
      <c r="C1252" t="s">
        <v>4110</v>
      </c>
      <c r="E1252">
        <v>0</v>
      </c>
      <c r="F1252" s="54"/>
    </row>
    <row r="1253" spans="1:6" hidden="1" thickBot="1" x14ac:dyDescent="0.3">
      <c r="A1253">
        <v>29146</v>
      </c>
      <c r="B1253" t="s">
        <v>762</v>
      </c>
      <c r="C1253" t="s">
        <v>4111</v>
      </c>
      <c r="E1253">
        <v>0</v>
      </c>
      <c r="F1253" s="54"/>
    </row>
    <row r="1254" spans="1:6" hidden="1" thickBot="1" x14ac:dyDescent="0.3">
      <c r="A1254">
        <v>29152</v>
      </c>
      <c r="B1254" t="s">
        <v>754</v>
      </c>
      <c r="C1254" t="s">
        <v>4112</v>
      </c>
      <c r="E1254">
        <v>0</v>
      </c>
      <c r="F1254" s="54"/>
    </row>
    <row r="1255" spans="1:6" hidden="1" thickBot="1" x14ac:dyDescent="0.3">
      <c r="A1255">
        <v>29151</v>
      </c>
      <c r="B1255" t="s">
        <v>758</v>
      </c>
      <c r="C1255" t="s">
        <v>4113</v>
      </c>
      <c r="E1255">
        <v>0</v>
      </c>
      <c r="F1255" s="54"/>
    </row>
    <row r="1256" spans="1:6" ht="15.75" thickBot="1" x14ac:dyDescent="0.3">
      <c r="A1256">
        <v>29155</v>
      </c>
      <c r="B1256" t="s">
        <v>4114</v>
      </c>
      <c r="C1256" t="s">
        <v>4115</v>
      </c>
      <c r="D1256" s="75">
        <v>46.91</v>
      </c>
      <c r="E1256">
        <v>16</v>
      </c>
      <c r="F1256" s="54"/>
    </row>
    <row r="1257" spans="1:6" ht="15.75" thickBot="1" x14ac:dyDescent="0.3">
      <c r="A1257">
        <v>29310</v>
      </c>
      <c r="B1257" t="s">
        <v>4116</v>
      </c>
      <c r="C1257" t="s">
        <v>4117</v>
      </c>
      <c r="D1257" s="75" t="s">
        <v>3082</v>
      </c>
      <c r="E1257">
        <v>120</v>
      </c>
      <c r="F1257" s="54"/>
    </row>
    <row r="1258" spans="1:6" hidden="1" thickBot="1" x14ac:dyDescent="0.3">
      <c r="A1258">
        <v>29153</v>
      </c>
      <c r="B1258" t="s">
        <v>4118</v>
      </c>
      <c r="C1258" t="s">
        <v>4119</v>
      </c>
      <c r="E1258">
        <v>0</v>
      </c>
      <c r="F1258" s="54"/>
    </row>
    <row r="1259" spans="1:6" hidden="1" thickBot="1" x14ac:dyDescent="0.3">
      <c r="A1259">
        <v>29154</v>
      </c>
      <c r="B1259" t="s">
        <v>4120</v>
      </c>
      <c r="C1259" t="s">
        <v>4121</v>
      </c>
      <c r="E1259">
        <v>0</v>
      </c>
      <c r="F1259" s="54"/>
    </row>
    <row r="1260" spans="1:6" hidden="1" thickBot="1" x14ac:dyDescent="0.3">
      <c r="A1260">
        <v>29156</v>
      </c>
      <c r="B1260" t="s">
        <v>4122</v>
      </c>
      <c r="C1260" t="s">
        <v>4123</v>
      </c>
      <c r="E1260">
        <v>0</v>
      </c>
      <c r="F1260" s="54"/>
    </row>
    <row r="1261" spans="1:6" hidden="1" thickBot="1" x14ac:dyDescent="0.3">
      <c r="A1261">
        <v>29157</v>
      </c>
      <c r="B1261" t="s">
        <v>4124</v>
      </c>
      <c r="C1261" t="s">
        <v>4125</v>
      </c>
      <c r="E1261">
        <v>0</v>
      </c>
      <c r="F1261" s="54"/>
    </row>
    <row r="1262" spans="1:6" hidden="1" thickBot="1" x14ac:dyDescent="0.3">
      <c r="A1262">
        <v>29159</v>
      </c>
      <c r="B1262" t="s">
        <v>4126</v>
      </c>
      <c r="C1262" t="s">
        <v>4127</v>
      </c>
      <c r="E1262">
        <v>0</v>
      </c>
      <c r="F1262" s="54"/>
    </row>
    <row r="1263" spans="1:6" hidden="1" thickBot="1" x14ac:dyDescent="0.3">
      <c r="A1263">
        <v>29158</v>
      </c>
      <c r="B1263" t="s">
        <v>772</v>
      </c>
      <c r="C1263" t="s">
        <v>4128</v>
      </c>
      <c r="E1263">
        <v>0</v>
      </c>
      <c r="F1263" s="54"/>
    </row>
    <row r="1264" spans="1:6" hidden="1" thickBot="1" x14ac:dyDescent="0.3">
      <c r="A1264">
        <v>29160</v>
      </c>
      <c r="B1264" t="s">
        <v>4129</v>
      </c>
      <c r="C1264" t="s">
        <v>4130</v>
      </c>
      <c r="E1264">
        <v>0</v>
      </c>
      <c r="F1264" s="54"/>
    </row>
    <row r="1265" spans="1:6" hidden="1" thickBot="1" x14ac:dyDescent="0.3">
      <c r="A1265">
        <v>28031</v>
      </c>
      <c r="B1265" t="s">
        <v>4131</v>
      </c>
      <c r="C1265" t="s">
        <v>4132</v>
      </c>
      <c r="E1265">
        <v>0</v>
      </c>
      <c r="F1265" s="54"/>
    </row>
    <row r="1266" spans="1:6" hidden="1" thickBot="1" x14ac:dyDescent="0.3">
      <c r="A1266">
        <v>28030</v>
      </c>
      <c r="B1266" t="s">
        <v>4133</v>
      </c>
      <c r="C1266" t="s">
        <v>4134</v>
      </c>
      <c r="E1266">
        <v>0</v>
      </c>
      <c r="F1266" s="54"/>
    </row>
    <row r="1267" spans="1:6" hidden="1" thickBot="1" x14ac:dyDescent="0.3">
      <c r="A1267">
        <v>29163</v>
      </c>
      <c r="B1267" t="s">
        <v>4135</v>
      </c>
      <c r="C1267" t="s">
        <v>4136</v>
      </c>
      <c r="E1267">
        <v>0</v>
      </c>
      <c r="F1267" s="54"/>
    </row>
    <row r="1268" spans="1:6" hidden="1" thickBot="1" x14ac:dyDescent="0.3">
      <c r="A1268">
        <v>29161</v>
      </c>
      <c r="B1268" t="s">
        <v>4137</v>
      </c>
      <c r="C1268" t="s">
        <v>4138</v>
      </c>
      <c r="E1268">
        <v>0</v>
      </c>
      <c r="F1268" s="54"/>
    </row>
    <row r="1269" spans="1:6" hidden="1" thickBot="1" x14ac:dyDescent="0.3">
      <c r="A1269">
        <v>28035</v>
      </c>
      <c r="B1269" t="s">
        <v>4139</v>
      </c>
      <c r="C1269" t="s">
        <v>4140</v>
      </c>
      <c r="E1269">
        <v>0</v>
      </c>
      <c r="F1269" s="54"/>
    </row>
    <row r="1270" spans="1:6" hidden="1" thickBot="1" x14ac:dyDescent="0.3">
      <c r="A1270">
        <v>29166</v>
      </c>
      <c r="B1270" t="s">
        <v>4141</v>
      </c>
      <c r="C1270" t="s">
        <v>4141</v>
      </c>
      <c r="E1270">
        <v>0</v>
      </c>
      <c r="F1270" s="54"/>
    </row>
    <row r="1271" spans="1:6" hidden="1" thickBot="1" x14ac:dyDescent="0.3">
      <c r="A1271">
        <v>28034</v>
      </c>
      <c r="B1271" t="s">
        <v>4142</v>
      </c>
      <c r="C1271" t="s">
        <v>4143</v>
      </c>
      <c r="E1271">
        <v>0</v>
      </c>
      <c r="F1271" s="54"/>
    </row>
    <row r="1272" spans="1:6" hidden="1" thickBot="1" x14ac:dyDescent="0.3">
      <c r="A1272">
        <v>28037</v>
      </c>
      <c r="B1272" t="s">
        <v>4144</v>
      </c>
      <c r="C1272" t="s">
        <v>4145</v>
      </c>
      <c r="E1272">
        <v>0</v>
      </c>
      <c r="F1272" s="54"/>
    </row>
    <row r="1273" spans="1:6" hidden="1" thickBot="1" x14ac:dyDescent="0.3">
      <c r="A1273">
        <v>28038</v>
      </c>
      <c r="B1273" t="s">
        <v>4146</v>
      </c>
      <c r="C1273" t="s">
        <v>4147</v>
      </c>
      <c r="E1273">
        <v>0</v>
      </c>
      <c r="F1273" s="54"/>
    </row>
    <row r="1274" spans="1:6" hidden="1" thickBot="1" x14ac:dyDescent="0.3">
      <c r="A1274">
        <v>28039</v>
      </c>
      <c r="B1274" t="s">
        <v>4148</v>
      </c>
      <c r="C1274" t="s">
        <v>4149</v>
      </c>
      <c r="E1274">
        <v>0</v>
      </c>
      <c r="F1274" s="54"/>
    </row>
    <row r="1275" spans="1:6" hidden="1" thickBot="1" x14ac:dyDescent="0.3">
      <c r="A1275">
        <v>28040</v>
      </c>
      <c r="B1275" t="s">
        <v>4150</v>
      </c>
      <c r="C1275" t="s">
        <v>4151</v>
      </c>
      <c r="E1275">
        <v>0</v>
      </c>
      <c r="F1275" s="54"/>
    </row>
    <row r="1276" spans="1:6" ht="15.75" thickBot="1" x14ac:dyDescent="0.3">
      <c r="A1276">
        <v>28041</v>
      </c>
      <c r="B1276" t="s">
        <v>4152</v>
      </c>
      <c r="C1276" t="s">
        <v>4153</v>
      </c>
      <c r="D1276" s="75">
        <v>37.380000000000003</v>
      </c>
      <c r="E1276">
        <v>1</v>
      </c>
      <c r="F1276" s="54"/>
    </row>
    <row r="1277" spans="1:6" hidden="1" thickBot="1" x14ac:dyDescent="0.3">
      <c r="A1277">
        <v>28043</v>
      </c>
      <c r="B1277" t="s">
        <v>4154</v>
      </c>
      <c r="C1277" t="s">
        <v>4155</v>
      </c>
      <c r="E1277">
        <v>0</v>
      </c>
      <c r="F1277" s="54"/>
    </row>
    <row r="1278" spans="1:6" hidden="1" thickBot="1" x14ac:dyDescent="0.3">
      <c r="A1278">
        <v>28042</v>
      </c>
      <c r="B1278" t="s">
        <v>4156</v>
      </c>
      <c r="C1278" t="s">
        <v>4157</v>
      </c>
      <c r="E1278">
        <v>0</v>
      </c>
      <c r="F1278" s="54"/>
    </row>
    <row r="1279" spans="1:6" hidden="1" thickBot="1" x14ac:dyDescent="0.3">
      <c r="A1279">
        <v>28044</v>
      </c>
      <c r="B1279" t="s">
        <v>4158</v>
      </c>
      <c r="C1279" t="s">
        <v>4159</v>
      </c>
      <c r="E1279">
        <v>0</v>
      </c>
      <c r="F1279" s="54"/>
    </row>
    <row r="1280" spans="1:6" hidden="1" thickBot="1" x14ac:dyDescent="0.3">
      <c r="A1280">
        <v>28046</v>
      </c>
      <c r="B1280" t="s">
        <v>4160</v>
      </c>
      <c r="C1280" t="s">
        <v>4161</v>
      </c>
      <c r="E1280">
        <v>0</v>
      </c>
      <c r="F1280" s="54"/>
    </row>
    <row r="1281" spans="1:6" hidden="1" thickBot="1" x14ac:dyDescent="0.3">
      <c r="A1281">
        <v>28045</v>
      </c>
      <c r="B1281" t="s">
        <v>4162</v>
      </c>
      <c r="C1281" t="s">
        <v>4163</v>
      </c>
      <c r="E1281">
        <v>0</v>
      </c>
      <c r="F1281" s="54"/>
    </row>
    <row r="1282" spans="1:6" hidden="1" thickBot="1" x14ac:dyDescent="0.3">
      <c r="A1282">
        <v>28047</v>
      </c>
      <c r="B1282" t="s">
        <v>4164</v>
      </c>
      <c r="C1282" t="s">
        <v>4165</v>
      </c>
      <c r="E1282">
        <v>0</v>
      </c>
      <c r="F1282" s="54"/>
    </row>
    <row r="1283" spans="1:6" hidden="1" thickBot="1" x14ac:dyDescent="0.3">
      <c r="A1283">
        <v>29168</v>
      </c>
      <c r="B1283" t="s">
        <v>4166</v>
      </c>
      <c r="C1283" t="s">
        <v>4167</v>
      </c>
      <c r="E1283">
        <v>0</v>
      </c>
      <c r="F1283" s="54"/>
    </row>
    <row r="1284" spans="1:6" ht="15.75" thickBot="1" x14ac:dyDescent="0.3">
      <c r="A1284">
        <v>29170</v>
      </c>
      <c r="B1284" t="s">
        <v>4168</v>
      </c>
      <c r="C1284" t="s">
        <v>4169</v>
      </c>
      <c r="D1284" s="75">
        <v>46.91</v>
      </c>
      <c r="E1284">
        <v>72</v>
      </c>
      <c r="F1284" s="54"/>
    </row>
    <row r="1285" spans="1:6" hidden="1" thickBot="1" x14ac:dyDescent="0.3">
      <c r="A1285">
        <v>29167</v>
      </c>
      <c r="B1285" t="s">
        <v>4170</v>
      </c>
      <c r="C1285" t="s">
        <v>4171</v>
      </c>
      <c r="E1285">
        <v>0</v>
      </c>
      <c r="F1285" s="54"/>
    </row>
    <row r="1286" spans="1:6" hidden="1" thickBot="1" x14ac:dyDescent="0.3">
      <c r="A1286">
        <v>28050</v>
      </c>
      <c r="B1286" t="s">
        <v>4172</v>
      </c>
      <c r="C1286" t="s">
        <v>4173</v>
      </c>
      <c r="E1286">
        <v>0</v>
      </c>
      <c r="F1286" s="54"/>
    </row>
    <row r="1287" spans="1:6" hidden="1" thickBot="1" x14ac:dyDescent="0.3">
      <c r="A1287">
        <v>28049</v>
      </c>
      <c r="B1287" t="s">
        <v>4174</v>
      </c>
      <c r="C1287" t="s">
        <v>4175</v>
      </c>
      <c r="E1287">
        <v>0</v>
      </c>
      <c r="F1287" s="54"/>
    </row>
    <row r="1288" spans="1:6" hidden="1" thickBot="1" x14ac:dyDescent="0.3">
      <c r="A1288">
        <v>28048</v>
      </c>
      <c r="B1288" t="s">
        <v>4176</v>
      </c>
      <c r="C1288" t="s">
        <v>4177</v>
      </c>
      <c r="E1288">
        <v>0</v>
      </c>
      <c r="F1288" s="54"/>
    </row>
    <row r="1289" spans="1:6" hidden="1" thickBot="1" x14ac:dyDescent="0.3">
      <c r="A1289">
        <v>28051</v>
      </c>
      <c r="B1289" t="s">
        <v>4178</v>
      </c>
      <c r="C1289" t="s">
        <v>4179</v>
      </c>
      <c r="E1289">
        <v>0</v>
      </c>
      <c r="F1289" s="54"/>
    </row>
    <row r="1290" spans="1:6" hidden="1" thickBot="1" x14ac:dyDescent="0.3">
      <c r="A1290">
        <v>29172</v>
      </c>
      <c r="B1290" t="s">
        <v>4180</v>
      </c>
      <c r="C1290" t="s">
        <v>4181</v>
      </c>
      <c r="E1290">
        <v>0</v>
      </c>
      <c r="F1290" s="54"/>
    </row>
    <row r="1291" spans="1:6" ht="15.75" thickBot="1" x14ac:dyDescent="0.3">
      <c r="A1291">
        <v>28053</v>
      </c>
      <c r="B1291" t="s">
        <v>4182</v>
      </c>
      <c r="C1291" t="s">
        <v>4183</v>
      </c>
      <c r="D1291" s="75">
        <v>51.55</v>
      </c>
      <c r="E1291">
        <v>10</v>
      </c>
      <c r="F1291" s="54"/>
    </row>
    <row r="1292" spans="1:6" hidden="1" thickBot="1" x14ac:dyDescent="0.3">
      <c r="A1292">
        <v>29169</v>
      </c>
      <c r="B1292" t="s">
        <v>4184</v>
      </c>
      <c r="C1292" t="s">
        <v>4185</v>
      </c>
      <c r="E1292">
        <v>0</v>
      </c>
      <c r="F1292" s="54"/>
    </row>
    <row r="1293" spans="1:6" hidden="1" thickBot="1" x14ac:dyDescent="0.3">
      <c r="A1293">
        <v>28052</v>
      </c>
      <c r="B1293" t="s">
        <v>4186</v>
      </c>
      <c r="C1293" t="s">
        <v>4187</v>
      </c>
      <c r="E1293">
        <v>0</v>
      </c>
      <c r="F1293" s="54"/>
    </row>
    <row r="1294" spans="1:6" hidden="1" thickBot="1" x14ac:dyDescent="0.3">
      <c r="A1294">
        <v>28054</v>
      </c>
      <c r="B1294" t="s">
        <v>4188</v>
      </c>
      <c r="C1294" t="s">
        <v>4189</v>
      </c>
      <c r="E1294">
        <v>0</v>
      </c>
      <c r="F1294" s="54"/>
    </row>
    <row r="1295" spans="1:6" hidden="1" thickBot="1" x14ac:dyDescent="0.3">
      <c r="A1295">
        <v>29171</v>
      </c>
      <c r="B1295" t="s">
        <v>4190</v>
      </c>
      <c r="C1295" t="s">
        <v>4191</v>
      </c>
      <c r="E1295">
        <v>0</v>
      </c>
      <c r="F1295" s="54"/>
    </row>
    <row r="1296" spans="1:6" hidden="1" thickBot="1" x14ac:dyDescent="0.3">
      <c r="A1296">
        <v>28055</v>
      </c>
      <c r="B1296" t="s">
        <v>4192</v>
      </c>
      <c r="C1296" t="s">
        <v>4193</v>
      </c>
      <c r="E1296">
        <v>0</v>
      </c>
      <c r="F1296" s="54"/>
    </row>
    <row r="1297" spans="1:6" ht="15.75" thickBot="1" x14ac:dyDescent="0.3">
      <c r="A1297">
        <v>28056</v>
      </c>
      <c r="B1297" t="s">
        <v>4194</v>
      </c>
      <c r="C1297" t="s">
        <v>4195</v>
      </c>
      <c r="D1297" s="75">
        <v>63.07</v>
      </c>
      <c r="E1297">
        <v>6</v>
      </c>
      <c r="F1297" s="54"/>
    </row>
    <row r="1298" spans="1:6" hidden="1" thickBot="1" x14ac:dyDescent="0.3">
      <c r="A1298">
        <v>28058</v>
      </c>
      <c r="B1298" t="s">
        <v>4196</v>
      </c>
      <c r="C1298" t="s">
        <v>4197</v>
      </c>
      <c r="E1298">
        <v>0</v>
      </c>
      <c r="F1298" s="54"/>
    </row>
    <row r="1299" spans="1:6" hidden="1" thickBot="1" x14ac:dyDescent="0.3">
      <c r="A1299">
        <v>28057</v>
      </c>
      <c r="B1299" t="s">
        <v>4198</v>
      </c>
      <c r="C1299" t="s">
        <v>4199</v>
      </c>
      <c r="E1299">
        <v>0</v>
      </c>
      <c r="F1299" s="54"/>
    </row>
    <row r="1300" spans="1:6" hidden="1" thickBot="1" x14ac:dyDescent="0.3">
      <c r="A1300">
        <v>28063</v>
      </c>
      <c r="B1300" t="s">
        <v>4200</v>
      </c>
      <c r="C1300" t="s">
        <v>4201</v>
      </c>
      <c r="E1300">
        <v>0</v>
      </c>
      <c r="F1300" s="54"/>
    </row>
    <row r="1301" spans="1:6" hidden="1" thickBot="1" x14ac:dyDescent="0.3">
      <c r="A1301">
        <v>28059</v>
      </c>
      <c r="B1301" t="s">
        <v>4202</v>
      </c>
      <c r="C1301" t="s">
        <v>4203</v>
      </c>
      <c r="E1301">
        <v>0</v>
      </c>
      <c r="F1301" s="54"/>
    </row>
    <row r="1302" spans="1:6" hidden="1" thickBot="1" x14ac:dyDescent="0.3">
      <c r="A1302">
        <v>28062</v>
      </c>
      <c r="B1302" t="s">
        <v>4204</v>
      </c>
      <c r="C1302" t="s">
        <v>4205</v>
      </c>
      <c r="E1302">
        <v>0</v>
      </c>
      <c r="F1302" s="54"/>
    </row>
    <row r="1303" spans="1:6" ht="15.75" thickBot="1" x14ac:dyDescent="0.3">
      <c r="A1303">
        <v>28061</v>
      </c>
      <c r="B1303" t="s">
        <v>4206</v>
      </c>
      <c r="C1303" t="s">
        <v>4207</v>
      </c>
      <c r="D1303" s="75">
        <v>47.49</v>
      </c>
      <c r="E1303">
        <v>9</v>
      </c>
      <c r="F1303" s="54"/>
    </row>
    <row r="1304" spans="1:6" ht="15.75" thickBot="1" x14ac:dyDescent="0.3">
      <c r="A1304">
        <v>28060</v>
      </c>
      <c r="B1304" t="s">
        <v>4208</v>
      </c>
      <c r="C1304" t="s">
        <v>4209</v>
      </c>
      <c r="D1304" s="75">
        <v>49.86</v>
      </c>
      <c r="E1304">
        <v>3</v>
      </c>
      <c r="F1304" s="54"/>
    </row>
    <row r="1305" spans="1:6" ht="15.75" thickBot="1" x14ac:dyDescent="0.3">
      <c r="A1305">
        <v>28065</v>
      </c>
      <c r="B1305" t="s">
        <v>4210</v>
      </c>
      <c r="C1305" t="s">
        <v>4211</v>
      </c>
      <c r="D1305" s="75">
        <v>31.92</v>
      </c>
      <c r="E1305">
        <v>10</v>
      </c>
      <c r="F1305" s="54"/>
    </row>
    <row r="1306" spans="1:6" ht="15.75" thickBot="1" x14ac:dyDescent="0.3">
      <c r="A1306">
        <v>28064</v>
      </c>
      <c r="B1306" t="s">
        <v>4212</v>
      </c>
      <c r="C1306" t="s">
        <v>4213</v>
      </c>
      <c r="D1306" s="75">
        <v>37.11</v>
      </c>
      <c r="E1306">
        <v>8</v>
      </c>
      <c r="F1306" s="54"/>
    </row>
    <row r="1307" spans="1:6" ht="15.75" thickBot="1" x14ac:dyDescent="0.3">
      <c r="A1307">
        <v>28066</v>
      </c>
      <c r="B1307" t="s">
        <v>4214</v>
      </c>
      <c r="C1307" t="s">
        <v>4215</v>
      </c>
      <c r="D1307" s="75">
        <v>49.69</v>
      </c>
      <c r="E1307">
        <v>9</v>
      </c>
      <c r="F1307" s="54"/>
    </row>
    <row r="1308" spans="1:6" hidden="1" thickBot="1" x14ac:dyDescent="0.3">
      <c r="A1308">
        <v>29174</v>
      </c>
      <c r="B1308" t="s">
        <v>4216</v>
      </c>
      <c r="C1308" t="s">
        <v>4217</v>
      </c>
      <c r="E1308">
        <v>0</v>
      </c>
      <c r="F1308" s="54"/>
    </row>
    <row r="1309" spans="1:6" hidden="1" thickBot="1" x14ac:dyDescent="0.3">
      <c r="A1309">
        <v>29173</v>
      </c>
      <c r="B1309" t="s">
        <v>4218</v>
      </c>
      <c r="C1309" t="s">
        <v>4219</v>
      </c>
      <c r="E1309">
        <v>0</v>
      </c>
      <c r="F1309" s="54"/>
    </row>
    <row r="1310" spans="1:6" hidden="1" thickBot="1" x14ac:dyDescent="0.3">
      <c r="A1310">
        <v>29175</v>
      </c>
      <c r="B1310" t="s">
        <v>4220</v>
      </c>
      <c r="C1310" t="s">
        <v>4221</v>
      </c>
      <c r="E1310">
        <v>0</v>
      </c>
      <c r="F1310" s="54"/>
    </row>
    <row r="1311" spans="1:6" hidden="1" thickBot="1" x14ac:dyDescent="0.3">
      <c r="A1311">
        <v>29176</v>
      </c>
      <c r="B1311" t="s">
        <v>4222</v>
      </c>
      <c r="C1311" t="s">
        <v>4223</v>
      </c>
      <c r="E1311">
        <v>0</v>
      </c>
      <c r="F1311" s="54"/>
    </row>
    <row r="1312" spans="1:6" hidden="1" thickBot="1" x14ac:dyDescent="0.3">
      <c r="A1312">
        <v>29178</v>
      </c>
      <c r="B1312" t="s">
        <v>4224</v>
      </c>
      <c r="C1312" t="s">
        <v>4225</v>
      </c>
      <c r="E1312">
        <v>0</v>
      </c>
      <c r="F1312" s="54"/>
    </row>
    <row r="1313" spans="1:6" hidden="1" thickBot="1" x14ac:dyDescent="0.3">
      <c r="A1313">
        <v>29179</v>
      </c>
      <c r="B1313" t="s">
        <v>4226</v>
      </c>
      <c r="C1313" t="s">
        <v>4227</v>
      </c>
      <c r="E1313">
        <v>0</v>
      </c>
      <c r="F1313" s="54"/>
    </row>
    <row r="1314" spans="1:6" hidden="1" thickBot="1" x14ac:dyDescent="0.3">
      <c r="A1314">
        <v>29181</v>
      </c>
      <c r="B1314" t="s">
        <v>4228</v>
      </c>
      <c r="C1314" t="s">
        <v>4229</v>
      </c>
      <c r="E1314">
        <v>0</v>
      </c>
      <c r="F1314" s="54"/>
    </row>
    <row r="1315" spans="1:6" hidden="1" thickBot="1" x14ac:dyDescent="0.3">
      <c r="A1315">
        <v>29182</v>
      </c>
      <c r="B1315" t="s">
        <v>4230</v>
      </c>
      <c r="C1315" t="s">
        <v>4231</v>
      </c>
      <c r="E1315">
        <v>0</v>
      </c>
      <c r="F1315" s="54"/>
    </row>
    <row r="1316" spans="1:6" hidden="1" thickBot="1" x14ac:dyDescent="0.3">
      <c r="A1316">
        <v>29183</v>
      </c>
      <c r="B1316" t="s">
        <v>4232</v>
      </c>
      <c r="C1316" t="s">
        <v>4233</v>
      </c>
      <c r="E1316">
        <v>0</v>
      </c>
      <c r="F1316" s="54"/>
    </row>
    <row r="1317" spans="1:6" hidden="1" thickBot="1" x14ac:dyDescent="0.3">
      <c r="A1317">
        <v>29180</v>
      </c>
      <c r="B1317" t="s">
        <v>4234</v>
      </c>
      <c r="C1317" t="s">
        <v>4235</v>
      </c>
      <c r="E1317">
        <v>0</v>
      </c>
      <c r="F1317" s="54"/>
    </row>
    <row r="1318" spans="1:6" hidden="1" thickBot="1" x14ac:dyDescent="0.3">
      <c r="A1318">
        <v>29186</v>
      </c>
      <c r="B1318" t="s">
        <v>4236</v>
      </c>
      <c r="C1318" t="s">
        <v>4237</v>
      </c>
      <c r="E1318">
        <v>0</v>
      </c>
      <c r="F1318" s="54"/>
    </row>
    <row r="1319" spans="1:6" hidden="1" thickBot="1" x14ac:dyDescent="0.3">
      <c r="A1319">
        <v>29185</v>
      </c>
      <c r="B1319" t="s">
        <v>4238</v>
      </c>
      <c r="C1319" t="s">
        <v>4239</v>
      </c>
      <c r="D1319" s="1" t="s">
        <v>3082</v>
      </c>
      <c r="E1319">
        <v>0</v>
      </c>
      <c r="F1319" s="54"/>
    </row>
    <row r="1320" spans="1:6" hidden="1" thickBot="1" x14ac:dyDescent="0.3">
      <c r="A1320">
        <v>29184</v>
      </c>
      <c r="B1320" t="s">
        <v>4240</v>
      </c>
      <c r="C1320" t="s">
        <v>4241</v>
      </c>
      <c r="D1320" s="1" t="s">
        <v>3082</v>
      </c>
      <c r="E1320">
        <v>0</v>
      </c>
      <c r="F1320" s="54"/>
    </row>
    <row r="1321" spans="1:6" hidden="1" thickBot="1" x14ac:dyDescent="0.3">
      <c r="A1321">
        <v>29187</v>
      </c>
      <c r="B1321" t="s">
        <v>4242</v>
      </c>
      <c r="C1321" t="s">
        <v>4243</v>
      </c>
      <c r="D1321" s="1" t="s">
        <v>3082</v>
      </c>
      <c r="E1321">
        <v>0</v>
      </c>
      <c r="F1321" s="54"/>
    </row>
    <row r="1322" spans="1:6" hidden="1" thickBot="1" x14ac:dyDescent="0.3">
      <c r="A1322">
        <v>29189</v>
      </c>
      <c r="B1322" t="s">
        <v>4244</v>
      </c>
      <c r="C1322" t="s">
        <v>4245</v>
      </c>
      <c r="D1322" s="1" t="s">
        <v>3082</v>
      </c>
      <c r="E1322">
        <v>0</v>
      </c>
      <c r="F1322" s="54"/>
    </row>
    <row r="1323" spans="1:6" hidden="1" thickBot="1" x14ac:dyDescent="0.3">
      <c r="A1323">
        <v>29188</v>
      </c>
      <c r="B1323" t="s">
        <v>4246</v>
      </c>
      <c r="C1323" t="s">
        <v>4247</v>
      </c>
      <c r="D1323" s="1" t="s">
        <v>3082</v>
      </c>
      <c r="E1323">
        <v>0</v>
      </c>
      <c r="F1323" s="54"/>
    </row>
    <row r="1324" spans="1:6" hidden="1" thickBot="1" x14ac:dyDescent="0.3">
      <c r="A1324">
        <v>29190</v>
      </c>
      <c r="B1324" t="s">
        <v>4248</v>
      </c>
      <c r="C1324" t="s">
        <v>4249</v>
      </c>
      <c r="E1324">
        <v>0</v>
      </c>
      <c r="F1324" s="54"/>
    </row>
    <row r="1325" spans="1:6" hidden="1" thickBot="1" x14ac:dyDescent="0.3">
      <c r="A1325">
        <v>29191</v>
      </c>
      <c r="B1325" t="s">
        <v>4250</v>
      </c>
      <c r="C1325" t="s">
        <v>4251</v>
      </c>
      <c r="E1325">
        <v>0</v>
      </c>
      <c r="F1325" s="54"/>
    </row>
    <row r="1326" spans="1:6" hidden="1" thickBot="1" x14ac:dyDescent="0.3">
      <c r="A1326">
        <v>29194</v>
      </c>
      <c r="B1326" t="s">
        <v>4252</v>
      </c>
      <c r="C1326" t="s">
        <v>4253</v>
      </c>
      <c r="E1326">
        <v>0</v>
      </c>
      <c r="F1326" s="54"/>
    </row>
    <row r="1327" spans="1:6" hidden="1" thickBot="1" x14ac:dyDescent="0.3">
      <c r="A1327">
        <v>29193</v>
      </c>
      <c r="B1327" t="s">
        <v>4254</v>
      </c>
      <c r="C1327" t="s">
        <v>4255</v>
      </c>
      <c r="E1327">
        <v>0</v>
      </c>
      <c r="F1327" s="54"/>
    </row>
    <row r="1328" spans="1:6" hidden="1" thickBot="1" x14ac:dyDescent="0.3">
      <c r="A1328">
        <v>29192</v>
      </c>
      <c r="B1328" t="s">
        <v>4256</v>
      </c>
      <c r="C1328" t="s">
        <v>4256</v>
      </c>
      <c r="E1328">
        <v>0</v>
      </c>
      <c r="F1328" s="54"/>
    </row>
    <row r="1329" spans="1:6" hidden="1" thickBot="1" x14ac:dyDescent="0.3">
      <c r="A1329">
        <v>29195</v>
      </c>
      <c r="B1329" t="s">
        <v>4257</v>
      </c>
      <c r="C1329" t="s">
        <v>2490</v>
      </c>
      <c r="E1329">
        <v>0</v>
      </c>
      <c r="F1329" s="54"/>
    </row>
    <row r="1330" spans="1:6" hidden="1" thickBot="1" x14ac:dyDescent="0.3">
      <c r="A1330">
        <v>29201</v>
      </c>
      <c r="B1330" t="s">
        <v>4258</v>
      </c>
      <c r="C1330" t="s">
        <v>4259</v>
      </c>
      <c r="D1330" s="1" t="s">
        <v>3082</v>
      </c>
      <c r="E1330">
        <v>0</v>
      </c>
      <c r="F1330" s="54"/>
    </row>
    <row r="1331" spans="1:6" hidden="1" thickBot="1" x14ac:dyDescent="0.3">
      <c r="A1331">
        <v>29196</v>
      </c>
      <c r="B1331" t="s">
        <v>4260</v>
      </c>
      <c r="C1331" t="s">
        <v>4261</v>
      </c>
      <c r="D1331" s="1" t="s">
        <v>3082</v>
      </c>
      <c r="E1331">
        <v>0</v>
      </c>
      <c r="F1331" s="54"/>
    </row>
    <row r="1332" spans="1:6" hidden="1" thickBot="1" x14ac:dyDescent="0.3">
      <c r="A1332">
        <v>29197</v>
      </c>
      <c r="B1332" t="s">
        <v>4262</v>
      </c>
      <c r="C1332" t="s">
        <v>4263</v>
      </c>
      <c r="D1332" s="1" t="s">
        <v>3082</v>
      </c>
      <c r="E1332">
        <v>0</v>
      </c>
      <c r="F1332" s="54"/>
    </row>
    <row r="1333" spans="1:6" hidden="1" thickBot="1" x14ac:dyDescent="0.3">
      <c r="A1333">
        <v>29199</v>
      </c>
      <c r="B1333" t="s">
        <v>4264</v>
      </c>
      <c r="C1333" t="s">
        <v>4265</v>
      </c>
      <c r="D1333" s="1" t="s">
        <v>3082</v>
      </c>
      <c r="E1333">
        <v>0</v>
      </c>
      <c r="F1333" s="54"/>
    </row>
    <row r="1334" spans="1:6" hidden="1" thickBot="1" x14ac:dyDescent="0.3">
      <c r="A1334">
        <v>29198</v>
      </c>
      <c r="B1334" t="s">
        <v>4266</v>
      </c>
      <c r="C1334" t="s">
        <v>4267</v>
      </c>
      <c r="D1334" s="1" t="s">
        <v>3082</v>
      </c>
      <c r="E1334">
        <v>0</v>
      </c>
      <c r="F1334" s="54"/>
    </row>
    <row r="1335" spans="1:6" hidden="1" thickBot="1" x14ac:dyDescent="0.3">
      <c r="A1335">
        <v>29200</v>
      </c>
      <c r="B1335" t="s">
        <v>4268</v>
      </c>
      <c r="C1335" t="s">
        <v>4269</v>
      </c>
      <c r="D1335" s="1" t="s">
        <v>3082</v>
      </c>
      <c r="E1335">
        <v>0</v>
      </c>
      <c r="F1335" s="54"/>
    </row>
    <row r="1336" spans="1:6" hidden="1" thickBot="1" x14ac:dyDescent="0.3">
      <c r="A1336">
        <v>29204</v>
      </c>
      <c r="B1336" t="s">
        <v>4270</v>
      </c>
      <c r="C1336" t="s">
        <v>4271</v>
      </c>
      <c r="D1336" s="1" t="s">
        <v>3082</v>
      </c>
      <c r="E1336">
        <v>0</v>
      </c>
      <c r="F1336" s="54"/>
    </row>
    <row r="1337" spans="1:6" ht="15.75" thickBot="1" x14ac:dyDescent="0.3">
      <c r="A1337">
        <v>29206</v>
      </c>
      <c r="B1337" t="s">
        <v>4272</v>
      </c>
      <c r="C1337" t="s">
        <v>4273</v>
      </c>
      <c r="D1337" s="75" t="s">
        <v>3082</v>
      </c>
      <c r="E1337">
        <v>2070</v>
      </c>
      <c r="F1337" s="54"/>
    </row>
    <row r="1338" spans="1:6" ht="15.75" thickBot="1" x14ac:dyDescent="0.3">
      <c r="A1338">
        <v>29205</v>
      </c>
      <c r="B1338" t="s">
        <v>4274</v>
      </c>
      <c r="C1338" t="s">
        <v>4275</v>
      </c>
      <c r="D1338" s="75" t="s">
        <v>3082</v>
      </c>
      <c r="E1338">
        <v>298</v>
      </c>
      <c r="F1338" s="54"/>
    </row>
    <row r="1339" spans="1:6" ht="15.75" thickBot="1" x14ac:dyDescent="0.3">
      <c r="A1339">
        <v>29207</v>
      </c>
      <c r="B1339" t="s">
        <v>4276</v>
      </c>
      <c r="C1339" t="s">
        <v>4277</v>
      </c>
      <c r="D1339" s="75" t="s">
        <v>3082</v>
      </c>
      <c r="E1339">
        <v>305</v>
      </c>
      <c r="F1339" s="54"/>
    </row>
    <row r="1340" spans="1:6" hidden="1" thickBot="1" x14ac:dyDescent="0.3">
      <c r="A1340">
        <v>29210</v>
      </c>
      <c r="B1340" t="s">
        <v>4278</v>
      </c>
      <c r="C1340" t="s">
        <v>4279</v>
      </c>
      <c r="D1340" s="1" t="s">
        <v>3082</v>
      </c>
      <c r="E1340">
        <v>0</v>
      </c>
      <c r="F1340" s="54"/>
    </row>
    <row r="1341" spans="1:6" ht="15.75" thickBot="1" x14ac:dyDescent="0.3">
      <c r="A1341">
        <v>29209</v>
      </c>
      <c r="B1341" t="s">
        <v>4280</v>
      </c>
      <c r="C1341" t="s">
        <v>4281</v>
      </c>
      <c r="D1341" s="75" t="s">
        <v>3082</v>
      </c>
      <c r="E1341">
        <v>1621</v>
      </c>
      <c r="F1341" s="54"/>
    </row>
    <row r="1342" spans="1:6" ht="15.75" thickBot="1" x14ac:dyDescent="0.3">
      <c r="A1342">
        <v>29211</v>
      </c>
      <c r="B1342" t="s">
        <v>4282</v>
      </c>
      <c r="C1342" t="s">
        <v>4283</v>
      </c>
      <c r="D1342" s="75" t="s">
        <v>3082</v>
      </c>
      <c r="E1342">
        <v>95</v>
      </c>
      <c r="F1342" s="54"/>
    </row>
    <row r="1343" spans="1:6" hidden="1" thickBot="1" x14ac:dyDescent="0.3">
      <c r="A1343">
        <v>29335</v>
      </c>
      <c r="B1343" t="s">
        <v>4284</v>
      </c>
      <c r="C1343" t="s">
        <v>4284</v>
      </c>
      <c r="D1343" s="1" t="s">
        <v>3082</v>
      </c>
      <c r="E1343">
        <v>0</v>
      </c>
      <c r="F1343" s="54"/>
    </row>
    <row r="1344" spans="1:6" ht="15.75" thickBot="1" x14ac:dyDescent="0.3">
      <c r="A1344">
        <v>29208</v>
      </c>
      <c r="B1344" t="s">
        <v>4285</v>
      </c>
      <c r="C1344" t="s">
        <v>4286</v>
      </c>
      <c r="D1344" s="75" t="s">
        <v>3082</v>
      </c>
      <c r="E1344">
        <v>100</v>
      </c>
      <c r="F1344" s="54"/>
    </row>
    <row r="1345" spans="1:8" hidden="1" thickBot="1" x14ac:dyDescent="0.3">
      <c r="A1345">
        <v>29215</v>
      </c>
      <c r="B1345" t="s">
        <v>4287</v>
      </c>
      <c r="C1345" t="s">
        <v>4288</v>
      </c>
      <c r="E1345">
        <v>0</v>
      </c>
      <c r="F1345" s="54"/>
    </row>
    <row r="1346" spans="1:8" hidden="1" thickBot="1" x14ac:dyDescent="0.3">
      <c r="A1346">
        <v>29212</v>
      </c>
      <c r="B1346" t="s">
        <v>4289</v>
      </c>
      <c r="C1346" t="s">
        <v>4290</v>
      </c>
      <c r="E1346">
        <v>0</v>
      </c>
      <c r="F1346" s="54"/>
    </row>
    <row r="1347" spans="1:8" ht="15.75" thickBot="1" x14ac:dyDescent="0.3">
      <c r="A1347">
        <v>28079</v>
      </c>
      <c r="B1347" t="s">
        <v>4291</v>
      </c>
      <c r="C1347" t="s">
        <v>4292</v>
      </c>
      <c r="D1347" s="75">
        <v>10.43</v>
      </c>
      <c r="E1347">
        <v>252</v>
      </c>
      <c r="F1347" s="54"/>
    </row>
    <row r="1348" spans="1:8" hidden="1" thickBot="1" x14ac:dyDescent="0.3">
      <c r="A1348">
        <v>28076</v>
      </c>
      <c r="B1348" t="s">
        <v>4293</v>
      </c>
      <c r="C1348" t="s">
        <v>4294</v>
      </c>
      <c r="E1348">
        <v>0</v>
      </c>
      <c r="F1348" s="54"/>
    </row>
    <row r="1349" spans="1:8" hidden="1" thickBot="1" x14ac:dyDescent="0.3">
      <c r="A1349">
        <v>29214</v>
      </c>
      <c r="B1349" t="s">
        <v>4295</v>
      </c>
      <c r="C1349" t="s">
        <v>4296</v>
      </c>
      <c r="E1349">
        <v>0</v>
      </c>
      <c r="F1349" s="54"/>
    </row>
    <row r="1350" spans="1:8" hidden="1" thickBot="1" x14ac:dyDescent="0.3">
      <c r="A1350">
        <v>28082</v>
      </c>
      <c r="B1350" t="s">
        <v>4297</v>
      </c>
      <c r="C1350" t="s">
        <v>4298</v>
      </c>
      <c r="E1350">
        <v>0</v>
      </c>
      <c r="F1350" s="54"/>
    </row>
    <row r="1351" spans="1:8" hidden="1" thickBot="1" x14ac:dyDescent="0.3">
      <c r="A1351">
        <v>28081</v>
      </c>
      <c r="B1351" t="s">
        <v>4299</v>
      </c>
      <c r="C1351" t="s">
        <v>4300</v>
      </c>
      <c r="E1351">
        <v>0</v>
      </c>
      <c r="F1351" s="54"/>
    </row>
    <row r="1352" spans="1:8" hidden="1" thickBot="1" x14ac:dyDescent="0.3">
      <c r="A1352">
        <v>28084</v>
      </c>
      <c r="B1352" t="s">
        <v>4301</v>
      </c>
      <c r="C1352" t="s">
        <v>3864</v>
      </c>
      <c r="E1352">
        <v>0</v>
      </c>
      <c r="F1352" s="54"/>
    </row>
    <row r="1353" spans="1:8" ht="15.75" thickBot="1" x14ac:dyDescent="0.3">
      <c r="A1353">
        <v>28086</v>
      </c>
      <c r="B1353" t="s">
        <v>4302</v>
      </c>
      <c r="C1353" t="s">
        <v>3870</v>
      </c>
      <c r="D1353" s="75" t="s">
        <v>3082</v>
      </c>
      <c r="E1353">
        <v>24</v>
      </c>
      <c r="F1353" s="54"/>
    </row>
    <row r="1354" spans="1:8" hidden="1" thickBot="1" x14ac:dyDescent="0.3">
      <c r="A1354">
        <v>28085</v>
      </c>
      <c r="B1354" t="s">
        <v>4303</v>
      </c>
      <c r="C1354" t="s">
        <v>4304</v>
      </c>
      <c r="E1354">
        <v>0</v>
      </c>
      <c r="F1354" s="54"/>
    </row>
    <row r="1355" spans="1:8" hidden="1" thickBot="1" x14ac:dyDescent="0.3">
      <c r="A1355">
        <v>28080</v>
      </c>
      <c r="B1355" t="s">
        <v>4305</v>
      </c>
      <c r="C1355" t="s">
        <v>4306</v>
      </c>
      <c r="E1355">
        <v>0</v>
      </c>
      <c r="F1355" s="54"/>
    </row>
    <row r="1356" spans="1:8" hidden="1" thickBot="1" x14ac:dyDescent="0.3">
      <c r="A1356">
        <v>28087</v>
      </c>
      <c r="B1356" t="s">
        <v>4307</v>
      </c>
      <c r="C1356" t="s">
        <v>4308</v>
      </c>
      <c r="E1356">
        <v>0</v>
      </c>
      <c r="F1356" s="54"/>
    </row>
    <row r="1357" spans="1:8" hidden="1" thickBot="1" x14ac:dyDescent="0.3">
      <c r="A1357">
        <v>29213</v>
      </c>
      <c r="B1357" t="s">
        <v>4309</v>
      </c>
      <c r="C1357" t="s">
        <v>4310</v>
      </c>
      <c r="E1357">
        <v>0</v>
      </c>
      <c r="F1357" s="54"/>
    </row>
    <row r="1358" spans="1:8" hidden="1" thickBot="1" x14ac:dyDescent="0.3">
      <c r="A1358">
        <v>29217</v>
      </c>
      <c r="B1358" t="s">
        <v>4311</v>
      </c>
      <c r="C1358" t="s">
        <v>4312</v>
      </c>
      <c r="D1358" s="1" t="s">
        <v>3082</v>
      </c>
      <c r="E1358">
        <v>0</v>
      </c>
      <c r="F1358" s="54"/>
    </row>
    <row r="1359" spans="1:8" ht="15.75" thickBot="1" x14ac:dyDescent="0.3">
      <c r="A1359">
        <v>28089</v>
      </c>
      <c r="B1359" t="s">
        <v>547</v>
      </c>
      <c r="C1359" t="s">
        <v>4313</v>
      </c>
      <c r="D1359" s="75">
        <v>8.6583000000000006</v>
      </c>
      <c r="E1359">
        <v>128</v>
      </c>
      <c r="F1359" s="54"/>
      <c r="G1359">
        <f>_xlfn.XLOOKUP(Table1[[#This Row],[part_number]],'Carbotron 1'!C10:C79,'Carbotron 1'!F10:F79,"SPECIAL")</f>
        <v>8.6583000000000006</v>
      </c>
      <c r="H1359" t="str">
        <f>IF(Table1[[#This Row],[PRICE]]="#N/A",LEFT(Table1[[#This Row],[description]],5),"something went wrong or no NA")</f>
        <v>something went wrong or no NA</v>
      </c>
    </row>
    <row r="1360" spans="1:8" ht="15.75" thickBot="1" x14ac:dyDescent="0.3">
      <c r="A1360">
        <v>28088</v>
      </c>
      <c r="B1360" t="s">
        <v>549</v>
      </c>
      <c r="C1360" t="s">
        <v>4314</v>
      </c>
      <c r="D1360" s="75">
        <v>9.5572999999999997</v>
      </c>
      <c r="E1360">
        <v>47</v>
      </c>
      <c r="F1360" s="54"/>
      <c r="G1360">
        <f>_xlfn.XLOOKUP(Table1[[#This Row],[part_number]],'Carbotron 1'!C11:C80,'Carbotron 1'!F11:F80,"SPECIAL")</f>
        <v>9.5572999999999997</v>
      </c>
      <c r="H1360" t="str">
        <f>IF(Table1[[#This Row],[PRICE]]="SPECIAL",LEFT(Table1[[#This Row],[description]],5),"something went wrong or no NA")</f>
        <v>something went wrong or no NA</v>
      </c>
    </row>
    <row r="1361" spans="1:8" ht="15.75" thickBot="1" x14ac:dyDescent="0.3">
      <c r="A1361">
        <v>28090</v>
      </c>
      <c r="B1361" t="s">
        <v>585</v>
      </c>
      <c r="C1361" t="s">
        <v>4315</v>
      </c>
      <c r="D1361" s="75">
        <v>14.58</v>
      </c>
      <c r="E1361">
        <v>30</v>
      </c>
      <c r="F1361" s="54"/>
      <c r="G1361">
        <f>_xlfn.XLOOKUP(Table1[[#This Row],[part_number]],'Carbotron 1'!C12:C81,'Carbotron 1'!F12:F81,"SPECIAL")</f>
        <v>14.5762</v>
      </c>
      <c r="H1361" t="str">
        <f>IF(Table1[[#This Row],[PRICE]]="SPECIAL",LEFT(Table1[[#This Row],[description]],5),"something went wrong or no NA")</f>
        <v>something went wrong or no NA</v>
      </c>
    </row>
    <row r="1362" spans="1:8" hidden="1" thickBot="1" x14ac:dyDescent="0.3">
      <c r="A1362">
        <v>28096</v>
      </c>
      <c r="B1362" t="s">
        <v>4316</v>
      </c>
      <c r="C1362" t="s">
        <v>4317</v>
      </c>
      <c r="D1362" s="1">
        <v>22.55</v>
      </c>
      <c r="E1362">
        <v>0</v>
      </c>
      <c r="F1362" s="54"/>
      <c r="G1362" t="str">
        <f>_xlfn.XLOOKUP(Table1[[#This Row],[part_number]],'Carbotron 1'!C13:C82,'Carbotron 1'!F13:F82,"SPECIAL")</f>
        <v>SPECIAL</v>
      </c>
      <c r="H1362" t="str">
        <f>IF(Table1[[#This Row],[PRICE]]="SPECIAL",LEFT(Table1[[#This Row],[description]],5),"something went wrong or no NA")</f>
        <v>something went wrong or no NA</v>
      </c>
    </row>
    <row r="1363" spans="1:8" hidden="1" thickBot="1" x14ac:dyDescent="0.3">
      <c r="A1363">
        <v>28091</v>
      </c>
      <c r="B1363" t="s">
        <v>551</v>
      </c>
      <c r="C1363" t="s">
        <v>4318</v>
      </c>
      <c r="D1363" s="1">
        <v>10.1835</v>
      </c>
      <c r="E1363">
        <v>0</v>
      </c>
      <c r="F1363" s="54"/>
      <c r="G1363">
        <f>_xlfn.XLOOKUP(Table1[[#This Row],[part_number]],'Carbotron 1'!C14:C83,'Carbotron 1'!F14:F83,"SPECIAL")</f>
        <v>10.1835</v>
      </c>
      <c r="H1363" t="str">
        <f>IF(Table1[[#This Row],[PRICE]]="SPECIAL",LEFT(Table1[[#This Row],[description]],5),"something went wrong or no NA")</f>
        <v>something went wrong or no NA</v>
      </c>
    </row>
    <row r="1364" spans="1:8" hidden="1" thickBot="1" x14ac:dyDescent="0.3">
      <c r="A1364">
        <v>28092</v>
      </c>
      <c r="B1364" t="s">
        <v>505</v>
      </c>
      <c r="C1364" t="s">
        <v>4319</v>
      </c>
      <c r="D1364" s="1">
        <v>10.995699999999999</v>
      </c>
      <c r="E1364">
        <v>0</v>
      </c>
      <c r="F1364" s="54"/>
      <c r="G1364">
        <f>_xlfn.XLOOKUP(Table1[[#This Row],[part_number]],'Carbotron 1'!C15:C84,'Carbotron 1'!F15:F84,"SPECIAL")</f>
        <v>10.995699999999999</v>
      </c>
      <c r="H1364" t="str">
        <f>IF(Table1[[#This Row],[PRICE]]="SPECIAL",LEFT(Table1[[#This Row],[description]],5),"something went wrong or no NA")</f>
        <v>something went wrong or no NA</v>
      </c>
    </row>
    <row r="1365" spans="1:8" ht="15.75" thickBot="1" x14ac:dyDescent="0.3">
      <c r="A1365">
        <v>28097</v>
      </c>
      <c r="B1365" t="s">
        <v>557</v>
      </c>
      <c r="C1365" t="s">
        <v>4320</v>
      </c>
      <c r="D1365" s="75">
        <v>10.6578</v>
      </c>
      <c r="E1365">
        <v>26</v>
      </c>
      <c r="F1365" s="54"/>
      <c r="G1365">
        <f>_xlfn.XLOOKUP(Table1[[#This Row],[part_number]],'Carbotron 1'!C16:C85,'Carbotron 1'!F16:F85,"SPECIAL")</f>
        <v>10.6578</v>
      </c>
      <c r="H1365" t="str">
        <f>IF(Table1[[#This Row],[PRICE]]="SPECIAL",LEFT(Table1[[#This Row],[description]],5),"something went wrong or no NA")</f>
        <v>something went wrong or no NA</v>
      </c>
    </row>
    <row r="1366" spans="1:8" ht="15.75" thickBot="1" x14ac:dyDescent="0.3">
      <c r="A1366">
        <v>28094</v>
      </c>
      <c r="B1366" t="s">
        <v>559</v>
      </c>
      <c r="C1366" t="s">
        <v>4321</v>
      </c>
      <c r="D1366" s="75">
        <v>10.137</v>
      </c>
      <c r="E1366">
        <v>48</v>
      </c>
      <c r="F1366" s="54"/>
      <c r="G1366">
        <f>_xlfn.XLOOKUP(Table1[[#This Row],[part_number]],'Carbotron 1'!C17:C86,'Carbotron 1'!F17:F86,"SPECIAL")</f>
        <v>10.137</v>
      </c>
      <c r="H1366" t="str">
        <f>IF(Table1[[#This Row],[PRICE]]="SPECIAL",LEFT(Table1[[#This Row],[description]],5),"something went wrong or no NA")</f>
        <v>something went wrong or no NA</v>
      </c>
    </row>
    <row r="1367" spans="1:8" hidden="1" thickBot="1" x14ac:dyDescent="0.3">
      <c r="A1367">
        <v>28101</v>
      </c>
      <c r="B1367" t="s">
        <v>4322</v>
      </c>
      <c r="C1367" t="s">
        <v>4323</v>
      </c>
      <c r="D1367" s="1">
        <v>25.47</v>
      </c>
      <c r="E1367">
        <v>0</v>
      </c>
      <c r="F1367" s="54"/>
      <c r="G1367" t="str">
        <f>_xlfn.XLOOKUP(Table1[[#This Row],[part_number]],'Carbotron 1'!C18:C87,'Carbotron 1'!F18:F87,"SPECIAL")</f>
        <v>SPECIAL</v>
      </c>
      <c r="H1367" t="str">
        <f>IF(Table1[[#This Row],[PRICE]]="SPECIAL",LEFT(Table1[[#This Row],[description]],5),"something went wrong or no NA")</f>
        <v>something went wrong or no NA</v>
      </c>
    </row>
    <row r="1368" spans="1:8" hidden="1" thickBot="1" x14ac:dyDescent="0.3">
      <c r="A1368">
        <v>28095</v>
      </c>
      <c r="B1368" t="s">
        <v>561</v>
      </c>
      <c r="C1368" t="s">
        <v>4324</v>
      </c>
      <c r="D1368" s="1">
        <v>13.3393</v>
      </c>
      <c r="E1368">
        <v>0</v>
      </c>
      <c r="F1368" s="54"/>
      <c r="G1368">
        <f>_xlfn.XLOOKUP(Table1[[#This Row],[part_number]],'Carbotron 1'!C19:C88,'Carbotron 1'!F19:F88,"SPECIAL")</f>
        <v>13.3393</v>
      </c>
      <c r="H1368" t="str">
        <f>IF(Table1[[#This Row],[PRICE]]="SPECIAL",LEFT(Table1[[#This Row],[description]],5),"something went wrong or no NA")</f>
        <v>something went wrong or no NA</v>
      </c>
    </row>
    <row r="1369" spans="1:8" hidden="1" thickBot="1" x14ac:dyDescent="0.3">
      <c r="A1369">
        <v>28098</v>
      </c>
      <c r="B1369" t="s">
        <v>511</v>
      </c>
      <c r="C1369" t="s">
        <v>4325</v>
      </c>
      <c r="D1369" s="1">
        <v>8.5622000000000007</v>
      </c>
      <c r="E1369">
        <v>0</v>
      </c>
      <c r="F1369" s="54"/>
      <c r="G1369">
        <f>_xlfn.XLOOKUP(Table1[[#This Row],[part_number]],'Carbotron 1'!C20:C89,'Carbotron 1'!F20:F89,"SPECIAL")</f>
        <v>8.5622000000000007</v>
      </c>
      <c r="H1369" t="str">
        <f>IF(Table1[[#This Row],[PRICE]]="SPECIAL",LEFT(Table1[[#This Row],[description]],5),"something went wrong or no NA")</f>
        <v>something went wrong or no NA</v>
      </c>
    </row>
    <row r="1370" spans="1:8" ht="15.75" thickBot="1" x14ac:dyDescent="0.3">
      <c r="A1370">
        <v>28093</v>
      </c>
      <c r="B1370" t="s">
        <v>563</v>
      </c>
      <c r="C1370" t="s">
        <v>4326</v>
      </c>
      <c r="D1370" s="75">
        <v>12.229500000000002</v>
      </c>
      <c r="E1370">
        <v>429</v>
      </c>
      <c r="F1370" s="54"/>
      <c r="G1370">
        <f>_xlfn.XLOOKUP(Table1[[#This Row],[part_number]],'Carbotron 1'!C21:C90,'Carbotron 1'!F21:F90,"SPECIAL")</f>
        <v>12.229500000000002</v>
      </c>
      <c r="H1370" t="str">
        <f>IF(Table1[[#This Row],[PRICE]]="SPECIAL",LEFT(Table1[[#This Row],[description]],5),"something went wrong or no NA")</f>
        <v>something went wrong or no NA</v>
      </c>
    </row>
    <row r="1371" spans="1:8" hidden="1" thickBot="1" x14ac:dyDescent="0.3">
      <c r="A1371">
        <v>29220</v>
      </c>
      <c r="B1371" t="s">
        <v>4327</v>
      </c>
      <c r="C1371" t="s">
        <v>4328</v>
      </c>
      <c r="D1371" s="1">
        <v>18.489999999999998</v>
      </c>
      <c r="E1371">
        <v>0</v>
      </c>
      <c r="F1371" s="54"/>
      <c r="G1371" t="str">
        <f>_xlfn.XLOOKUP(Table1[[#This Row],[part_number]],'Carbotron 1'!C22:C91,'Carbotron 1'!F22:F91,"SPECIAL")</f>
        <v>SPECIAL</v>
      </c>
      <c r="H1371" t="str">
        <f>IF(Table1[[#This Row],[PRICE]]="SPECIAL",LEFT(Table1[[#This Row],[description]],5),"something went wrong or no NA")</f>
        <v>something went wrong or no NA</v>
      </c>
    </row>
    <row r="1372" spans="1:8" hidden="1" thickBot="1" x14ac:dyDescent="0.3">
      <c r="A1372">
        <v>28100</v>
      </c>
      <c r="B1372" t="s">
        <v>4329</v>
      </c>
      <c r="C1372" t="s">
        <v>4330</v>
      </c>
      <c r="D1372" s="1">
        <v>25.47</v>
      </c>
      <c r="E1372">
        <v>0</v>
      </c>
      <c r="F1372" s="54"/>
      <c r="G1372" t="str">
        <f>_xlfn.XLOOKUP(Table1[[#This Row],[part_number]],'Carbotron 1'!C23:C92,'Carbotron 1'!F23:F92,"SPECIAL")</f>
        <v>SPECIAL</v>
      </c>
      <c r="H1372" t="str">
        <f>IF(Table1[[#This Row],[PRICE]]="SPECIAL",LEFT(Table1[[#This Row],[description]],5),"something went wrong or no NA")</f>
        <v>something went wrong or no NA</v>
      </c>
    </row>
    <row r="1373" spans="1:8" hidden="1" thickBot="1" x14ac:dyDescent="0.3">
      <c r="A1373">
        <v>28099</v>
      </c>
      <c r="B1373" t="s">
        <v>569</v>
      </c>
      <c r="C1373" t="s">
        <v>4331</v>
      </c>
      <c r="D1373" s="1">
        <v>13.364100000000001</v>
      </c>
      <c r="E1373">
        <v>0</v>
      </c>
      <c r="F1373" s="54"/>
      <c r="G1373">
        <f>_xlfn.XLOOKUP(Table1[[#This Row],[part_number]],'Carbotron 1'!C24:C93,'Carbotron 1'!F24:F93,"SPECIAL")</f>
        <v>13.364100000000001</v>
      </c>
      <c r="H1373" t="str">
        <f>IF(Table1[[#This Row],[PRICE]]="SPECIAL",LEFT(Table1[[#This Row],[description]],5),"something went wrong or no NA")</f>
        <v>something went wrong or no NA</v>
      </c>
    </row>
    <row r="1374" spans="1:8" hidden="1" thickBot="1" x14ac:dyDescent="0.3">
      <c r="A1374">
        <v>28102</v>
      </c>
      <c r="B1374" t="s">
        <v>4803</v>
      </c>
      <c r="C1374" t="s">
        <v>4332</v>
      </c>
      <c r="D1374" s="1">
        <v>10.14</v>
      </c>
      <c r="E1374">
        <v>0</v>
      </c>
      <c r="F1374" s="54"/>
      <c r="G1374" t="str">
        <f>_xlfn.XLOOKUP(Table1[[#This Row],[part_number]],'Carbotron 1'!C25:C94,'Carbotron 1'!F25:F94,"SPECIAL")</f>
        <v>SPECIAL</v>
      </c>
      <c r="H1374" t="str">
        <f>IF(Table1[[#This Row],[PRICE]]="SPECIAL",LEFT(Table1[[#This Row],[description]],5),"something went wrong or no NA")</f>
        <v>something went wrong or no NA</v>
      </c>
    </row>
    <row r="1375" spans="1:8" hidden="1" thickBot="1" x14ac:dyDescent="0.3">
      <c r="A1375">
        <v>28103</v>
      </c>
      <c r="B1375" t="s">
        <v>525</v>
      </c>
      <c r="C1375" t="s">
        <v>4333</v>
      </c>
      <c r="D1375" s="1">
        <v>8.5622000000000007</v>
      </c>
      <c r="E1375">
        <v>0</v>
      </c>
      <c r="F1375" s="54"/>
      <c r="G1375">
        <f>_xlfn.XLOOKUP(Table1[[#This Row],[part_number]],'Carbotron 1'!C26:C95,'Carbotron 1'!F26:F95,"SPECIAL")</f>
        <v>8.5622000000000007</v>
      </c>
      <c r="H1375" t="str">
        <f>IF(Table1[[#This Row],[PRICE]]="SPECIAL",LEFT(Table1[[#This Row],[description]],5),"something went wrong or no NA")</f>
        <v>something went wrong or no NA</v>
      </c>
    </row>
    <row r="1376" spans="1:8" ht="15.75" thickBot="1" x14ac:dyDescent="0.3">
      <c r="A1376">
        <v>28104</v>
      </c>
      <c r="B1376" t="s">
        <v>573</v>
      </c>
      <c r="C1376" t="s">
        <v>4334</v>
      </c>
      <c r="D1376" s="75">
        <v>12.229500000000002</v>
      </c>
      <c r="E1376">
        <v>324</v>
      </c>
      <c r="F1376" s="54"/>
      <c r="G1376">
        <f>_xlfn.XLOOKUP(Table1[[#This Row],[part_number]],'Carbotron 1'!C27:C96,'Carbotron 1'!F27:F96,"SPECIAL")</f>
        <v>12.229500000000002</v>
      </c>
      <c r="H1376" t="str">
        <f>IF(Table1[[#This Row],[PRICE]]="SPECIAL",LEFT(Table1[[#This Row],[description]],5),"something went wrong or no NA")</f>
        <v>something went wrong or no NA</v>
      </c>
    </row>
    <row r="1377" spans="1:17" ht="15.75" thickBot="1" x14ac:dyDescent="0.3">
      <c r="A1377">
        <v>28105</v>
      </c>
      <c r="B1377" t="s">
        <v>593</v>
      </c>
      <c r="C1377" t="s">
        <v>4335</v>
      </c>
      <c r="D1377" s="75">
        <v>18.488399999999999</v>
      </c>
      <c r="E1377">
        <v>124</v>
      </c>
      <c r="F1377" s="54"/>
      <c r="G1377">
        <f>_xlfn.XLOOKUP(Table1[[#This Row],[part_number]],'Carbotron 1'!C28:C97,'Carbotron 1'!F28:F97,"SPECIAL")</f>
        <v>18.488399999999999</v>
      </c>
      <c r="H1377" t="str">
        <f>IF(Table1[[#This Row],[PRICE]]="SPECIAL",LEFT(Table1[[#This Row],[description]],5),"something went wrong or no NA")</f>
        <v>something went wrong or no NA</v>
      </c>
    </row>
    <row r="1378" spans="1:17" hidden="1" thickBot="1" x14ac:dyDescent="0.3">
      <c r="A1378">
        <v>28106</v>
      </c>
      <c r="B1378" t="s">
        <v>527</v>
      </c>
      <c r="C1378" t="s">
        <v>4336</v>
      </c>
      <c r="D1378" s="1">
        <v>11.8916</v>
      </c>
      <c r="E1378">
        <v>0</v>
      </c>
      <c r="F1378" s="54"/>
      <c r="G1378">
        <f>_xlfn.XLOOKUP(Table1[[#This Row],[part_number]],'Carbotron 1'!C29:C98,'Carbotron 1'!F29:F98,"SPECIAL")</f>
        <v>11.8916</v>
      </c>
      <c r="H1378" t="str">
        <f>IF(Table1[[#This Row],[PRICE]]="SPECIAL",LEFT(Table1[[#This Row],[description]],5),"something went wrong or no NA")</f>
        <v>something went wrong or no NA</v>
      </c>
    </row>
    <row r="1379" spans="1:17" hidden="1" thickBot="1" x14ac:dyDescent="0.3">
      <c r="A1379">
        <v>28107</v>
      </c>
      <c r="B1379" t="s">
        <v>4337</v>
      </c>
      <c r="C1379" t="s">
        <v>4338</v>
      </c>
      <c r="D1379" s="1">
        <v>10.27</v>
      </c>
      <c r="E1379">
        <v>0</v>
      </c>
      <c r="F1379" s="54"/>
      <c r="G1379" t="str">
        <f>_xlfn.XLOOKUP(Table1[[#This Row],[part_number]],'Carbotron 1'!C30:C99,'Carbotron 1'!F30:F99,"SPECIAL")</f>
        <v>SPECIAL</v>
      </c>
      <c r="H1379" t="str">
        <f>IF(Table1[[#This Row],[PRICE]]="SPECIAL",LEFT(Table1[[#This Row],[description]],5),"something went wrong or no NA")</f>
        <v>something went wrong or no NA</v>
      </c>
    </row>
    <row r="1380" spans="1:17" ht="15.75" thickBot="1" x14ac:dyDescent="0.3">
      <c r="A1380">
        <v>28109</v>
      </c>
      <c r="B1380" t="s">
        <v>575</v>
      </c>
      <c r="C1380" t="s">
        <v>4339</v>
      </c>
      <c r="D1380" s="75">
        <v>15.0009</v>
      </c>
      <c r="E1380">
        <v>180</v>
      </c>
      <c r="F1380" s="54"/>
      <c r="G1380">
        <f>_xlfn.XLOOKUP(Table1[[#This Row],[part_number]],'Carbotron 1'!C31:C100,'Carbotron 1'!F31:F100,"SPECIAL")</f>
        <v>15.0009</v>
      </c>
      <c r="H1380" t="str">
        <f>IF(Table1[[#This Row],[PRICE]]="SPECIAL",LEFT(Table1[[#This Row],[description]],5),"something went wrong or no NA")</f>
        <v>something went wrong or no NA</v>
      </c>
    </row>
    <row r="1381" spans="1:17" ht="15.75" thickBot="1" x14ac:dyDescent="0.3">
      <c r="A1381">
        <v>28108</v>
      </c>
      <c r="B1381" t="s">
        <v>595</v>
      </c>
      <c r="C1381" t="s">
        <v>4340</v>
      </c>
      <c r="D1381" s="75">
        <v>22.453300000000002</v>
      </c>
      <c r="E1381">
        <v>214</v>
      </c>
      <c r="F1381" s="54"/>
      <c r="G1381">
        <f>_xlfn.XLOOKUP(Table1[[#This Row],[part_number]],'Carbotron 1'!C32:C101,'Carbotron 1'!F32:F101,"SPECIAL")</f>
        <v>22.453300000000002</v>
      </c>
      <c r="H1381" t="str">
        <f>IF(Table1[[#This Row],[PRICE]]="SPECIAL",LEFT(Table1[[#This Row],[description]],5),"something went wrong or no NA")</f>
        <v>something went wrong or no NA</v>
      </c>
    </row>
    <row r="1382" spans="1:17" hidden="1" thickBot="1" x14ac:dyDescent="0.3">
      <c r="A1382">
        <v>28110</v>
      </c>
      <c r="B1382" t="s">
        <v>577</v>
      </c>
      <c r="C1382" t="s">
        <v>4341</v>
      </c>
      <c r="D1382" s="1">
        <v>14.743600000000001</v>
      </c>
      <c r="E1382">
        <v>0</v>
      </c>
      <c r="F1382" s="54"/>
      <c r="G1382">
        <f>_xlfn.XLOOKUP(Table1[[#This Row],[part_number]],'Carbotron 1'!C33:C102,'Carbotron 1'!F33:F102,"SPECIAL")</f>
        <v>14.743600000000001</v>
      </c>
      <c r="H1382" t="str">
        <f>IF(Table1[[#This Row],[PRICE]]="SPECIAL",LEFT(Table1[[#This Row],[description]],5),"something went wrong or no NA")</f>
        <v>something went wrong or no NA</v>
      </c>
    </row>
    <row r="1383" spans="1:17" hidden="1" thickBot="1" x14ac:dyDescent="0.3">
      <c r="A1383">
        <v>28111</v>
      </c>
      <c r="B1383" t="s">
        <v>597</v>
      </c>
      <c r="C1383" t="s">
        <v>4342</v>
      </c>
      <c r="D1383" s="1">
        <v>22.267299999999999</v>
      </c>
      <c r="E1383">
        <v>0</v>
      </c>
      <c r="F1383" s="54"/>
      <c r="G1383">
        <f>_xlfn.XLOOKUP(Table1[[#This Row],[part_number]],'Carbotron 1'!C34:C103,'Carbotron 1'!F34:F103,"SPECIAL")</f>
        <v>22.267299999999999</v>
      </c>
      <c r="H1383" t="str">
        <f>IF(Table1[[#This Row],[PRICE]]="SPECIAL",LEFT(Table1[[#This Row],[description]],5),"something went wrong or no NA")</f>
        <v>something went wrong or no NA</v>
      </c>
    </row>
    <row r="1384" spans="1:17" hidden="1" thickBot="1" x14ac:dyDescent="0.3">
      <c r="A1384">
        <v>29218</v>
      </c>
      <c r="B1384" t="s">
        <v>4804</v>
      </c>
      <c r="C1384" t="s">
        <v>4343</v>
      </c>
      <c r="D1384" s="1" t="s">
        <v>3082</v>
      </c>
      <c r="E1384">
        <v>0</v>
      </c>
      <c r="F1384" s="54"/>
      <c r="G1384" t="str">
        <f>_xlfn.XLOOKUP(Table1[[#This Row],[part_number]],'Carbotron 1'!C35:C104,'Carbotron 1'!F35:F104,"SPECIAL")</f>
        <v>SPECIAL</v>
      </c>
      <c r="H1384" t="str">
        <f>IF(Table1[[#This Row],[PRICE]]="SPECIAL",LEFT(Table1[[#This Row],[description]],5),"something went wrong or no NA")</f>
        <v>something went wrong or no NA</v>
      </c>
    </row>
    <row r="1385" spans="1:17" hidden="1" thickBot="1" x14ac:dyDescent="0.3">
      <c r="A1385">
        <v>28113</v>
      </c>
      <c r="B1385" t="s">
        <v>533</v>
      </c>
      <c r="C1385" t="s">
        <v>4344</v>
      </c>
      <c r="D1385" s="1">
        <v>13.264899999999999</v>
      </c>
      <c r="E1385">
        <v>0</v>
      </c>
      <c r="F1385" s="54"/>
      <c r="G1385">
        <f>_xlfn.XLOOKUP(Table1[[#This Row],[part_number]],'Carbotron 1'!C36:C105,'Carbotron 1'!F36:F105,"SPECIAL")</f>
        <v>13.264899999999999</v>
      </c>
      <c r="H1385" t="str">
        <f>IF(Table1[[#This Row],[PRICE]]="SPECIAL",LEFT(Table1[[#This Row],[description]],5),"something went wrong or no NA")</f>
        <v>something went wrong or no NA</v>
      </c>
    </row>
    <row r="1386" spans="1:17" ht="15.75" thickBot="1" x14ac:dyDescent="0.3">
      <c r="A1386">
        <v>28116</v>
      </c>
      <c r="B1386" t="s">
        <v>537</v>
      </c>
      <c r="C1386" t="s">
        <v>4345</v>
      </c>
      <c r="D1386" s="75">
        <v>11.510300000000001</v>
      </c>
      <c r="E1386">
        <v>72</v>
      </c>
      <c r="F1386" s="54"/>
      <c r="G1386">
        <f>_xlfn.XLOOKUP(Table1[[#This Row],[part_number]],'Carbotron 1'!C37:C106,'Carbotron 1'!F37:F106,"SPECIAL")</f>
        <v>11.510300000000001</v>
      </c>
      <c r="H1386" t="str">
        <f>IF(Table1[[#This Row],[PRICE]]="SPECIAL",LEFT(Table1[[#This Row],[description]],5),"something went wrong or no NA")</f>
        <v>something went wrong or no NA</v>
      </c>
    </row>
    <row r="1387" spans="1:17" ht="15.75" thickBot="1" x14ac:dyDescent="0.3">
      <c r="A1387">
        <v>28112</v>
      </c>
      <c r="B1387" t="s">
        <v>581</v>
      </c>
      <c r="C1387" t="s">
        <v>4346</v>
      </c>
      <c r="D1387" s="75">
        <v>16.823700000000002</v>
      </c>
      <c r="E1387">
        <v>398</v>
      </c>
      <c r="F1387" s="54"/>
      <c r="G1387">
        <f>_xlfn.XLOOKUP(Table1[[#This Row],[part_number]],'Carbotron 1'!C38:C107,'Carbotron 1'!F38:F107,"SPECIAL")</f>
        <v>16.823700000000002</v>
      </c>
      <c r="H1387" t="str">
        <f>IF(Table1[[#This Row],[PRICE]]="SPECIAL",LEFT(Table1[[#This Row],[description]],5),"something went wrong or no NA")</f>
        <v>something went wrong or no NA</v>
      </c>
    </row>
    <row r="1388" spans="1:17" ht="15.75" thickBot="1" x14ac:dyDescent="0.3">
      <c r="A1388">
        <v>28115</v>
      </c>
      <c r="B1388" t="s">
        <v>599</v>
      </c>
      <c r="C1388" t="s">
        <v>4347</v>
      </c>
      <c r="D1388" s="75">
        <v>25.2805</v>
      </c>
      <c r="E1388">
        <v>72</v>
      </c>
      <c r="F1388" s="54"/>
      <c r="G1388">
        <f>_xlfn.XLOOKUP(Table1[[#This Row],[part_number]],'Carbotron 1'!C39:C108,'Carbotron 1'!F39:F108,"SPECIAL")</f>
        <v>25.2805</v>
      </c>
      <c r="H1388" t="str">
        <f>IF(Table1[[#This Row],[PRICE]]="SPECIAL",LEFT(Table1[[#This Row],[description]],5),"something went wrong or no NA")</f>
        <v>something went wrong or no NA</v>
      </c>
    </row>
    <row r="1389" spans="1:17" hidden="1" thickBot="1" x14ac:dyDescent="0.3">
      <c r="A1389">
        <v>28114</v>
      </c>
      <c r="B1389" t="s">
        <v>541</v>
      </c>
      <c r="C1389" t="s">
        <v>4348</v>
      </c>
      <c r="D1389" s="1">
        <v>12.3194</v>
      </c>
      <c r="E1389">
        <v>0</v>
      </c>
      <c r="F1389" s="54"/>
      <c r="G1389">
        <f>_xlfn.XLOOKUP(Table1[[#This Row],[part_number]],'Carbotron 1'!C40:C109,'Carbotron 1'!F40:F109,"SPECIAL")</f>
        <v>12.3194</v>
      </c>
      <c r="H1389" t="str">
        <f>IF(Table1[[#This Row],[PRICE]]="SPECIAL",LEFT(Table1[[#This Row],[description]],5),"something went wrong or no NA")</f>
        <v>something went wrong or no NA</v>
      </c>
    </row>
    <row r="1390" spans="1:17" ht="15.75" thickBot="1" x14ac:dyDescent="0.3">
      <c r="A1390">
        <v>29219</v>
      </c>
      <c r="B1390" t="s">
        <v>4349</v>
      </c>
      <c r="C1390" t="s">
        <v>4350</v>
      </c>
      <c r="D1390" s="75" t="s">
        <v>3082</v>
      </c>
      <c r="E1390">
        <v>43</v>
      </c>
      <c r="F1390" s="54"/>
      <c r="G1390" t="s">
        <v>3082</v>
      </c>
    </row>
    <row r="1391" spans="1:17" hidden="1" thickBot="1" x14ac:dyDescent="0.3">
      <c r="A1391">
        <v>28117</v>
      </c>
      <c r="B1391" t="s">
        <v>116</v>
      </c>
      <c r="C1391" t="s">
        <v>4351</v>
      </c>
      <c r="D1391" s="1">
        <v>2.74</v>
      </c>
      <c r="E1391">
        <v>0</v>
      </c>
      <c r="F1391" s="54"/>
      <c r="G1391">
        <f>_xlfn.XLOOKUP(Table1[[#This Row],[part_number]],'ZLP 1'!$B$11:$B$55,'ZLP 1'!$E$11:$E$55,"SPECIAL")</f>
        <v>2.74</v>
      </c>
      <c r="H1391" t="s">
        <v>4805</v>
      </c>
      <c r="M1391" t="str">
        <f>IF(L1391="1",_xlfn.XLOOKUP(K1391,ZLP2!$D$10:$D$20,ZLP2!$H$10:$H$20,ZLP2!$H$10,-1),"FFS")</f>
        <v>FFS</v>
      </c>
      <c r="N1391" t="str">
        <f>IF(L1391="2",_xlfn.XLOOKUP(K1391,ZLP2!$N$10:$N$20,ZLP2!$R$10:$R$20,ZLP2!$R$10,-1),"FFS")</f>
        <v>FFS</v>
      </c>
      <c r="O1391" t="str">
        <f>IF(L1391="4",_xlfn.XLOOKUP(K1391,ZLP2!$W$10:$W$20,ZLP2!$AA$10:$AA$20,ZLP2!$AA$10,-1),"FFS")</f>
        <v>FFS</v>
      </c>
      <c r="P1391" t="str">
        <f>IF(ISNUMBER(M1391),M1391,IF(ISNUMBER(N1391),N1391,IF(ISNUMBER(O1391),O1391, "")))</f>
        <v/>
      </c>
      <c r="Q1391" s="1" t="s">
        <v>4910</v>
      </c>
    </row>
    <row r="1392" spans="1:17" ht="15.75" thickBot="1" x14ac:dyDescent="0.3">
      <c r="A1392">
        <v>28118</v>
      </c>
      <c r="B1392" t="s">
        <v>4352</v>
      </c>
      <c r="C1392" t="s">
        <v>4353</v>
      </c>
      <c r="D1392" s="75">
        <v>6.21</v>
      </c>
      <c r="E1392">
        <v>24</v>
      </c>
      <c r="F1392" s="54"/>
      <c r="G1392" t="str">
        <f>_xlfn.XLOOKUP(Table1[[#This Row],[part_number]],'ZLP 1'!$B$11:$B$55,'ZLP 1'!$E$11:$E$55,"SPECIAL")</f>
        <v>SPECIAL</v>
      </c>
      <c r="H1392" t="s">
        <v>4806</v>
      </c>
      <c r="I1392" t="str" cm="1">
        <f t="array" ref="I1392:J1392">_xlfn.TEXTSPLIT(H1392,"x")</f>
        <v>10</v>
      </c>
      <c r="J1392" t="str">
        <v>16</v>
      </c>
      <c r="K1392">
        <f>I1392*J1392</f>
        <v>160</v>
      </c>
      <c r="L1392" t="s">
        <v>4901</v>
      </c>
      <c r="M1392">
        <f>IF(L1392="1",_xlfn.XLOOKUP(K1392,ZLP2!$D$10:$D$20,ZLP2!$H$10:$H$20,ZLP2!$H$10,-1),"FFS")</f>
        <v>6.2054999999999998</v>
      </c>
      <c r="N1392" t="str">
        <f>IF(L1392="2",_xlfn.XLOOKUP(K1392,ZLP2!$N$10:$N$20,ZLP2!$R$10:$R$20,ZLP2!$R$10,-1),"FFS")</f>
        <v>FFS</v>
      </c>
      <c r="O1392" t="str">
        <f>IF(L1392="4",_xlfn.XLOOKUP(K1392,ZLP2!$W$10:$W$20,ZLP2!$AA$10:$AA$20,ZLP2!$AA$10,-1),"FFS")</f>
        <v>FFS</v>
      </c>
      <c r="P1392">
        <f t="shared" ref="P1392:P1455" si="0">IF(ISNUMBER(M1392),M1392,IF(ISNUMBER(N1392),N1392,IF(ISNUMBER(O1392),O1392, "")))</f>
        <v>6.2054999999999998</v>
      </c>
      <c r="Q1392" s="1">
        <v>6.2054999999999998</v>
      </c>
    </row>
    <row r="1393" spans="1:17" hidden="1" thickBot="1" x14ac:dyDescent="0.3">
      <c r="A1393">
        <v>28119</v>
      </c>
      <c r="B1393" t="s">
        <v>4354</v>
      </c>
      <c r="C1393" t="s">
        <v>4355</v>
      </c>
      <c r="D1393" s="1">
        <v>13.75</v>
      </c>
      <c r="E1393">
        <v>0</v>
      </c>
      <c r="F1393" s="54"/>
      <c r="G1393" t="str">
        <f>_xlfn.XLOOKUP(Table1[[#This Row],[part_number]],'ZLP 1'!$B$11:$B$55,'ZLP 1'!$E$11:$E$55,"SPECIAL")</f>
        <v>SPECIAL</v>
      </c>
      <c r="H1393" t="s">
        <v>4807</v>
      </c>
      <c r="I1393" t="str" cm="1">
        <f t="array" ref="I1393">_xlfn.TEXTSPLIT(H1393,"x")</f>
        <v xml:space="preserve">10 � </v>
      </c>
      <c r="K1393" t="e">
        <f t="shared" ref="K1393:K1457" si="1">I1393*J1393</f>
        <v>#VALUE!</v>
      </c>
      <c r="L1393" t="s">
        <v>4902</v>
      </c>
      <c r="M1393" t="str">
        <f>IF(L1393="1",_xlfn.XLOOKUP(K1393,ZLP2!$D$10:$D$20,ZLP2!$H$10:$H$20,ZLP2!$H$10,-1),"FFS")</f>
        <v>FFS</v>
      </c>
      <c r="N1393" t="str">
        <f>IF(L1393="2",_xlfn.XLOOKUP(K1393,ZLP2!$N$10:$N$20,ZLP2!$R$10:$R$20,ZLP2!$R$10,-1),"FFS")</f>
        <v>FFS</v>
      </c>
      <c r="O1393" t="str">
        <f>IF(L1393="4",_xlfn.XLOOKUP(K1393,ZLP2!$W$10:$W$20,ZLP2!$AA$10:$AA$20,ZLP2!$AA$10,-1),"FFS")</f>
        <v>FFS</v>
      </c>
      <c r="P1393" t="str">
        <f t="shared" si="0"/>
        <v/>
      </c>
      <c r="Q1393" s="1" t="s">
        <v>4910</v>
      </c>
    </row>
    <row r="1394" spans="1:17" ht="15.75" thickBot="1" x14ac:dyDescent="0.3">
      <c r="A1394">
        <v>28120</v>
      </c>
      <c r="B1394" t="s">
        <v>4356</v>
      </c>
      <c r="C1394" t="s">
        <v>4357</v>
      </c>
      <c r="D1394" s="75">
        <v>6.21</v>
      </c>
      <c r="E1394">
        <v>84</v>
      </c>
      <c r="F1394" s="54"/>
      <c r="G1394" t="str">
        <f>_xlfn.XLOOKUP(Table1[[#This Row],[part_number]],'ZLP 1'!$B$11:$B$55,'ZLP 1'!$E$11:$E$55,"SPECIAL")</f>
        <v>SPECIAL</v>
      </c>
      <c r="H1394" t="s">
        <v>4808</v>
      </c>
      <c r="I1394" t="str" cm="1">
        <f t="array" ref="I1394:J1394">_xlfn.TEXTSPLIT(H1394,"x")</f>
        <v>10</v>
      </c>
      <c r="J1394" t="str">
        <v>18</v>
      </c>
      <c r="K1394">
        <f t="shared" si="1"/>
        <v>180</v>
      </c>
      <c r="L1394" t="s">
        <v>4901</v>
      </c>
      <c r="M1394">
        <f>IF(L1394="1",_xlfn.XLOOKUP(K1394,ZLP2!$D$10:$D$20,ZLP2!$H$10:$H$20,ZLP2!$H$10,-1),"FFS")</f>
        <v>6.2054999999999998</v>
      </c>
      <c r="N1394" t="str">
        <f>IF(L1394="2",_xlfn.XLOOKUP(K1394,ZLP2!$N$10:$N$20,ZLP2!$R$10:$R$20,ZLP2!$R$10,-1),"FFS")</f>
        <v>FFS</v>
      </c>
      <c r="O1394" t="str">
        <f>IF(L1394="4",_xlfn.XLOOKUP(K1394,ZLP2!$W$10:$W$20,ZLP2!$AA$10:$AA$20,ZLP2!$AA$10,-1),"FFS")</f>
        <v>FFS</v>
      </c>
      <c r="P1394">
        <f t="shared" si="0"/>
        <v>6.2054999999999998</v>
      </c>
      <c r="Q1394" s="1">
        <v>6.2054999999999998</v>
      </c>
    </row>
    <row r="1395" spans="1:17" ht="15.75" thickBot="1" x14ac:dyDescent="0.3">
      <c r="A1395">
        <v>29277</v>
      </c>
      <c r="B1395" t="s">
        <v>4358</v>
      </c>
      <c r="C1395" t="s">
        <v>4359</v>
      </c>
      <c r="D1395" s="75">
        <v>6.79</v>
      </c>
      <c r="E1395">
        <v>72</v>
      </c>
      <c r="F1395" s="54"/>
      <c r="G1395" t="str">
        <f>_xlfn.XLOOKUP(Table1[[#This Row],[part_number]],'ZLP 1'!$B$11:$B$55,'ZLP 1'!$E$11:$E$55,"SPECIAL")</f>
        <v>SPECIAL</v>
      </c>
      <c r="H1395" t="s">
        <v>4808</v>
      </c>
      <c r="I1395" t="str" cm="1">
        <f t="array" ref="I1395:J1395">_xlfn.TEXTSPLIT(H1395,"x")</f>
        <v>10</v>
      </c>
      <c r="J1395" t="str">
        <v>18</v>
      </c>
      <c r="K1395">
        <f t="shared" si="1"/>
        <v>180</v>
      </c>
      <c r="L1395" t="s">
        <v>4903</v>
      </c>
      <c r="M1395" t="str">
        <f>IF(L1395="1",_xlfn.XLOOKUP(K1395,ZLP2!$D$10:$D$20,ZLP2!$H$10:$H$20,ZLP2!$H$10,-1),"FFS")</f>
        <v>FFS</v>
      </c>
      <c r="N1395">
        <f>IF(L1395="2",_xlfn.XLOOKUP(K1395,ZLP2!$N$10:$N$20,ZLP2!$R$10:$R$20,ZLP2!$R$10,-1),"FFS")</f>
        <v>6.7860000000000005</v>
      </c>
      <c r="O1395" t="str">
        <f>IF(L1395="4",_xlfn.XLOOKUP(K1395,ZLP2!$W$10:$W$20,ZLP2!$AA$10:$AA$20,ZLP2!$AA$10,-1),"FFS")</f>
        <v>FFS</v>
      </c>
      <c r="P1395">
        <f t="shared" si="0"/>
        <v>6.7860000000000005</v>
      </c>
      <c r="Q1395" s="1">
        <v>6.7860000000000005</v>
      </c>
    </row>
    <row r="1396" spans="1:17" hidden="1" thickBot="1" x14ac:dyDescent="0.3">
      <c r="A1396">
        <v>28121</v>
      </c>
      <c r="B1396" t="s">
        <v>4360</v>
      </c>
      <c r="C1396" t="s">
        <v>4361</v>
      </c>
      <c r="D1396" s="1">
        <v>13.75</v>
      </c>
      <c r="E1396">
        <v>0</v>
      </c>
      <c r="F1396" s="54"/>
      <c r="G1396" t="str">
        <f>_xlfn.XLOOKUP(Table1[[#This Row],[part_number]],'ZLP 1'!$B$11:$B$55,'ZLP 1'!$E$11:$E$55,"SPECIAL")</f>
        <v>SPECIAL</v>
      </c>
      <c r="H1396" t="s">
        <v>4807</v>
      </c>
      <c r="I1396" t="str" cm="1">
        <f t="array" ref="I1396">_xlfn.TEXTSPLIT(H1396,"x")</f>
        <v xml:space="preserve">10 � </v>
      </c>
      <c r="K1396" t="e">
        <f t="shared" si="1"/>
        <v>#VALUE!</v>
      </c>
      <c r="L1396" t="s">
        <v>4902</v>
      </c>
      <c r="M1396" t="str">
        <f>IF(L1396="1",_xlfn.XLOOKUP(K1396,ZLP2!$D$10:$D$20,ZLP2!$H$10:$H$20,ZLP2!$H$10,-1),"FFS")</f>
        <v>FFS</v>
      </c>
      <c r="N1396" t="str">
        <f>IF(L1396="2",_xlfn.XLOOKUP(K1396,ZLP2!$N$10:$N$20,ZLP2!$R$10:$R$20,ZLP2!$R$10,-1),"FFS")</f>
        <v>FFS</v>
      </c>
      <c r="O1396" t="str">
        <f>IF(L1396="4",_xlfn.XLOOKUP(K1396,ZLP2!$W$10:$W$20,ZLP2!$AA$10:$AA$20,ZLP2!$AA$10,-1),"FFS")</f>
        <v>FFS</v>
      </c>
      <c r="P1396" t="str">
        <f t="shared" si="0"/>
        <v/>
      </c>
      <c r="Q1396" s="1" t="s">
        <v>4910</v>
      </c>
    </row>
    <row r="1397" spans="1:17" ht="15.75" thickBot="1" x14ac:dyDescent="0.3">
      <c r="A1397">
        <v>28122</v>
      </c>
      <c r="B1397" t="s">
        <v>119</v>
      </c>
      <c r="C1397" t="s">
        <v>4362</v>
      </c>
      <c r="D1397" s="75">
        <v>2.8960000000000004</v>
      </c>
      <c r="E1397">
        <v>275</v>
      </c>
      <c r="F1397" s="54"/>
      <c r="G1397">
        <f>_xlfn.XLOOKUP(Table1[[#This Row],[part_number]],'ZLP 1'!$B$11:$B$55,'ZLP 1'!$E$11:$E$55,"SPECIAL")</f>
        <v>2.8960000000000004</v>
      </c>
      <c r="H1397" t="s">
        <v>4805</v>
      </c>
      <c r="I1397" t="str" cm="1">
        <f t="array" ref="I1397">_xlfn.TEXTSPLIT(H1397,"x")</f>
        <v>something went wrong or no NA</v>
      </c>
      <c r="K1397" t="e">
        <f t="shared" si="1"/>
        <v>#VALUE!</v>
      </c>
      <c r="L1397" t="s">
        <v>4901</v>
      </c>
      <c r="M1397" t="e">
        <f>IF(L1397="1",_xlfn.XLOOKUP(K1397,ZLP2!$D$10:$D$20,ZLP2!$H$10:$H$20,ZLP2!$H$10,-1),"FFS")</f>
        <v>#VALUE!</v>
      </c>
      <c r="N1397" t="str">
        <f>IF(L1397="2",_xlfn.XLOOKUP(K1397,ZLP2!$N$10:$N$20,ZLP2!$R$10:$R$20,ZLP2!$R$10,-1),"FFS")</f>
        <v>FFS</v>
      </c>
      <c r="O1397" t="str">
        <f>IF(L1397="4",_xlfn.XLOOKUP(K1397,ZLP2!$W$10:$W$20,ZLP2!$AA$10:$AA$20,ZLP2!$AA$10,-1),"FFS")</f>
        <v>FFS</v>
      </c>
      <c r="P1397" t="str">
        <f t="shared" si="0"/>
        <v/>
      </c>
      <c r="Q1397" s="1" t="s">
        <v>4910</v>
      </c>
    </row>
    <row r="1398" spans="1:17" ht="15.75" thickBot="1" x14ac:dyDescent="0.3">
      <c r="A1398">
        <v>28123</v>
      </c>
      <c r="B1398" t="s">
        <v>117</v>
      </c>
      <c r="C1398" t="s">
        <v>4363</v>
      </c>
      <c r="D1398" s="75">
        <v>2.8575999999999997</v>
      </c>
      <c r="E1398">
        <v>1119</v>
      </c>
      <c r="F1398" s="54"/>
      <c r="G1398" t="str">
        <f>_xlfn.XLOOKUP(Table1[[#This Row],[part_number]],'ZLP 1'!$B$11:$B$55,'ZLP 1'!$E$11:$E$55,"SPECIAL")</f>
        <v>SPECIAL</v>
      </c>
      <c r="H1398" t="s">
        <v>4805</v>
      </c>
      <c r="I1398" t="str" cm="1">
        <f t="array" ref="I1398">_xlfn.TEXTSPLIT(H1398,"x")</f>
        <v>something went wrong or no NA</v>
      </c>
      <c r="K1398" t="e">
        <f t="shared" si="1"/>
        <v>#VALUE!</v>
      </c>
      <c r="L1398" t="s">
        <v>4903</v>
      </c>
      <c r="M1398" t="str">
        <f>IF(L1398="1",_xlfn.XLOOKUP(K1398,ZLP2!$D$10:$D$20,ZLP2!$H$10:$H$20,ZLP2!$H$10,-1),"FFS")</f>
        <v>FFS</v>
      </c>
      <c r="N1398" t="e">
        <f>IF(L1398="2",_xlfn.XLOOKUP(K1398,ZLP2!$N$10:$N$20,ZLP2!$R$10:$R$20,ZLP2!$R$10,-1),"FFS")</f>
        <v>#VALUE!</v>
      </c>
      <c r="O1398" t="str">
        <f>IF(L1398="4",_xlfn.XLOOKUP(K1398,ZLP2!$W$10:$W$20,ZLP2!$AA$10:$AA$20,ZLP2!$AA$10,-1),"FFS")</f>
        <v>FFS</v>
      </c>
      <c r="P1398" t="str">
        <f t="shared" si="0"/>
        <v/>
      </c>
      <c r="Q1398" s="1" t="s">
        <v>4910</v>
      </c>
    </row>
    <row r="1399" spans="1:17" ht="15.75" thickBot="1" x14ac:dyDescent="0.3">
      <c r="A1399">
        <v>28127</v>
      </c>
      <c r="B1399" t="s">
        <v>4364</v>
      </c>
      <c r="C1399" t="s">
        <v>4365</v>
      </c>
      <c r="D1399" s="75">
        <v>15.34</v>
      </c>
      <c r="E1399">
        <v>56</v>
      </c>
      <c r="F1399" s="54"/>
      <c r="G1399" t="str">
        <f>_xlfn.XLOOKUP(Table1[[#This Row],[part_number]],'ZLP 1'!$B$11:$B$55,'ZLP 1'!$E$11:$E$55,"SPECIAL")</f>
        <v>SPECIAL</v>
      </c>
      <c r="H1399" t="s">
        <v>4809</v>
      </c>
      <c r="I1399" t="str" cm="1">
        <f t="array" ref="I1399:J1399">_xlfn.TEXTSPLIT(H1399,"x")</f>
        <v>10</v>
      </c>
      <c r="J1399" t="str">
        <v>20</v>
      </c>
      <c r="K1399">
        <f t="shared" si="1"/>
        <v>200</v>
      </c>
      <c r="L1399" t="s">
        <v>4904</v>
      </c>
      <c r="M1399" t="str">
        <f>IF(L1399="1",_xlfn.XLOOKUP(K1399,ZLP2!$D$10:$D$20,ZLP2!$H$10:$H$20,ZLP2!$H$10,-1),"FFS")</f>
        <v>FFS</v>
      </c>
      <c r="N1399" t="str">
        <f>IF(L1399="2",_xlfn.XLOOKUP(K1399,ZLP2!$N$10:$N$20,ZLP2!$R$10:$R$20,ZLP2!$R$10,-1),"FFS")</f>
        <v>FFS</v>
      </c>
      <c r="O1399">
        <f>IF(L1399="4",_xlfn.XLOOKUP(K1399,ZLP2!$W$10:$W$20,ZLP2!$AA$10:$AA$20,ZLP2!$AA$10,-1),"FFS")</f>
        <v>15.340500000000002</v>
      </c>
      <c r="P1399">
        <f t="shared" si="0"/>
        <v>15.340500000000002</v>
      </c>
      <c r="Q1399" s="1">
        <v>15.340500000000002</v>
      </c>
    </row>
    <row r="1400" spans="1:17" ht="15.75" thickBot="1" x14ac:dyDescent="0.3">
      <c r="A1400">
        <v>28129</v>
      </c>
      <c r="B1400" t="s">
        <v>122</v>
      </c>
      <c r="C1400" t="s">
        <v>4366</v>
      </c>
      <c r="D1400" s="75">
        <v>5.6960000000000006</v>
      </c>
      <c r="E1400">
        <v>29</v>
      </c>
      <c r="F1400" s="54"/>
      <c r="G1400">
        <f>_xlfn.XLOOKUP(Table1[[#This Row],[part_number]],'ZLP 1'!$B$11:$B$55,'ZLP 1'!$E$11:$E$55,"SPECIAL")</f>
        <v>5.6960000000000006</v>
      </c>
      <c r="H1400" t="s">
        <v>4805</v>
      </c>
      <c r="I1400" t="str" cm="1">
        <f t="array" ref="I1400">_xlfn.TEXTSPLIT(H1400,"x")</f>
        <v>something went wrong or no NA</v>
      </c>
      <c r="K1400" t="e">
        <f t="shared" si="1"/>
        <v>#VALUE!</v>
      </c>
      <c r="L1400" t="s">
        <v>4901</v>
      </c>
      <c r="M1400" t="e">
        <f>IF(L1400="1",_xlfn.XLOOKUP(K1400,ZLP2!$D$10:$D$20,ZLP2!$H$10:$H$20,ZLP2!$H$10,-1),"FFS")</f>
        <v>#VALUE!</v>
      </c>
      <c r="N1400" t="str">
        <f>IF(L1400="2",_xlfn.XLOOKUP(K1400,ZLP2!$N$10:$N$20,ZLP2!$R$10:$R$20,ZLP2!$R$10,-1),"FFS")</f>
        <v>FFS</v>
      </c>
      <c r="O1400" t="str">
        <f>IF(L1400="4",_xlfn.XLOOKUP(K1400,ZLP2!$W$10:$W$20,ZLP2!$AA$10:$AA$20,ZLP2!$AA$10,-1),"FFS")</f>
        <v>FFS</v>
      </c>
      <c r="P1400" t="str">
        <f t="shared" si="0"/>
        <v/>
      </c>
      <c r="Q1400" s="1" t="s">
        <v>4910</v>
      </c>
    </row>
    <row r="1401" spans="1:17" ht="15.75" thickBot="1" x14ac:dyDescent="0.3">
      <c r="A1401">
        <v>28125</v>
      </c>
      <c r="B1401" t="s">
        <v>4367</v>
      </c>
      <c r="C1401" t="s">
        <v>4368</v>
      </c>
      <c r="D1401" s="75">
        <v>7.68</v>
      </c>
      <c r="E1401">
        <v>120</v>
      </c>
      <c r="F1401" s="54"/>
      <c r="G1401" t="str">
        <f>_xlfn.XLOOKUP(Table1[[#This Row],[part_number]],'ZLP 1'!$B$11:$B$55,'ZLP 1'!$E$11:$E$55,"SPECIAL")</f>
        <v>SPECIAL</v>
      </c>
      <c r="H1401" t="s">
        <v>4810</v>
      </c>
      <c r="I1401" t="str" cm="1">
        <f t="array" ref="I1401:J1401">_xlfn.TEXTSPLIT(H1401,"x")</f>
        <v>10</v>
      </c>
      <c r="J1401" t="str">
        <v>25</v>
      </c>
      <c r="K1401">
        <f t="shared" si="1"/>
        <v>250</v>
      </c>
      <c r="L1401" t="s">
        <v>4901</v>
      </c>
      <c r="M1401">
        <f>IF(L1401="1",_xlfn.XLOOKUP(K1401,ZLP2!$D$10:$D$20,ZLP2!$H$10:$H$20,ZLP2!$H$10,-1),"FFS")</f>
        <v>7.6815000000000007</v>
      </c>
      <c r="N1401" t="str">
        <f>IF(L1401="2",_xlfn.XLOOKUP(K1401,ZLP2!$N$10:$N$20,ZLP2!$R$10:$R$20,ZLP2!$R$10,-1),"FFS")</f>
        <v>FFS</v>
      </c>
      <c r="O1401" t="str">
        <f>IF(L1401="4",_xlfn.XLOOKUP(K1401,ZLP2!$W$10:$W$20,ZLP2!$AA$10:$AA$20,ZLP2!$AA$10,-1),"FFS")</f>
        <v>FFS</v>
      </c>
      <c r="P1401">
        <f t="shared" si="0"/>
        <v>7.6815000000000007</v>
      </c>
      <c r="Q1401" s="1">
        <v>7.6815000000000007</v>
      </c>
    </row>
    <row r="1402" spans="1:17" ht="15.75" thickBot="1" x14ac:dyDescent="0.3">
      <c r="A1402">
        <v>28130</v>
      </c>
      <c r="B1402" t="s">
        <v>4369</v>
      </c>
      <c r="C1402" t="s">
        <v>4370</v>
      </c>
      <c r="D1402" s="75">
        <v>8.41</v>
      </c>
      <c r="E1402">
        <v>11</v>
      </c>
      <c r="F1402" s="54"/>
      <c r="G1402" t="str">
        <f>_xlfn.XLOOKUP(Table1[[#This Row],[part_number]],'ZLP 1'!$B$11:$B$55,'ZLP 1'!$E$11:$E$55,"SPECIAL")</f>
        <v>SPECIAL</v>
      </c>
      <c r="H1402" t="s">
        <v>4810</v>
      </c>
      <c r="I1402" t="str" cm="1">
        <f t="array" ref="I1402:J1402">_xlfn.TEXTSPLIT(H1402,"x")</f>
        <v>10</v>
      </c>
      <c r="J1402" t="str">
        <v>25</v>
      </c>
      <c r="K1402">
        <f t="shared" si="1"/>
        <v>250</v>
      </c>
      <c r="L1402" t="s">
        <v>4903</v>
      </c>
      <c r="M1402" t="str">
        <f>IF(L1402="1",_xlfn.XLOOKUP(K1402,ZLP2!$D$10:$D$20,ZLP2!$H$10:$H$20,ZLP2!$H$10,-1),"FFS")</f>
        <v>FFS</v>
      </c>
      <c r="N1402">
        <f>IF(L1402="2",_xlfn.XLOOKUP(K1402,ZLP2!$N$10:$N$20,ZLP2!$R$10:$R$20,ZLP2!$R$10,-1),"FFS")</f>
        <v>8.4060000000000006</v>
      </c>
      <c r="O1402" t="str">
        <f>IF(L1402="4",_xlfn.XLOOKUP(K1402,ZLP2!$W$10:$W$20,ZLP2!$AA$10:$AA$20,ZLP2!$AA$10,-1),"FFS")</f>
        <v>FFS</v>
      </c>
      <c r="P1402">
        <f t="shared" si="0"/>
        <v>8.4060000000000006</v>
      </c>
      <c r="Q1402" s="1">
        <v>8.4060000000000006</v>
      </c>
    </row>
    <row r="1403" spans="1:17" ht="15.75" thickBot="1" x14ac:dyDescent="0.3">
      <c r="A1403">
        <v>28124</v>
      </c>
      <c r="B1403" t="s">
        <v>4371</v>
      </c>
      <c r="C1403" t="s">
        <v>4372</v>
      </c>
      <c r="D1403" s="75">
        <v>7.68</v>
      </c>
      <c r="E1403">
        <v>36</v>
      </c>
      <c r="F1403" s="54"/>
      <c r="G1403" t="str">
        <f>_xlfn.XLOOKUP(Table1[[#This Row],[part_number]],'ZLP 1'!$B$11:$B$55,'ZLP 1'!$E$11:$E$55,"SPECIAL")</f>
        <v>SPECIAL</v>
      </c>
      <c r="H1403" t="s">
        <v>4811</v>
      </c>
      <c r="I1403" t="str" cm="1">
        <f t="array" ref="I1403:J1403">_xlfn.TEXTSPLIT(H1403,"x")</f>
        <v>10</v>
      </c>
      <c r="J1403" t="str">
        <v>26</v>
      </c>
      <c r="K1403">
        <f t="shared" si="1"/>
        <v>260</v>
      </c>
      <c r="L1403" t="s">
        <v>4903</v>
      </c>
      <c r="M1403" t="str">
        <f>IF(L1403="1",_xlfn.XLOOKUP(K1403,ZLP2!$D$10:$D$20,ZLP2!$H$10:$H$20,ZLP2!$H$10,-1),"FFS")</f>
        <v>FFS</v>
      </c>
      <c r="N1403">
        <f>IF(L1403="2",_xlfn.XLOOKUP(K1403,ZLP2!$N$10:$N$20,ZLP2!$R$10:$R$20,ZLP2!$R$10,-1),"FFS")</f>
        <v>8.4060000000000006</v>
      </c>
      <c r="O1403" t="str">
        <f>IF(L1403="4",_xlfn.XLOOKUP(K1403,ZLP2!$W$10:$W$20,ZLP2!$AA$10:$AA$20,ZLP2!$AA$10,-1),"FFS")</f>
        <v>FFS</v>
      </c>
      <c r="P1403">
        <f t="shared" si="0"/>
        <v>8.4060000000000006</v>
      </c>
      <c r="Q1403" s="1">
        <v>8.4060000000000006</v>
      </c>
    </row>
    <row r="1404" spans="1:17" ht="15.75" thickBot="1" x14ac:dyDescent="0.3">
      <c r="A1404">
        <v>28128</v>
      </c>
      <c r="B1404" t="s">
        <v>125</v>
      </c>
      <c r="C1404" t="s">
        <v>4373</v>
      </c>
      <c r="D1404" s="75">
        <v>5.8479999999999999</v>
      </c>
      <c r="E1404">
        <v>154</v>
      </c>
      <c r="F1404" s="54"/>
      <c r="G1404">
        <f>_xlfn.XLOOKUP(Table1[[#This Row],[part_number]],'ZLP 1'!$B$11:$B$55,'ZLP 1'!$E$11:$E$55,"SPECIAL")</f>
        <v>5.8479999999999999</v>
      </c>
      <c r="H1404" t="s">
        <v>4805</v>
      </c>
      <c r="I1404" t="str" cm="1">
        <f t="array" ref="I1404">_xlfn.TEXTSPLIT(H1404,"x")</f>
        <v>something went wrong or no NA</v>
      </c>
      <c r="K1404" t="e">
        <f t="shared" si="1"/>
        <v>#VALUE!</v>
      </c>
      <c r="L1404" t="s">
        <v>4901</v>
      </c>
      <c r="M1404" t="e">
        <f>IF(L1404="1",_xlfn.XLOOKUP(K1404,ZLP2!$D$10:$D$20,ZLP2!$H$10:$H$20,ZLP2!$H$10,-1),"FFS")</f>
        <v>#VALUE!</v>
      </c>
      <c r="N1404" t="str">
        <f>IF(L1404="2",_xlfn.XLOOKUP(K1404,ZLP2!$N$10:$N$20,ZLP2!$R$10:$R$20,ZLP2!$R$10,-1),"FFS")</f>
        <v>FFS</v>
      </c>
      <c r="O1404" t="str">
        <f>IF(L1404="4",_xlfn.XLOOKUP(K1404,ZLP2!$W$10:$W$20,ZLP2!$AA$10:$AA$20,ZLP2!$AA$10,-1),"FFS")</f>
        <v>FFS</v>
      </c>
      <c r="P1404" t="str">
        <f t="shared" si="0"/>
        <v/>
      </c>
      <c r="Q1404" s="1" t="s">
        <v>4910</v>
      </c>
    </row>
    <row r="1405" spans="1:17" ht="15.75" thickBot="1" x14ac:dyDescent="0.3">
      <c r="A1405">
        <v>28126</v>
      </c>
      <c r="B1405" t="s">
        <v>4374</v>
      </c>
      <c r="C1405" t="s">
        <v>4375</v>
      </c>
      <c r="D1405" s="75">
        <v>9.4600000000000009</v>
      </c>
      <c r="E1405">
        <v>24</v>
      </c>
      <c r="F1405" s="54"/>
      <c r="G1405" t="str">
        <f>_xlfn.XLOOKUP(Table1[[#This Row],[part_number]],'ZLP 1'!$B$11:$B$55,'ZLP 1'!$E$11:$E$55,"SPECIAL")</f>
        <v>SPECIAL</v>
      </c>
      <c r="H1405" t="s">
        <v>4812</v>
      </c>
      <c r="I1405" t="str" cm="1">
        <f t="array" ref="I1405:J1405">_xlfn.TEXTSPLIT(H1405,"x")</f>
        <v>10</v>
      </c>
      <c r="J1405" t="str">
        <v>30</v>
      </c>
      <c r="K1405">
        <f t="shared" si="1"/>
        <v>300</v>
      </c>
      <c r="L1405" t="s">
        <v>4903</v>
      </c>
      <c r="M1405" t="str">
        <f>IF(L1405="1",_xlfn.XLOOKUP(K1405,ZLP2!$D$10:$D$20,ZLP2!$H$10:$H$20,ZLP2!$H$10,-1),"FFS")</f>
        <v>FFS</v>
      </c>
      <c r="N1405">
        <f>IF(L1405="2",_xlfn.XLOOKUP(K1405,ZLP2!$N$10:$N$20,ZLP2!$R$10:$R$20,ZLP2!$R$10,-1),"FFS")</f>
        <v>9.4589999999999996</v>
      </c>
      <c r="O1405" t="str">
        <f>IF(L1405="4",_xlfn.XLOOKUP(K1405,ZLP2!$W$10:$W$20,ZLP2!$AA$10:$AA$20,ZLP2!$AA$10,-1),"FFS")</f>
        <v>FFS</v>
      </c>
      <c r="P1405">
        <f t="shared" si="0"/>
        <v>9.4589999999999996</v>
      </c>
      <c r="Q1405" s="1">
        <v>9.4589999999999996</v>
      </c>
    </row>
    <row r="1406" spans="1:17" ht="15.75" thickBot="1" x14ac:dyDescent="0.3">
      <c r="A1406">
        <v>29273</v>
      </c>
      <c r="B1406" t="s">
        <v>4376</v>
      </c>
      <c r="C1406" t="s">
        <v>4377</v>
      </c>
      <c r="D1406" s="75">
        <v>8.64</v>
      </c>
      <c r="E1406">
        <v>161</v>
      </c>
      <c r="F1406" s="54"/>
      <c r="G1406" t="str">
        <f>_xlfn.XLOOKUP(Table1[[#This Row],[part_number]],'ZLP 1'!$B$11:$B$55,'ZLP 1'!$E$11:$E$55,"SPECIAL")</f>
        <v>SPECIAL</v>
      </c>
      <c r="H1406" t="s">
        <v>4813</v>
      </c>
      <c r="I1406" t="str" cm="1">
        <f t="array" ref="I1406:J1406">_xlfn.TEXTSPLIT(H1406,"x")</f>
        <v>10</v>
      </c>
      <c r="J1406" t="str">
        <v>31</v>
      </c>
      <c r="K1406">
        <f t="shared" si="1"/>
        <v>310</v>
      </c>
      <c r="L1406" t="s">
        <v>4901</v>
      </c>
      <c r="M1406">
        <f>IF(L1406="1",_xlfn.XLOOKUP(K1406,ZLP2!$D$10:$D$20,ZLP2!$H$10:$H$20,ZLP2!$H$10,-1),"FFS")</f>
        <v>8.6445000000000007</v>
      </c>
      <c r="N1406" t="str">
        <f>IF(L1406="2",_xlfn.XLOOKUP(K1406,ZLP2!$N$10:$N$20,ZLP2!$R$10:$R$20,ZLP2!$R$10,-1),"FFS")</f>
        <v>FFS</v>
      </c>
      <c r="O1406" t="str">
        <f>IF(L1406="4",_xlfn.XLOOKUP(K1406,ZLP2!$W$10:$W$20,ZLP2!$AA$10:$AA$20,ZLP2!$AA$10,-1),"FFS")</f>
        <v>FFS</v>
      </c>
      <c r="P1406">
        <f t="shared" si="0"/>
        <v>8.6445000000000007</v>
      </c>
      <c r="Q1406" s="1">
        <v>8.6445000000000007</v>
      </c>
    </row>
    <row r="1407" spans="1:17" hidden="1" thickBot="1" x14ac:dyDescent="0.3">
      <c r="A1407">
        <v>28131</v>
      </c>
      <c r="B1407" t="s">
        <v>4378</v>
      </c>
      <c r="C1407" t="s">
        <v>4379</v>
      </c>
      <c r="D1407" s="1">
        <v>9.6300000000000008</v>
      </c>
      <c r="E1407">
        <v>0</v>
      </c>
      <c r="F1407" s="54"/>
      <c r="G1407" t="str">
        <f>_xlfn.XLOOKUP(Table1[[#This Row],[part_number]],'ZLP 1'!$B$11:$B$55,'ZLP 1'!$E$11:$E$55,"SPECIAL")</f>
        <v>SPECIAL</v>
      </c>
      <c r="H1407" t="s">
        <v>4814</v>
      </c>
      <c r="I1407" t="str" cm="1">
        <f t="array" ref="I1407:J1407">_xlfn.TEXTSPLIT(H1407,"x")</f>
        <v>10</v>
      </c>
      <c r="J1407" t="str">
        <v>40</v>
      </c>
      <c r="K1407">
        <f t="shared" si="1"/>
        <v>400</v>
      </c>
      <c r="L1407" t="s">
        <v>4901</v>
      </c>
      <c r="M1407">
        <f>IF(L1407="1",_xlfn.XLOOKUP(K1407,ZLP2!$D$10:$D$20,ZLP2!$H$10:$H$20,ZLP2!$H$10,-1),"FFS")</f>
        <v>9.6255000000000006</v>
      </c>
      <c r="N1407" t="str">
        <f>IF(L1407="2",_xlfn.XLOOKUP(K1407,ZLP2!$N$10:$N$20,ZLP2!$R$10:$R$20,ZLP2!$R$10,-1),"FFS")</f>
        <v>FFS</v>
      </c>
      <c r="O1407" t="str">
        <f>IF(L1407="4",_xlfn.XLOOKUP(K1407,ZLP2!$W$10:$W$20,ZLP2!$AA$10:$AA$20,ZLP2!$AA$10,-1),"FFS")</f>
        <v>FFS</v>
      </c>
      <c r="P1407">
        <f t="shared" si="0"/>
        <v>9.6255000000000006</v>
      </c>
      <c r="Q1407" s="1">
        <v>9.6255000000000006</v>
      </c>
    </row>
    <row r="1408" spans="1:17" hidden="1" thickBot="1" x14ac:dyDescent="0.3">
      <c r="A1408">
        <v>28132</v>
      </c>
      <c r="B1408" t="s">
        <v>4380</v>
      </c>
      <c r="C1408" t="s">
        <v>4381</v>
      </c>
      <c r="D1408" s="1">
        <v>9.6300000000000008</v>
      </c>
      <c r="E1408">
        <v>0</v>
      </c>
      <c r="F1408" s="54"/>
      <c r="G1408" t="str">
        <f>_xlfn.XLOOKUP(Table1[[#This Row],[part_number]],'ZLP 1'!$B$11:$B$55,'ZLP 1'!$E$11:$E$55,"SPECIAL")</f>
        <v>SPECIAL</v>
      </c>
      <c r="H1408" t="s">
        <v>4815</v>
      </c>
      <c r="I1408" t="str" cm="1">
        <f t="array" ref="I1408:J1408">_xlfn.TEXTSPLIT(H1408,"x")</f>
        <v>10</v>
      </c>
      <c r="J1408" t="str">
        <v>44</v>
      </c>
      <c r="K1408">
        <f t="shared" si="1"/>
        <v>440</v>
      </c>
      <c r="L1408" t="s">
        <v>4901</v>
      </c>
      <c r="M1408">
        <f>IF(L1408="1",_xlfn.XLOOKUP(K1408,ZLP2!$D$10:$D$20,ZLP2!$H$10:$H$20,ZLP2!$H$10,-1),"FFS")</f>
        <v>9.6255000000000006</v>
      </c>
      <c r="N1408" t="str">
        <f>IF(L1408="2",_xlfn.XLOOKUP(K1408,ZLP2!$N$10:$N$20,ZLP2!$R$10:$R$20,ZLP2!$R$10,-1),"FFS")</f>
        <v>FFS</v>
      </c>
      <c r="O1408" t="str">
        <f>IF(L1408="4",_xlfn.XLOOKUP(K1408,ZLP2!$W$10:$W$20,ZLP2!$AA$10:$AA$20,ZLP2!$AA$10,-1),"FFS")</f>
        <v>FFS</v>
      </c>
      <c r="P1408">
        <f t="shared" si="0"/>
        <v>9.6255000000000006</v>
      </c>
      <c r="Q1408" s="1">
        <v>9.6255000000000006</v>
      </c>
    </row>
    <row r="1409" spans="1:17" hidden="1" thickBot="1" x14ac:dyDescent="0.3">
      <c r="A1409">
        <v>28135</v>
      </c>
      <c r="B1409" t="s">
        <v>4382</v>
      </c>
      <c r="C1409" t="s">
        <v>4383</v>
      </c>
      <c r="D1409" s="1">
        <v>12.92</v>
      </c>
      <c r="E1409">
        <v>0</v>
      </c>
      <c r="F1409" s="54"/>
      <c r="G1409" t="str">
        <f>_xlfn.XLOOKUP(Table1[[#This Row],[part_number]],'ZLP 1'!$B$11:$B$55,'ZLP 1'!$E$11:$E$55,"SPECIAL")</f>
        <v>SPECIAL</v>
      </c>
      <c r="H1409" t="s">
        <v>4816</v>
      </c>
      <c r="I1409" t="str" cm="1">
        <f t="array" ref="I1409:J1409">_xlfn.TEXTSPLIT(H1409,"x")</f>
        <v>10</v>
      </c>
      <c r="J1409" t="str">
        <v>80</v>
      </c>
      <c r="K1409">
        <f t="shared" si="1"/>
        <v>800</v>
      </c>
      <c r="L1409" t="s">
        <v>4901</v>
      </c>
      <c r="M1409">
        <f>IF(L1409="1",_xlfn.XLOOKUP(K1409,ZLP2!$D$10:$D$20,ZLP2!$H$10:$H$20,ZLP2!$H$10,-1),"FFS")</f>
        <v>12.923999999999999</v>
      </c>
      <c r="N1409" t="str">
        <f>IF(L1409="2",_xlfn.XLOOKUP(K1409,ZLP2!$N$10:$N$20,ZLP2!$R$10:$R$20,ZLP2!$R$10,-1),"FFS")</f>
        <v>FFS</v>
      </c>
      <c r="O1409" t="str">
        <f>IF(L1409="4",_xlfn.XLOOKUP(K1409,ZLP2!$W$10:$W$20,ZLP2!$AA$10:$AA$20,ZLP2!$AA$10,-1),"FFS")</f>
        <v>FFS</v>
      </c>
      <c r="P1409">
        <f t="shared" si="0"/>
        <v>12.923999999999999</v>
      </c>
      <c r="Q1409" s="1">
        <v>12.923999999999999</v>
      </c>
    </row>
    <row r="1410" spans="1:17" hidden="1" thickBot="1" x14ac:dyDescent="0.3">
      <c r="A1410">
        <v>28133</v>
      </c>
      <c r="B1410" t="s">
        <v>4384</v>
      </c>
      <c r="C1410" t="s">
        <v>4385</v>
      </c>
      <c r="D1410" s="1">
        <v>6.21</v>
      </c>
      <c r="E1410">
        <v>0</v>
      </c>
      <c r="F1410" s="54"/>
      <c r="G1410" t="str">
        <f>_xlfn.XLOOKUP(Table1[[#This Row],[part_number]],'ZLP 1'!$B$11:$B$55,'ZLP 1'!$E$11:$E$55,"SPECIAL")</f>
        <v>SPECIAL</v>
      </c>
      <c r="H1410" t="s">
        <v>4817</v>
      </c>
      <c r="I1410" t="str" cm="1">
        <f t="array" ref="I1410:J1410">_xlfn.TEXTSPLIT(H1410,"x")</f>
        <v>11</v>
      </c>
      <c r="J1410" t="str">
        <v>14</v>
      </c>
      <c r="K1410">
        <f t="shared" si="1"/>
        <v>154</v>
      </c>
      <c r="L1410" t="s">
        <v>4901</v>
      </c>
      <c r="M1410">
        <f>IF(L1410="1",_xlfn.XLOOKUP(K1410,ZLP2!$D$10:$D$20,ZLP2!$H$10:$H$20,ZLP2!$H$10,-1),"FFS")</f>
        <v>6.2054999999999998</v>
      </c>
      <c r="N1410" t="str">
        <f>IF(L1410="2",_xlfn.XLOOKUP(K1410,ZLP2!$N$10:$N$20,ZLP2!$R$10:$R$20,ZLP2!$R$10,-1),"FFS")</f>
        <v>FFS</v>
      </c>
      <c r="O1410" t="str">
        <f>IF(L1410="4",_xlfn.XLOOKUP(K1410,ZLP2!$W$10:$W$20,ZLP2!$AA$10:$AA$20,ZLP2!$AA$10,-1),"FFS")</f>
        <v>FFS</v>
      </c>
      <c r="P1410">
        <f t="shared" si="0"/>
        <v>6.2054999999999998</v>
      </c>
      <c r="Q1410" s="1">
        <v>6.2054999999999998</v>
      </c>
    </row>
    <row r="1411" spans="1:17" ht="15.75" thickBot="1" x14ac:dyDescent="0.3">
      <c r="A1411">
        <v>29270</v>
      </c>
      <c r="B1411" t="s">
        <v>4386</v>
      </c>
      <c r="C1411" t="s">
        <v>4387</v>
      </c>
      <c r="D1411" s="75">
        <v>6.21</v>
      </c>
      <c r="E1411">
        <v>20</v>
      </c>
      <c r="F1411" s="54"/>
      <c r="G1411" t="str">
        <f>_xlfn.XLOOKUP(Table1[[#This Row],[part_number]],'ZLP 1'!$B$11:$B$55,'ZLP 1'!$E$11:$E$55,"SPECIAL")</f>
        <v>SPECIAL</v>
      </c>
      <c r="H1411" t="s">
        <v>4818</v>
      </c>
      <c r="I1411" t="str" cm="1">
        <f t="array" ref="I1411:J1411">_xlfn.TEXTSPLIT(H1411,"x")</f>
        <v>11</v>
      </c>
      <c r="J1411" t="str">
        <v>17</v>
      </c>
      <c r="K1411">
        <f t="shared" si="1"/>
        <v>187</v>
      </c>
      <c r="L1411" t="s">
        <v>4901</v>
      </c>
      <c r="M1411">
        <f>IF(L1411="1",_xlfn.XLOOKUP(K1411,ZLP2!$D$10:$D$20,ZLP2!$H$10:$H$20,ZLP2!$H$10,-1),"FFS")</f>
        <v>6.2054999999999998</v>
      </c>
      <c r="N1411" t="str">
        <f>IF(L1411="2",_xlfn.XLOOKUP(K1411,ZLP2!$N$10:$N$20,ZLP2!$R$10:$R$20,ZLP2!$R$10,-1),"FFS")</f>
        <v>FFS</v>
      </c>
      <c r="O1411" t="str">
        <f>IF(L1411="4",_xlfn.XLOOKUP(K1411,ZLP2!$W$10:$W$20,ZLP2!$AA$10:$AA$20,ZLP2!$AA$10,-1),"FFS")</f>
        <v>FFS</v>
      </c>
      <c r="P1411">
        <f t="shared" si="0"/>
        <v>6.2054999999999998</v>
      </c>
      <c r="Q1411" s="1">
        <v>6.2054999999999998</v>
      </c>
    </row>
    <row r="1412" spans="1:17" hidden="1" thickBot="1" x14ac:dyDescent="0.3">
      <c r="A1412">
        <v>28134</v>
      </c>
      <c r="B1412" t="s">
        <v>4388</v>
      </c>
      <c r="C1412" t="s">
        <v>4389</v>
      </c>
      <c r="D1412" s="1">
        <v>15.34</v>
      </c>
      <c r="E1412">
        <v>0</v>
      </c>
      <c r="F1412" s="54"/>
      <c r="G1412" t="str">
        <f>_xlfn.XLOOKUP(Table1[[#This Row],[part_number]],'ZLP 1'!$B$11:$B$55,'ZLP 1'!$E$11:$E$55,"SPECIAL")</f>
        <v>SPECIAL</v>
      </c>
      <c r="H1412" t="s">
        <v>4819</v>
      </c>
      <c r="I1412" t="str" cm="1">
        <f t="array" ref="I1412">_xlfn.TEXTSPLIT(H1412,"x")</f>
        <v>11.37</v>
      </c>
      <c r="K1412">
        <f t="shared" si="1"/>
        <v>0</v>
      </c>
      <c r="L1412" t="s">
        <v>4902</v>
      </c>
      <c r="M1412" t="str">
        <f>IF(L1412="1",_xlfn.XLOOKUP(K1412,ZLP2!$D$10:$D$20,ZLP2!$H$10:$H$20,ZLP2!$H$10,-1),"FFS")</f>
        <v>FFS</v>
      </c>
      <c r="N1412" t="str">
        <f>IF(L1412="2",_xlfn.XLOOKUP(K1412,ZLP2!$N$10:$N$20,ZLP2!$R$10:$R$20,ZLP2!$R$10,-1),"FFS")</f>
        <v>FFS</v>
      </c>
      <c r="O1412" t="str">
        <f>IF(L1412="4",_xlfn.XLOOKUP(K1412,ZLP2!$W$10:$W$20,ZLP2!$AA$10:$AA$20,ZLP2!$AA$10,-1),"FFS")</f>
        <v>FFS</v>
      </c>
      <c r="P1412" t="str">
        <f t="shared" si="0"/>
        <v/>
      </c>
      <c r="Q1412" s="1" t="s">
        <v>4910</v>
      </c>
    </row>
    <row r="1413" spans="1:17" hidden="1" thickBot="1" x14ac:dyDescent="0.3">
      <c r="A1413">
        <v>28136</v>
      </c>
      <c r="B1413" t="s">
        <v>4390</v>
      </c>
      <c r="C1413" t="s">
        <v>4391</v>
      </c>
      <c r="D1413" s="1">
        <v>7.68</v>
      </c>
      <c r="E1413">
        <v>0</v>
      </c>
      <c r="F1413" s="54"/>
      <c r="G1413" t="str">
        <f>_xlfn.XLOOKUP(Table1[[#This Row],[part_number]],'ZLP 1'!$B$11:$B$55,'ZLP 1'!$E$11:$E$55,"SPECIAL")</f>
        <v>SPECIAL</v>
      </c>
      <c r="H1413" t="s">
        <v>4820</v>
      </c>
      <c r="I1413" t="str" cm="1">
        <f t="array" ref="I1413:J1413">_xlfn.TEXTSPLIT(H1413,"x")</f>
        <v>11</v>
      </c>
      <c r="J1413" t="str">
        <v>26</v>
      </c>
      <c r="K1413">
        <f t="shared" si="1"/>
        <v>286</v>
      </c>
      <c r="L1413" t="s">
        <v>4901</v>
      </c>
      <c r="M1413">
        <f>IF(L1413="1",_xlfn.XLOOKUP(K1413,ZLP2!$D$10:$D$20,ZLP2!$H$10:$H$20,ZLP2!$H$10,-1),"FFS")</f>
        <v>7.6815000000000007</v>
      </c>
      <c r="N1413" t="str">
        <f>IF(L1413="2",_xlfn.XLOOKUP(K1413,ZLP2!$N$10:$N$20,ZLP2!$R$10:$R$20,ZLP2!$R$10,-1),"FFS")</f>
        <v>FFS</v>
      </c>
      <c r="O1413" t="str">
        <f>IF(L1413="4",_xlfn.XLOOKUP(K1413,ZLP2!$W$10:$W$20,ZLP2!$AA$10:$AA$20,ZLP2!$AA$10,-1),"FFS")</f>
        <v>FFS</v>
      </c>
      <c r="P1413">
        <f t="shared" si="0"/>
        <v>7.6815000000000007</v>
      </c>
      <c r="Q1413" s="1">
        <v>7.6815000000000007</v>
      </c>
    </row>
    <row r="1414" spans="1:17" hidden="1" thickBot="1" x14ac:dyDescent="0.3">
      <c r="A1414">
        <v>28137</v>
      </c>
      <c r="B1414" t="s">
        <v>4392</v>
      </c>
      <c r="C1414" t="s">
        <v>4393</v>
      </c>
      <c r="D1414" s="1">
        <v>8.41</v>
      </c>
      <c r="E1414">
        <v>0</v>
      </c>
      <c r="F1414" s="54"/>
      <c r="G1414" t="str">
        <f>_xlfn.XLOOKUP(Table1[[#This Row],[part_number]],'ZLP 1'!$B$11:$B$55,'ZLP 1'!$E$11:$E$55,"SPECIAL")</f>
        <v>SPECIAL</v>
      </c>
      <c r="H1414" t="s">
        <v>4820</v>
      </c>
      <c r="I1414" t="str" cm="1">
        <f t="array" ref="I1414:J1414">_xlfn.TEXTSPLIT(H1414,"x")</f>
        <v>11</v>
      </c>
      <c r="J1414" t="str">
        <v>26</v>
      </c>
      <c r="K1414">
        <f t="shared" si="1"/>
        <v>286</v>
      </c>
      <c r="L1414" t="s">
        <v>4903</v>
      </c>
      <c r="M1414" t="str">
        <f>IF(L1414="1",_xlfn.XLOOKUP(K1414,ZLP2!$D$10:$D$20,ZLP2!$H$10:$H$20,ZLP2!$H$10,-1),"FFS")</f>
        <v>FFS</v>
      </c>
      <c r="N1414">
        <f>IF(L1414="2",_xlfn.XLOOKUP(K1414,ZLP2!$N$10:$N$20,ZLP2!$R$10:$R$20,ZLP2!$R$10,-1),"FFS")</f>
        <v>8.4060000000000006</v>
      </c>
      <c r="O1414" t="str">
        <f>IF(L1414="4",_xlfn.XLOOKUP(K1414,ZLP2!$W$10:$W$20,ZLP2!$AA$10:$AA$20,ZLP2!$AA$10,-1),"FFS")</f>
        <v>FFS</v>
      </c>
      <c r="P1414">
        <f t="shared" si="0"/>
        <v>8.4060000000000006</v>
      </c>
      <c r="Q1414" s="1">
        <v>8.4060000000000006</v>
      </c>
    </row>
    <row r="1415" spans="1:17" hidden="1" thickBot="1" x14ac:dyDescent="0.3">
      <c r="A1415">
        <v>28138</v>
      </c>
      <c r="B1415" t="s">
        <v>4394</v>
      </c>
      <c r="C1415" t="s">
        <v>4395</v>
      </c>
      <c r="D1415" s="1">
        <v>15.34</v>
      </c>
      <c r="E1415">
        <v>0</v>
      </c>
      <c r="F1415" s="54"/>
      <c r="G1415" t="str">
        <f>_xlfn.XLOOKUP(Table1[[#This Row],[part_number]],'ZLP 1'!$B$11:$B$55,'ZLP 1'!$E$11:$E$55,"SPECIAL")</f>
        <v>SPECIAL</v>
      </c>
      <c r="H1415" t="s">
        <v>4819</v>
      </c>
      <c r="I1415" t="str" cm="1">
        <f t="array" ref="I1415">_xlfn.TEXTSPLIT(H1415,"x")</f>
        <v>11.37</v>
      </c>
      <c r="K1415">
        <f t="shared" si="1"/>
        <v>0</v>
      </c>
      <c r="L1415" t="s">
        <v>4902</v>
      </c>
      <c r="M1415" t="str">
        <f>IF(L1415="1",_xlfn.XLOOKUP(K1415,ZLP2!$D$10:$D$20,ZLP2!$H$10:$H$20,ZLP2!$H$10,-1),"FFS")</f>
        <v>FFS</v>
      </c>
      <c r="N1415" t="str">
        <f>IF(L1415="2",_xlfn.XLOOKUP(K1415,ZLP2!$N$10:$N$20,ZLP2!$R$10:$R$20,ZLP2!$R$10,-1),"FFS")</f>
        <v>FFS</v>
      </c>
      <c r="O1415" t="str">
        <f>IF(L1415="4",_xlfn.XLOOKUP(K1415,ZLP2!$W$10:$W$20,ZLP2!$AA$10:$AA$20,ZLP2!$AA$10,-1),"FFS")</f>
        <v>FFS</v>
      </c>
      <c r="P1415" t="str">
        <f t="shared" si="0"/>
        <v/>
      </c>
      <c r="Q1415" s="1" t="s">
        <v>4910</v>
      </c>
    </row>
    <row r="1416" spans="1:17" ht="15.75" thickBot="1" x14ac:dyDescent="0.3">
      <c r="A1416">
        <v>28140</v>
      </c>
      <c r="B1416" t="s">
        <v>127</v>
      </c>
      <c r="C1416" t="s">
        <v>4396</v>
      </c>
      <c r="D1416" s="75">
        <v>3.516</v>
      </c>
      <c r="E1416">
        <v>12</v>
      </c>
      <c r="F1416" s="54"/>
      <c r="G1416">
        <f>_xlfn.XLOOKUP(Table1[[#This Row],[part_number]],'ZLP 1'!$B$11:$B$55,'ZLP 1'!$E$11:$E$55,"SPECIAL")</f>
        <v>3.516</v>
      </c>
      <c r="H1416" t="s">
        <v>4805</v>
      </c>
      <c r="I1416" t="str" cm="1">
        <f t="array" ref="I1416">_xlfn.TEXTSPLIT(H1416,"x")</f>
        <v>something went wrong or no NA</v>
      </c>
      <c r="K1416" t="e">
        <f t="shared" si="1"/>
        <v>#VALUE!</v>
      </c>
      <c r="L1416" t="s">
        <v>4901</v>
      </c>
      <c r="M1416" t="e">
        <f>IF(L1416="1",_xlfn.XLOOKUP(K1416,ZLP2!$D$10:$D$20,ZLP2!$H$10:$H$20,ZLP2!$H$10,-1),"FFS")</f>
        <v>#VALUE!</v>
      </c>
      <c r="N1416" t="str">
        <f>IF(L1416="2",_xlfn.XLOOKUP(K1416,ZLP2!$N$10:$N$20,ZLP2!$R$10:$R$20,ZLP2!$R$10,-1),"FFS")</f>
        <v>FFS</v>
      </c>
      <c r="O1416" t="str">
        <f>IF(L1416="4",_xlfn.XLOOKUP(K1416,ZLP2!$W$10:$W$20,ZLP2!$AA$10:$AA$20,ZLP2!$AA$10,-1),"FFS")</f>
        <v>FFS</v>
      </c>
      <c r="P1416" t="str">
        <f t="shared" si="0"/>
        <v/>
      </c>
      <c r="Q1416" s="1" t="s">
        <v>4910</v>
      </c>
    </row>
    <row r="1417" spans="1:17" ht="15.75" thickBot="1" x14ac:dyDescent="0.3">
      <c r="A1417">
        <v>28145</v>
      </c>
      <c r="B1417" t="s">
        <v>120</v>
      </c>
      <c r="C1417" t="s">
        <v>4397</v>
      </c>
      <c r="D1417" s="75">
        <v>3.8266</v>
      </c>
      <c r="E1417">
        <v>143</v>
      </c>
      <c r="F1417" s="54"/>
      <c r="G1417" t="str">
        <f>_xlfn.XLOOKUP(Table1[[#This Row],[part_number]],'ZLP 1'!$B$11:$B$55,'ZLP 1'!$E$11:$E$55,"SPECIAL")</f>
        <v>SPECIAL</v>
      </c>
      <c r="H1417" t="s">
        <v>4805</v>
      </c>
      <c r="I1417" t="str" cm="1">
        <f t="array" ref="I1417">_xlfn.TEXTSPLIT(H1417,"x")</f>
        <v>something went wrong or no NA</v>
      </c>
      <c r="K1417" t="e">
        <f t="shared" si="1"/>
        <v>#VALUE!</v>
      </c>
      <c r="L1417" t="s">
        <v>4903</v>
      </c>
      <c r="M1417" t="str">
        <f>IF(L1417="1",_xlfn.XLOOKUP(K1417,ZLP2!$D$10:$D$20,ZLP2!$H$10:$H$20,ZLP2!$H$10,-1),"FFS")</f>
        <v>FFS</v>
      </c>
      <c r="N1417" t="e">
        <f>IF(L1417="2",_xlfn.XLOOKUP(K1417,ZLP2!$N$10:$N$20,ZLP2!$R$10:$R$20,ZLP2!$R$10,-1),"FFS")</f>
        <v>#VALUE!</v>
      </c>
      <c r="O1417" t="str">
        <f>IF(L1417="4",_xlfn.XLOOKUP(K1417,ZLP2!$W$10:$W$20,ZLP2!$AA$10:$AA$20,ZLP2!$AA$10,-1),"FFS")</f>
        <v>FFS</v>
      </c>
      <c r="P1417" t="str">
        <f t="shared" si="0"/>
        <v/>
      </c>
      <c r="Q1417" s="1" t="s">
        <v>4910</v>
      </c>
    </row>
    <row r="1418" spans="1:17" hidden="1" thickBot="1" x14ac:dyDescent="0.3">
      <c r="A1418">
        <v>28139</v>
      </c>
      <c r="B1418" t="s">
        <v>4398</v>
      </c>
      <c r="C1418" t="s">
        <v>4399</v>
      </c>
      <c r="D1418" s="1">
        <v>12.17</v>
      </c>
      <c r="E1418">
        <v>0</v>
      </c>
      <c r="F1418" s="54"/>
      <c r="G1418" t="str">
        <f>_xlfn.XLOOKUP(Table1[[#This Row],[part_number]],'ZLP 1'!$B$11:$B$55,'ZLP 1'!$E$11:$E$55,"SPECIAL")</f>
        <v>SPECIAL</v>
      </c>
      <c r="H1418" t="s">
        <v>4821</v>
      </c>
      <c r="I1418" t="str" cm="1">
        <f t="array" ref="I1418:J1418">_xlfn.TEXTSPLIT(H1418,"x")</f>
        <v>12</v>
      </c>
      <c r="J1418" t="str">
        <v>12</v>
      </c>
      <c r="K1418">
        <f t="shared" si="1"/>
        <v>144</v>
      </c>
      <c r="L1418" t="s">
        <v>4904</v>
      </c>
      <c r="M1418" t="str">
        <f>IF(L1418="1",_xlfn.XLOOKUP(K1418,ZLP2!$D$10:$D$20,ZLP2!$H$10:$H$20,ZLP2!$H$10,-1),"FFS")</f>
        <v>FFS</v>
      </c>
      <c r="N1418" t="str">
        <f>IF(L1418="2",_xlfn.XLOOKUP(K1418,ZLP2!$N$10:$N$20,ZLP2!$R$10:$R$20,ZLP2!$R$10,-1),"FFS")</f>
        <v>FFS</v>
      </c>
      <c r="O1418">
        <f>IF(L1418="4",_xlfn.XLOOKUP(K1418,ZLP2!$W$10:$W$20,ZLP2!$AA$10:$AA$20,ZLP2!$AA$10,-1),"FFS")</f>
        <v>12.172500000000001</v>
      </c>
      <c r="P1418">
        <f t="shared" si="0"/>
        <v>12.172500000000001</v>
      </c>
      <c r="Q1418" s="1">
        <v>12.172500000000001</v>
      </c>
    </row>
    <row r="1419" spans="1:17" ht="15.75" thickBot="1" x14ac:dyDescent="0.3">
      <c r="A1419">
        <v>28143</v>
      </c>
      <c r="B1419" t="s">
        <v>4400</v>
      </c>
      <c r="C1419" t="s">
        <v>4401</v>
      </c>
      <c r="D1419" s="75">
        <v>6.21</v>
      </c>
      <c r="E1419">
        <v>8</v>
      </c>
      <c r="F1419" s="54"/>
      <c r="G1419" t="str">
        <f>_xlfn.XLOOKUP(Table1[[#This Row],[part_number]],'ZLP 1'!$B$11:$B$55,'ZLP 1'!$E$11:$E$55,"SPECIAL")</f>
        <v>SPECIAL</v>
      </c>
      <c r="H1419" t="s">
        <v>4822</v>
      </c>
      <c r="I1419" t="str" cm="1">
        <f t="array" ref="I1419:J1419">_xlfn.TEXTSPLIT(H1419,"x")</f>
        <v>12</v>
      </c>
      <c r="J1419" t="str">
        <v>16</v>
      </c>
      <c r="K1419">
        <f t="shared" si="1"/>
        <v>192</v>
      </c>
      <c r="L1419" t="s">
        <v>4901</v>
      </c>
      <c r="M1419">
        <f>IF(L1419="1",_xlfn.XLOOKUP(K1419,ZLP2!$D$10:$D$20,ZLP2!$H$10:$H$20,ZLP2!$H$10,-1),"FFS")</f>
        <v>6.2054999999999998</v>
      </c>
      <c r="N1419" t="str">
        <f>IF(L1419="2",_xlfn.XLOOKUP(K1419,ZLP2!$N$10:$N$20,ZLP2!$R$10:$R$20,ZLP2!$R$10,-1),"FFS")</f>
        <v>FFS</v>
      </c>
      <c r="O1419" t="str">
        <f>IF(L1419="4",_xlfn.XLOOKUP(K1419,ZLP2!$W$10:$W$20,ZLP2!$AA$10:$AA$20,ZLP2!$AA$10,-1),"FFS")</f>
        <v>FFS</v>
      </c>
      <c r="P1419">
        <f t="shared" si="0"/>
        <v>6.2054999999999998</v>
      </c>
      <c r="Q1419" s="1">
        <v>6.2054999999999998</v>
      </c>
    </row>
    <row r="1420" spans="1:17" hidden="1" thickBot="1" x14ac:dyDescent="0.3">
      <c r="A1420">
        <v>28142</v>
      </c>
      <c r="B1420" t="s">
        <v>4402</v>
      </c>
      <c r="C1420" t="s">
        <v>4403</v>
      </c>
      <c r="D1420" s="1">
        <v>6.79</v>
      </c>
      <c r="E1420">
        <v>0</v>
      </c>
      <c r="F1420" s="54"/>
      <c r="G1420" t="str">
        <f>_xlfn.XLOOKUP(Table1[[#This Row],[part_number]],'ZLP 1'!$B$11:$B$55,'ZLP 1'!$E$11:$E$55,"SPECIAL")</f>
        <v>SPECIAL</v>
      </c>
      <c r="H1420" t="s">
        <v>4822</v>
      </c>
      <c r="I1420" t="str" cm="1">
        <f t="array" ref="I1420:J1420">_xlfn.TEXTSPLIT(H1420,"x")</f>
        <v>12</v>
      </c>
      <c r="J1420" t="str">
        <v>16</v>
      </c>
      <c r="K1420">
        <f t="shared" si="1"/>
        <v>192</v>
      </c>
      <c r="L1420" t="s">
        <v>4903</v>
      </c>
      <c r="M1420" t="str">
        <f>IF(L1420="1",_xlfn.XLOOKUP(K1420,ZLP2!$D$10:$D$20,ZLP2!$H$10:$H$20,ZLP2!$H$10,-1),"FFS")</f>
        <v>FFS</v>
      </c>
      <c r="N1420">
        <f>IF(L1420="2",_xlfn.XLOOKUP(K1420,ZLP2!$N$10:$N$20,ZLP2!$R$10:$R$20,ZLP2!$R$10,-1),"FFS")</f>
        <v>6.7860000000000005</v>
      </c>
      <c r="O1420" t="str">
        <f>IF(L1420="4",_xlfn.XLOOKUP(K1420,ZLP2!$W$10:$W$20,ZLP2!$AA$10:$AA$20,ZLP2!$AA$10,-1),"FFS")</f>
        <v>FFS</v>
      </c>
      <c r="P1420">
        <f t="shared" si="0"/>
        <v>6.7860000000000005</v>
      </c>
      <c r="Q1420" s="1">
        <v>6.7860000000000005</v>
      </c>
    </row>
    <row r="1421" spans="1:17" ht="15.75" thickBot="1" x14ac:dyDescent="0.3">
      <c r="A1421">
        <v>28141</v>
      </c>
      <c r="B1421" t="s">
        <v>129</v>
      </c>
      <c r="C1421" t="s">
        <v>4404</v>
      </c>
      <c r="D1421" s="75">
        <v>2.9760000000000004</v>
      </c>
      <c r="E1421">
        <v>245</v>
      </c>
      <c r="F1421" s="54"/>
      <c r="G1421">
        <f>_xlfn.XLOOKUP(Table1[[#This Row],[part_number]],'ZLP 1'!$B$11:$B$55,'ZLP 1'!$E$11:$E$55,"SPECIAL")</f>
        <v>2.9760000000000004</v>
      </c>
      <c r="H1421" t="s">
        <v>4805</v>
      </c>
      <c r="I1421" t="str" cm="1">
        <f t="array" ref="I1421">_xlfn.TEXTSPLIT(H1421,"x")</f>
        <v>something went wrong or no NA</v>
      </c>
      <c r="K1421" t="e">
        <f t="shared" si="1"/>
        <v>#VALUE!</v>
      </c>
      <c r="L1421" t="s">
        <v>4901</v>
      </c>
      <c r="M1421" t="e">
        <f>IF(L1421="1",_xlfn.XLOOKUP(K1421,ZLP2!$D$10:$D$20,ZLP2!$H$10:$H$20,ZLP2!$H$10,-1),"FFS")</f>
        <v>#VALUE!</v>
      </c>
      <c r="N1421" t="str">
        <f>IF(L1421="2",_xlfn.XLOOKUP(K1421,ZLP2!$N$10:$N$20,ZLP2!$R$10:$R$20,ZLP2!$R$10,-1),"FFS")</f>
        <v>FFS</v>
      </c>
      <c r="O1421" t="str">
        <f>IF(L1421="4",_xlfn.XLOOKUP(K1421,ZLP2!$W$10:$W$20,ZLP2!$AA$10:$AA$20,ZLP2!$AA$10,-1),"FFS")</f>
        <v>FFS</v>
      </c>
      <c r="P1421" t="str">
        <f t="shared" si="0"/>
        <v/>
      </c>
      <c r="Q1421" s="1" t="s">
        <v>4910</v>
      </c>
    </row>
    <row r="1422" spans="1:17" ht="15.75" thickBot="1" x14ac:dyDescent="0.3">
      <c r="A1422">
        <v>28144</v>
      </c>
      <c r="B1422" t="s">
        <v>123</v>
      </c>
      <c r="C1422" t="s">
        <v>4405</v>
      </c>
      <c r="D1422" s="75">
        <v>3.0476000000000001</v>
      </c>
      <c r="E1422">
        <v>232</v>
      </c>
      <c r="F1422" s="54"/>
      <c r="G1422" t="str">
        <f>_xlfn.XLOOKUP(Table1[[#This Row],[part_number]],'ZLP 1'!$B$11:$B$55,'ZLP 1'!$E$11:$E$55,"SPECIAL")</f>
        <v>SPECIAL</v>
      </c>
      <c r="H1422" t="s">
        <v>4805</v>
      </c>
      <c r="I1422" t="str" cm="1">
        <f t="array" ref="I1422">_xlfn.TEXTSPLIT(H1422,"x")</f>
        <v>something went wrong or no NA</v>
      </c>
      <c r="K1422" t="e">
        <f t="shared" si="1"/>
        <v>#VALUE!</v>
      </c>
      <c r="L1422" t="s">
        <v>4903</v>
      </c>
      <c r="M1422" t="str">
        <f>IF(L1422="1",_xlfn.XLOOKUP(K1422,ZLP2!$D$10:$D$20,ZLP2!$H$10:$H$20,ZLP2!$H$10,-1),"FFS")</f>
        <v>FFS</v>
      </c>
      <c r="N1422" t="e">
        <f>IF(L1422="2",_xlfn.XLOOKUP(K1422,ZLP2!$N$10:$N$20,ZLP2!$R$10:$R$20,ZLP2!$R$10,-1),"FFS")</f>
        <v>#VALUE!</v>
      </c>
      <c r="O1422" t="str">
        <f>IF(L1422="4",_xlfn.XLOOKUP(K1422,ZLP2!$W$10:$W$20,ZLP2!$AA$10:$AA$20,ZLP2!$AA$10,-1),"FFS")</f>
        <v>FFS</v>
      </c>
      <c r="P1422" t="str">
        <f t="shared" si="0"/>
        <v/>
      </c>
      <c r="Q1422" s="1" t="s">
        <v>4910</v>
      </c>
    </row>
    <row r="1423" spans="1:17" ht="15.75" thickBot="1" x14ac:dyDescent="0.3">
      <c r="A1423">
        <v>28148</v>
      </c>
      <c r="B1423" t="s">
        <v>131</v>
      </c>
      <c r="C1423" t="s">
        <v>4406</v>
      </c>
      <c r="D1423" s="75">
        <v>2.8960000000000004</v>
      </c>
      <c r="E1423">
        <v>107</v>
      </c>
      <c r="F1423" s="54"/>
      <c r="G1423">
        <f>_xlfn.XLOOKUP(Table1[[#This Row],[part_number]],'ZLP 1'!$B$11:$B$55,'ZLP 1'!$E$11:$E$55,"SPECIAL")</f>
        <v>2.8960000000000004</v>
      </c>
      <c r="H1423" t="s">
        <v>4805</v>
      </c>
      <c r="I1423" t="str" cm="1">
        <f t="array" ref="I1423">_xlfn.TEXTSPLIT(H1423,"x")</f>
        <v>something went wrong or no NA</v>
      </c>
      <c r="K1423" t="e">
        <f t="shared" si="1"/>
        <v>#VALUE!</v>
      </c>
      <c r="L1423" t="s">
        <v>4901</v>
      </c>
      <c r="M1423" t="e">
        <f>IF(L1423="1",_xlfn.XLOOKUP(K1423,ZLP2!$D$10:$D$20,ZLP2!$H$10:$H$20,ZLP2!$H$10,-1),"FFS")</f>
        <v>#VALUE!</v>
      </c>
      <c r="N1423" t="str">
        <f>IF(L1423="2",_xlfn.XLOOKUP(K1423,ZLP2!$N$10:$N$20,ZLP2!$R$10:$R$20,ZLP2!$R$10,-1),"FFS")</f>
        <v>FFS</v>
      </c>
      <c r="O1423" t="str">
        <f>IF(L1423="4",_xlfn.XLOOKUP(K1423,ZLP2!$W$10:$W$20,ZLP2!$AA$10:$AA$20,ZLP2!$AA$10,-1),"FFS")</f>
        <v>FFS</v>
      </c>
      <c r="P1423" t="str">
        <f t="shared" si="0"/>
        <v/>
      </c>
      <c r="Q1423" s="1" t="s">
        <v>4910</v>
      </c>
    </row>
    <row r="1424" spans="1:17" ht="15.75" thickBot="1" x14ac:dyDescent="0.3">
      <c r="A1424">
        <v>28147</v>
      </c>
      <c r="B1424" t="s">
        <v>126</v>
      </c>
      <c r="C1424" t="s">
        <v>4407</v>
      </c>
      <c r="D1424" s="75">
        <v>2.9412000000000003</v>
      </c>
      <c r="E1424">
        <v>589</v>
      </c>
      <c r="F1424" s="54"/>
      <c r="G1424" t="str">
        <f>_xlfn.XLOOKUP(Table1[[#This Row],[part_number]],'ZLP 1'!$B$11:$B$55,'ZLP 1'!$E$11:$E$55,"SPECIAL")</f>
        <v>SPECIAL</v>
      </c>
      <c r="H1424" t="s">
        <v>4805</v>
      </c>
      <c r="I1424" t="str" cm="1">
        <f t="array" ref="I1424">_xlfn.TEXTSPLIT(H1424,"x")</f>
        <v>something went wrong or no NA</v>
      </c>
      <c r="K1424" t="e">
        <f t="shared" si="1"/>
        <v>#VALUE!</v>
      </c>
      <c r="L1424" t="s">
        <v>4903</v>
      </c>
      <c r="M1424" t="str">
        <f>IF(L1424="1",_xlfn.XLOOKUP(K1424,ZLP2!$D$10:$D$20,ZLP2!$H$10:$H$20,ZLP2!$H$10,-1),"FFS")</f>
        <v>FFS</v>
      </c>
      <c r="N1424" t="e">
        <f>IF(L1424="2",_xlfn.XLOOKUP(K1424,ZLP2!$N$10:$N$20,ZLP2!$R$10:$R$20,ZLP2!$R$10,-1),"FFS")</f>
        <v>#VALUE!</v>
      </c>
      <c r="O1424" t="str">
        <f>IF(L1424="4",_xlfn.XLOOKUP(K1424,ZLP2!$W$10:$W$20,ZLP2!$AA$10:$AA$20,ZLP2!$AA$10,-1),"FFS")</f>
        <v>FFS</v>
      </c>
      <c r="P1424" t="str">
        <f t="shared" si="0"/>
        <v/>
      </c>
      <c r="Q1424" s="1" t="s">
        <v>4910</v>
      </c>
    </row>
    <row r="1425" spans="1:17" ht="15.75" thickBot="1" x14ac:dyDescent="0.3">
      <c r="A1425">
        <v>28149</v>
      </c>
      <c r="B1425" t="s">
        <v>173</v>
      </c>
      <c r="C1425" t="s">
        <v>4408</v>
      </c>
      <c r="D1425" s="75">
        <v>4.8520000000000003</v>
      </c>
      <c r="E1425">
        <v>216</v>
      </c>
      <c r="F1425" s="54"/>
      <c r="G1425" t="str">
        <f>_xlfn.XLOOKUP(Table1[[#This Row],[part_number]],'ZLP 1'!$B$11:$B$55,'ZLP 1'!$E$11:$E$55,"SPECIAL")</f>
        <v>SPECIAL</v>
      </c>
      <c r="H1425" t="s">
        <v>4805</v>
      </c>
      <c r="I1425" t="str" cm="1">
        <f t="array" ref="I1425">_xlfn.TEXTSPLIT(H1425,"x")</f>
        <v>something went wrong or no NA</v>
      </c>
      <c r="K1425" t="e">
        <f t="shared" si="1"/>
        <v>#VALUE!</v>
      </c>
      <c r="L1425" t="s">
        <v>4904</v>
      </c>
      <c r="M1425" t="str">
        <f>IF(L1425="1",_xlfn.XLOOKUP(K1425,ZLP2!$D$10:$D$20,ZLP2!$H$10:$H$20,ZLP2!$H$10,-1),"FFS")</f>
        <v>FFS</v>
      </c>
      <c r="N1425" t="str">
        <f>IF(L1425="2",_xlfn.XLOOKUP(K1425,ZLP2!$N$10:$N$20,ZLP2!$R$10:$R$20,ZLP2!$R$10,-1),"FFS")</f>
        <v>FFS</v>
      </c>
      <c r="O1425" t="e">
        <f>IF(L1425="4",_xlfn.XLOOKUP(K1425,ZLP2!$W$10:$W$20,ZLP2!$AA$10:$AA$20,ZLP2!$AA$10,-1),"FFS")</f>
        <v>#VALUE!</v>
      </c>
      <c r="P1425" t="str">
        <f t="shared" si="0"/>
        <v/>
      </c>
      <c r="Q1425" s="1" t="s">
        <v>4910</v>
      </c>
    </row>
    <row r="1426" spans="1:17" ht="15.75" thickBot="1" x14ac:dyDescent="0.3">
      <c r="A1426">
        <v>28146</v>
      </c>
      <c r="B1426" t="s">
        <v>133</v>
      </c>
      <c r="C1426" t="s">
        <v>4409</v>
      </c>
      <c r="D1426" s="75">
        <v>3.0960000000000001</v>
      </c>
      <c r="E1426">
        <v>228</v>
      </c>
      <c r="F1426" s="54"/>
      <c r="G1426">
        <f>_xlfn.XLOOKUP(Table1[[#This Row],[part_number]],'ZLP 1'!$B$11:$B$55,'ZLP 1'!$E$11:$E$55,"SPECIAL")</f>
        <v>3.0960000000000001</v>
      </c>
      <c r="H1426" t="s">
        <v>4805</v>
      </c>
      <c r="I1426" t="str" cm="1">
        <f t="array" ref="I1426">_xlfn.TEXTSPLIT(H1426,"x")</f>
        <v>something went wrong or no NA</v>
      </c>
      <c r="K1426" t="e">
        <f t="shared" si="1"/>
        <v>#VALUE!</v>
      </c>
      <c r="L1426" t="s">
        <v>4901</v>
      </c>
      <c r="M1426" t="e">
        <f>IF(L1426="1",_xlfn.XLOOKUP(K1426,ZLP2!$D$10:$D$20,ZLP2!$H$10:$H$20,ZLP2!$H$10,-1),"FFS")</f>
        <v>#VALUE!</v>
      </c>
      <c r="N1426" t="str">
        <f>IF(L1426="2",_xlfn.XLOOKUP(K1426,ZLP2!$N$10:$N$20,ZLP2!$R$10:$R$20,ZLP2!$R$10,-1),"FFS")</f>
        <v>FFS</v>
      </c>
      <c r="O1426" t="str">
        <f>IF(L1426="4",_xlfn.XLOOKUP(K1426,ZLP2!$W$10:$W$20,ZLP2!$AA$10:$AA$20,ZLP2!$AA$10,-1),"FFS")</f>
        <v>FFS</v>
      </c>
      <c r="P1426" t="str">
        <f t="shared" si="0"/>
        <v/>
      </c>
      <c r="Q1426" s="1" t="s">
        <v>4910</v>
      </c>
    </row>
    <row r="1427" spans="1:17" ht="15.75" thickBot="1" x14ac:dyDescent="0.3">
      <c r="A1427">
        <v>28150</v>
      </c>
      <c r="B1427" t="s">
        <v>4410</v>
      </c>
      <c r="C1427" t="s">
        <v>4411</v>
      </c>
      <c r="D1427" s="75">
        <v>9.4600000000000009</v>
      </c>
      <c r="E1427">
        <v>76</v>
      </c>
      <c r="F1427" s="54"/>
      <c r="G1427" t="str">
        <f>_xlfn.XLOOKUP(Table1[[#This Row],[part_number]],'ZLP 1'!$B$11:$B$55,'ZLP 1'!$E$11:$E$55,"SPECIAL")</f>
        <v>SPECIAL</v>
      </c>
      <c r="H1427" t="s">
        <v>4823</v>
      </c>
      <c r="I1427" t="str" cm="1">
        <f t="array" ref="I1427:J1427">_xlfn.TEXTSPLIT(H1427,"x")</f>
        <v>12</v>
      </c>
      <c r="J1427" t="str">
        <v>25</v>
      </c>
      <c r="K1427">
        <f t="shared" si="1"/>
        <v>300</v>
      </c>
      <c r="L1427" t="s">
        <v>4903</v>
      </c>
      <c r="M1427" t="str">
        <f>IF(L1427="1",_xlfn.XLOOKUP(K1427,ZLP2!$D$10:$D$20,ZLP2!$H$10:$H$20,ZLP2!$H$10,-1),"FFS")</f>
        <v>FFS</v>
      </c>
      <c r="N1427">
        <f>IF(L1427="2",_xlfn.XLOOKUP(K1427,ZLP2!$N$10:$N$20,ZLP2!$R$10:$R$20,ZLP2!$R$10,-1),"FFS")</f>
        <v>9.4589999999999996</v>
      </c>
      <c r="O1427" t="str">
        <f>IF(L1427="4",_xlfn.XLOOKUP(K1427,ZLP2!$W$10:$W$20,ZLP2!$AA$10:$AA$20,ZLP2!$AA$10,-1),"FFS")</f>
        <v>FFS</v>
      </c>
      <c r="P1427">
        <f t="shared" si="0"/>
        <v>9.4589999999999996</v>
      </c>
      <c r="Q1427" s="1">
        <v>9.4589999999999996</v>
      </c>
    </row>
    <row r="1428" spans="1:17" ht="15.75" thickBot="1" x14ac:dyDescent="0.3">
      <c r="A1428">
        <v>28151</v>
      </c>
      <c r="B1428" t="s">
        <v>135</v>
      </c>
      <c r="C1428" t="s">
        <v>4412</v>
      </c>
      <c r="D1428" s="75">
        <v>5.8479999999999999</v>
      </c>
      <c r="E1428">
        <v>108</v>
      </c>
      <c r="F1428" s="54"/>
      <c r="G1428">
        <f>_xlfn.XLOOKUP(Table1[[#This Row],[part_number]],'ZLP 1'!$B$11:$B$55,'ZLP 1'!$E$11:$E$55,"SPECIAL")</f>
        <v>5.8479999999999999</v>
      </c>
      <c r="H1428" t="s">
        <v>4805</v>
      </c>
      <c r="I1428" t="str" cm="1">
        <f t="array" ref="I1428">_xlfn.TEXTSPLIT(H1428,"x")</f>
        <v>something went wrong or no NA</v>
      </c>
      <c r="K1428" t="e">
        <f t="shared" si="1"/>
        <v>#VALUE!</v>
      </c>
      <c r="L1428" t="s">
        <v>4901</v>
      </c>
      <c r="M1428" t="e">
        <f>IF(L1428="1",_xlfn.XLOOKUP(K1428,ZLP2!$D$10:$D$20,ZLP2!$H$10:$H$20,ZLP2!$H$10,-1),"FFS")</f>
        <v>#VALUE!</v>
      </c>
      <c r="N1428" t="str">
        <f>IF(L1428="2",_xlfn.XLOOKUP(K1428,ZLP2!$N$10:$N$20,ZLP2!$R$10:$R$20,ZLP2!$R$10,-1),"FFS")</f>
        <v>FFS</v>
      </c>
      <c r="O1428" t="str">
        <f>IF(L1428="4",_xlfn.XLOOKUP(K1428,ZLP2!$W$10:$W$20,ZLP2!$AA$10:$AA$20,ZLP2!$AA$10,-1),"FFS")</f>
        <v>FFS</v>
      </c>
      <c r="P1428" t="str">
        <f t="shared" si="0"/>
        <v/>
      </c>
      <c r="Q1428" s="1" t="s">
        <v>4910</v>
      </c>
    </row>
    <row r="1429" spans="1:17" hidden="1" thickBot="1" x14ac:dyDescent="0.3">
      <c r="A1429">
        <v>28152</v>
      </c>
      <c r="B1429" t="s">
        <v>4413</v>
      </c>
      <c r="C1429" t="s">
        <v>4414</v>
      </c>
      <c r="D1429" s="1">
        <v>9.4600000000000009</v>
      </c>
      <c r="E1429">
        <v>0</v>
      </c>
      <c r="F1429" s="54"/>
      <c r="G1429" t="str">
        <f>_xlfn.XLOOKUP(Table1[[#This Row],[part_number]],'ZLP 1'!$B$11:$B$55,'ZLP 1'!$E$11:$E$55,"SPECIAL")</f>
        <v>SPECIAL</v>
      </c>
      <c r="H1429" t="s">
        <v>4824</v>
      </c>
      <c r="I1429" t="str" cm="1">
        <f t="array" ref="I1429:J1429">_xlfn.TEXTSPLIT(H1429,"x")</f>
        <v>12</v>
      </c>
      <c r="J1429" t="str">
        <v>30</v>
      </c>
      <c r="K1429">
        <f t="shared" si="1"/>
        <v>360</v>
      </c>
      <c r="L1429" t="s">
        <v>4903</v>
      </c>
      <c r="M1429" t="str">
        <f>IF(L1429="1",_xlfn.XLOOKUP(K1429,ZLP2!$D$10:$D$20,ZLP2!$H$10:$H$20,ZLP2!$H$10,-1),"FFS")</f>
        <v>FFS</v>
      </c>
      <c r="N1429">
        <f>IF(L1429="2",_xlfn.XLOOKUP(K1429,ZLP2!$N$10:$N$20,ZLP2!$R$10:$R$20,ZLP2!$R$10,-1),"FFS")</f>
        <v>9.4589999999999996</v>
      </c>
      <c r="O1429" t="str">
        <f>IF(L1429="4",_xlfn.XLOOKUP(K1429,ZLP2!$W$10:$W$20,ZLP2!$AA$10:$AA$20,ZLP2!$AA$10,-1),"FFS")</f>
        <v>FFS</v>
      </c>
      <c r="P1429">
        <f t="shared" si="0"/>
        <v>9.4589999999999996</v>
      </c>
      <c r="Q1429" s="1">
        <v>9.4589999999999996</v>
      </c>
    </row>
    <row r="1430" spans="1:17" ht="15.75" thickBot="1" x14ac:dyDescent="0.3">
      <c r="A1430">
        <v>29274</v>
      </c>
      <c r="B1430" t="s">
        <v>4415</v>
      </c>
      <c r="C1430" t="s">
        <v>4416</v>
      </c>
      <c r="D1430" s="75">
        <v>9.6300000000000008</v>
      </c>
      <c r="E1430">
        <v>11</v>
      </c>
      <c r="F1430" s="54"/>
      <c r="G1430" t="str">
        <f>_xlfn.XLOOKUP(Table1[[#This Row],[part_number]],'ZLP 1'!$B$11:$B$55,'ZLP 1'!$E$11:$E$55,"SPECIAL")</f>
        <v>SPECIAL</v>
      </c>
      <c r="H1430" t="s">
        <v>4825</v>
      </c>
      <c r="I1430" t="str" cm="1">
        <f t="array" ref="I1430:J1430">_xlfn.TEXTSPLIT(H1430,"x")</f>
        <v>12</v>
      </c>
      <c r="J1430" t="str">
        <v>36</v>
      </c>
      <c r="K1430">
        <f t="shared" si="1"/>
        <v>432</v>
      </c>
      <c r="L1430" t="s">
        <v>4901</v>
      </c>
      <c r="M1430">
        <f>IF(L1430="1",_xlfn.XLOOKUP(K1430,ZLP2!$D$10:$D$20,ZLP2!$H$10:$H$20,ZLP2!$H$10,-1),"FFS")</f>
        <v>9.6255000000000006</v>
      </c>
      <c r="N1430" t="str">
        <f>IF(L1430="2",_xlfn.XLOOKUP(K1430,ZLP2!$N$10:$N$20,ZLP2!$R$10:$R$20,ZLP2!$R$10,-1),"FFS")</f>
        <v>FFS</v>
      </c>
      <c r="O1430" t="str">
        <f>IF(L1430="4",_xlfn.XLOOKUP(K1430,ZLP2!$W$10:$W$20,ZLP2!$AA$10:$AA$20,ZLP2!$AA$10,-1),"FFS")</f>
        <v>FFS</v>
      </c>
      <c r="P1430">
        <f t="shared" si="0"/>
        <v>9.6255000000000006</v>
      </c>
      <c r="Q1430" s="1">
        <v>9.6255000000000006</v>
      </c>
    </row>
    <row r="1431" spans="1:17" hidden="1" thickBot="1" x14ac:dyDescent="0.3">
      <c r="A1431">
        <v>28155</v>
      </c>
      <c r="B1431" t="s">
        <v>4417</v>
      </c>
      <c r="C1431" t="s">
        <v>4418</v>
      </c>
      <c r="D1431" s="1">
        <v>9.6300000000000008</v>
      </c>
      <c r="E1431">
        <v>0</v>
      </c>
      <c r="F1431" s="54"/>
      <c r="G1431" t="str">
        <f>_xlfn.XLOOKUP(Table1[[#This Row],[part_number]],'ZLP 1'!$B$11:$B$55,'ZLP 1'!$E$11:$E$55,"SPECIAL")</f>
        <v>SPECIAL</v>
      </c>
      <c r="H1431" t="s">
        <v>4826</v>
      </c>
      <c r="I1431" t="str" cm="1">
        <f t="array" ref="I1431:J1431">_xlfn.TEXTSPLIT(H1431,"x")</f>
        <v>12</v>
      </c>
      <c r="J1431" t="str">
        <v>38</v>
      </c>
      <c r="K1431">
        <f t="shared" si="1"/>
        <v>456</v>
      </c>
      <c r="L1431" t="s">
        <v>4901</v>
      </c>
      <c r="M1431">
        <f>IF(L1431="1",_xlfn.XLOOKUP(K1431,ZLP2!$D$10:$D$20,ZLP2!$H$10:$H$20,ZLP2!$H$10,-1),"FFS")</f>
        <v>9.6255000000000006</v>
      </c>
      <c r="N1431" t="str">
        <f>IF(L1431="2",_xlfn.XLOOKUP(K1431,ZLP2!$N$10:$N$20,ZLP2!$R$10:$R$20,ZLP2!$R$10,-1),"FFS")</f>
        <v>FFS</v>
      </c>
      <c r="O1431" t="str">
        <f>IF(L1431="4",_xlfn.XLOOKUP(K1431,ZLP2!$W$10:$W$20,ZLP2!$AA$10:$AA$20,ZLP2!$AA$10,-1),"FFS")</f>
        <v>FFS</v>
      </c>
      <c r="P1431">
        <f t="shared" si="0"/>
        <v>9.6255000000000006</v>
      </c>
      <c r="Q1431" s="1">
        <v>9.6255000000000006</v>
      </c>
    </row>
    <row r="1432" spans="1:17" ht="15.75" thickBot="1" x14ac:dyDescent="0.3">
      <c r="A1432">
        <v>29267</v>
      </c>
      <c r="B1432" t="s">
        <v>4419</v>
      </c>
      <c r="C1432" t="s">
        <v>4420</v>
      </c>
      <c r="D1432" s="75">
        <v>11.3</v>
      </c>
      <c r="E1432">
        <v>35</v>
      </c>
      <c r="F1432" s="54"/>
      <c r="G1432" t="str">
        <f>_xlfn.XLOOKUP(Table1[[#This Row],[part_number]],'ZLP 1'!$B$11:$B$55,'ZLP 1'!$E$11:$E$55,"SPECIAL")</f>
        <v>SPECIAL</v>
      </c>
      <c r="H1432" t="s">
        <v>4827</v>
      </c>
      <c r="I1432" t="str" cm="1">
        <f t="array" ref="I1432:J1432">_xlfn.TEXTSPLIT(H1432,"x")</f>
        <v>12</v>
      </c>
      <c r="J1432" t="str">
        <v>42</v>
      </c>
      <c r="K1432">
        <f t="shared" si="1"/>
        <v>504</v>
      </c>
      <c r="L1432" t="s">
        <v>4903</v>
      </c>
      <c r="M1432" t="str">
        <f>IF(L1432="1",_xlfn.XLOOKUP(K1432,ZLP2!$D$10:$D$20,ZLP2!$H$10:$H$20,ZLP2!$H$10,-1),"FFS")</f>
        <v>FFS</v>
      </c>
      <c r="N1432">
        <f>IF(L1432="2",_xlfn.XLOOKUP(K1432,ZLP2!$N$10:$N$20,ZLP2!$R$10:$R$20,ZLP2!$R$10,-1),"FFS")</f>
        <v>11.2995</v>
      </c>
      <c r="O1432" t="str">
        <f>IF(L1432="4",_xlfn.XLOOKUP(K1432,ZLP2!$W$10:$W$20,ZLP2!$AA$10:$AA$20,ZLP2!$AA$10,-1),"FFS")</f>
        <v>FFS</v>
      </c>
      <c r="P1432">
        <f t="shared" si="0"/>
        <v>11.2995</v>
      </c>
      <c r="Q1432" s="1">
        <v>11.2995</v>
      </c>
    </row>
    <row r="1433" spans="1:17" ht="15.75" thickBot="1" x14ac:dyDescent="0.3">
      <c r="A1433">
        <v>29265</v>
      </c>
      <c r="B1433" t="s">
        <v>4421</v>
      </c>
      <c r="C1433" t="s">
        <v>4422</v>
      </c>
      <c r="D1433" s="75">
        <v>22.6</v>
      </c>
      <c r="E1433">
        <v>630</v>
      </c>
      <c r="F1433" s="54"/>
      <c r="G1433" t="str">
        <f>_xlfn.XLOOKUP(Table1[[#This Row],[part_number]],'ZLP 1'!$B$11:$B$55,'ZLP 1'!$E$11:$E$55,"SPECIAL")</f>
        <v>SPECIAL</v>
      </c>
      <c r="H1433" t="s">
        <v>4828</v>
      </c>
      <c r="I1433" t="str" cm="1">
        <f t="array" ref="I1433">_xlfn.TEXTSPLIT(H1433,"x")</f>
        <v>12.25</v>
      </c>
      <c r="K1433">
        <f t="shared" si="1"/>
        <v>0</v>
      </c>
      <c r="L1433" t="s">
        <v>4902</v>
      </c>
      <c r="M1433" t="str">
        <f>IF(L1433="1",_xlfn.XLOOKUP(K1433,ZLP2!$D$10:$D$20,ZLP2!$H$10:$H$20,ZLP2!$H$10,-1),"FFS")</f>
        <v>FFS</v>
      </c>
      <c r="N1433" t="str">
        <f>IF(L1433="2",_xlfn.XLOOKUP(K1433,ZLP2!$N$10:$N$20,ZLP2!$R$10:$R$20,ZLP2!$R$10,-1),"FFS")</f>
        <v>FFS</v>
      </c>
      <c r="O1433" t="str">
        <f>IF(L1433="4",_xlfn.XLOOKUP(K1433,ZLP2!$W$10:$W$20,ZLP2!$AA$10:$AA$20,ZLP2!$AA$10,-1),"FFS")</f>
        <v>FFS</v>
      </c>
      <c r="P1433" t="str">
        <f t="shared" si="0"/>
        <v/>
      </c>
      <c r="Q1433" s="1" t="s">
        <v>4910</v>
      </c>
    </row>
    <row r="1434" spans="1:17" hidden="1" thickBot="1" x14ac:dyDescent="0.3">
      <c r="A1434">
        <v>28153</v>
      </c>
      <c r="B1434" t="s">
        <v>4423</v>
      </c>
      <c r="C1434" t="s">
        <v>4424</v>
      </c>
      <c r="D1434" s="1">
        <v>14.49</v>
      </c>
      <c r="E1434">
        <v>0</v>
      </c>
      <c r="F1434" s="54"/>
      <c r="G1434" t="str">
        <f>_xlfn.XLOOKUP(Table1[[#This Row],[part_number]],'ZLP 1'!$B$11:$B$55,'ZLP 1'!$E$11:$E$55,"SPECIAL")</f>
        <v>SPECIAL</v>
      </c>
      <c r="H1434" t="s">
        <v>4829</v>
      </c>
      <c r="I1434" t="str" cm="1">
        <f t="array" ref="I1434">_xlfn.TEXTSPLIT(H1434,"x")</f>
        <v xml:space="preserve">13 � </v>
      </c>
      <c r="K1434" t="e">
        <f t="shared" si="1"/>
        <v>#VALUE!</v>
      </c>
      <c r="L1434" t="s">
        <v>4902</v>
      </c>
      <c r="M1434" t="str">
        <f>IF(L1434="1",_xlfn.XLOOKUP(K1434,ZLP2!$D$10:$D$20,ZLP2!$H$10:$H$20,ZLP2!$H$10,-1),"FFS")</f>
        <v>FFS</v>
      </c>
      <c r="N1434" t="str">
        <f>IF(L1434="2",_xlfn.XLOOKUP(K1434,ZLP2!$N$10:$N$20,ZLP2!$R$10:$R$20,ZLP2!$R$10,-1),"FFS")</f>
        <v>FFS</v>
      </c>
      <c r="O1434" t="str">
        <f>IF(L1434="4",_xlfn.XLOOKUP(K1434,ZLP2!$W$10:$W$20,ZLP2!$AA$10:$AA$20,ZLP2!$AA$10,-1),"FFS")</f>
        <v>FFS</v>
      </c>
      <c r="P1434" t="str">
        <f t="shared" si="0"/>
        <v/>
      </c>
      <c r="Q1434" s="1" t="s">
        <v>4910</v>
      </c>
    </row>
    <row r="1435" spans="1:17" ht="15.75" thickBot="1" x14ac:dyDescent="0.3">
      <c r="A1435">
        <v>28157</v>
      </c>
      <c r="B1435" t="s">
        <v>4425</v>
      </c>
      <c r="C1435" t="s">
        <v>4426</v>
      </c>
      <c r="D1435" s="75">
        <v>7.68</v>
      </c>
      <c r="E1435">
        <v>24</v>
      </c>
      <c r="F1435" s="54"/>
      <c r="G1435" t="str">
        <f>_xlfn.XLOOKUP(Table1[[#This Row],[part_number]],'ZLP 1'!$B$11:$B$55,'ZLP 1'!$E$11:$E$55,"SPECIAL")</f>
        <v>SPECIAL</v>
      </c>
      <c r="H1435" t="s">
        <v>4830</v>
      </c>
      <c r="I1435" t="str" cm="1">
        <f t="array" ref="I1435:J1435">_xlfn.TEXTSPLIT(H1435,"x")</f>
        <v>13.5</v>
      </c>
      <c r="J1435" t="str">
        <v/>
      </c>
      <c r="K1435" t="e">
        <f t="shared" si="1"/>
        <v>#VALUE!</v>
      </c>
      <c r="L1435" t="s">
        <v>4901</v>
      </c>
      <c r="M1435" t="e">
        <f>IF(L1435="1",_xlfn.XLOOKUP(K1435,ZLP2!$D$10:$D$20,ZLP2!$H$10:$H$20,ZLP2!$H$10,-1),"FFS")</f>
        <v>#VALUE!</v>
      </c>
      <c r="N1435" t="str">
        <f>IF(L1435="2",_xlfn.XLOOKUP(K1435,ZLP2!$N$10:$N$20,ZLP2!$R$10:$R$20,ZLP2!$R$10,-1),"FFS")</f>
        <v>FFS</v>
      </c>
      <c r="O1435" t="str">
        <f>IF(L1435="4",_xlfn.XLOOKUP(K1435,ZLP2!$W$10:$W$20,ZLP2!$AA$10:$AA$20,ZLP2!$AA$10,-1),"FFS")</f>
        <v>FFS</v>
      </c>
      <c r="P1435" t="str">
        <f t="shared" si="0"/>
        <v/>
      </c>
      <c r="Q1435" s="1" t="s">
        <v>4910</v>
      </c>
    </row>
    <row r="1436" spans="1:17" ht="15.75" thickBot="1" x14ac:dyDescent="0.3">
      <c r="A1436">
        <v>29264</v>
      </c>
      <c r="B1436" t="s">
        <v>4427</v>
      </c>
      <c r="C1436" t="s">
        <v>4428</v>
      </c>
      <c r="D1436" s="75">
        <v>8.64</v>
      </c>
      <c r="E1436">
        <v>12</v>
      </c>
      <c r="F1436" s="54"/>
      <c r="G1436" t="str">
        <f>_xlfn.XLOOKUP(Table1[[#This Row],[part_number]],'ZLP 1'!$B$11:$B$55,'ZLP 1'!$E$11:$E$55,"SPECIAL")</f>
        <v>SPECIAL</v>
      </c>
      <c r="H1436" t="s">
        <v>4831</v>
      </c>
      <c r="I1436" t="str" cm="1">
        <f t="array" ref="I1436:J1436">_xlfn.TEXTSPLIT(H1436,"x")</f>
        <v>13</v>
      </c>
      <c r="J1436" t="str">
        <v>27</v>
      </c>
      <c r="K1436">
        <f t="shared" si="1"/>
        <v>351</v>
      </c>
      <c r="L1436" t="s">
        <v>4901</v>
      </c>
      <c r="M1436">
        <f>IF(L1436="1",_xlfn.XLOOKUP(K1436,ZLP2!$D$10:$D$20,ZLP2!$H$10:$H$20,ZLP2!$H$10,-1),"FFS")</f>
        <v>8.6445000000000007</v>
      </c>
      <c r="N1436" t="str">
        <f>IF(L1436="2",_xlfn.XLOOKUP(K1436,ZLP2!$N$10:$N$20,ZLP2!$R$10:$R$20,ZLP2!$R$10,-1),"FFS")</f>
        <v>FFS</v>
      </c>
      <c r="O1436" t="str">
        <f>IF(L1436="4",_xlfn.XLOOKUP(K1436,ZLP2!$W$10:$W$20,ZLP2!$AA$10:$AA$20,ZLP2!$AA$10,-1),"FFS")</f>
        <v>FFS</v>
      </c>
      <c r="P1436">
        <f t="shared" si="0"/>
        <v>8.6445000000000007</v>
      </c>
      <c r="Q1436" s="1">
        <v>8.6445000000000007</v>
      </c>
    </row>
    <row r="1437" spans="1:17" ht="15.75" thickBot="1" x14ac:dyDescent="0.3">
      <c r="A1437">
        <v>28156</v>
      </c>
      <c r="B1437" t="s">
        <v>4429</v>
      </c>
      <c r="C1437" t="s">
        <v>4430</v>
      </c>
      <c r="D1437" s="75">
        <v>9.4600000000000009</v>
      </c>
      <c r="E1437">
        <v>24</v>
      </c>
      <c r="F1437" s="54"/>
      <c r="G1437" t="str">
        <f>_xlfn.XLOOKUP(Table1[[#This Row],[part_number]],'ZLP 1'!$B$11:$B$55,'ZLP 1'!$E$11:$E$55,"SPECIAL")</f>
        <v>SPECIAL</v>
      </c>
      <c r="H1437" t="s">
        <v>4832</v>
      </c>
      <c r="I1437" t="str" cm="1">
        <f t="array" ref="I1437:J1437">_xlfn.TEXTSPLIT(H1437,"x")</f>
        <v>13</v>
      </c>
      <c r="J1437" t="str">
        <v>30</v>
      </c>
      <c r="K1437">
        <f t="shared" si="1"/>
        <v>390</v>
      </c>
      <c r="L1437" t="s">
        <v>4903</v>
      </c>
      <c r="M1437" t="str">
        <f>IF(L1437="1",_xlfn.XLOOKUP(K1437,ZLP2!$D$10:$D$20,ZLP2!$H$10:$H$20,ZLP2!$H$10,-1),"FFS")</f>
        <v>FFS</v>
      </c>
      <c r="N1437">
        <f>IF(L1437="2",_xlfn.XLOOKUP(K1437,ZLP2!$N$10:$N$20,ZLP2!$R$10:$R$20,ZLP2!$R$10,-1),"FFS")</f>
        <v>9.4589999999999996</v>
      </c>
      <c r="O1437" t="str">
        <f>IF(L1437="4",_xlfn.XLOOKUP(K1437,ZLP2!$W$10:$W$20,ZLP2!$AA$10:$AA$20,ZLP2!$AA$10,-1),"FFS")</f>
        <v>FFS</v>
      </c>
      <c r="P1437">
        <f t="shared" si="0"/>
        <v>9.4589999999999996</v>
      </c>
      <c r="Q1437" s="1">
        <v>9.4589999999999996</v>
      </c>
    </row>
    <row r="1438" spans="1:17" ht="15.75" thickBot="1" x14ac:dyDescent="0.3">
      <c r="A1438">
        <v>28154</v>
      </c>
      <c r="B1438" t="s">
        <v>137</v>
      </c>
      <c r="C1438" t="s">
        <v>4431</v>
      </c>
      <c r="D1438" s="75">
        <v>4.1719999999999997</v>
      </c>
      <c r="E1438">
        <v>80</v>
      </c>
      <c r="F1438" s="54"/>
      <c r="G1438">
        <f>_xlfn.XLOOKUP(Table1[[#This Row],[part_number]],'ZLP 1'!$B$11:$B$55,'ZLP 1'!$E$11:$E$55,"SPECIAL")</f>
        <v>4.1719999999999997</v>
      </c>
      <c r="H1438" t="s">
        <v>4805</v>
      </c>
      <c r="I1438" t="str" cm="1">
        <f t="array" ref="I1438">_xlfn.TEXTSPLIT(H1438,"x")</f>
        <v>something went wrong or no NA</v>
      </c>
      <c r="K1438" t="e">
        <f t="shared" si="1"/>
        <v>#VALUE!</v>
      </c>
      <c r="L1438" t="s">
        <v>4901</v>
      </c>
      <c r="M1438" t="e">
        <f>IF(L1438="1",_xlfn.XLOOKUP(K1438,ZLP2!$D$10:$D$20,ZLP2!$H$10:$H$20,ZLP2!$H$10,-1),"FFS")</f>
        <v>#VALUE!</v>
      </c>
      <c r="N1438" t="str">
        <f>IF(L1438="2",_xlfn.XLOOKUP(K1438,ZLP2!$N$10:$N$20,ZLP2!$R$10:$R$20,ZLP2!$R$10,-1),"FFS")</f>
        <v>FFS</v>
      </c>
      <c r="O1438" t="str">
        <f>IF(L1438="4",_xlfn.XLOOKUP(K1438,ZLP2!$W$10:$W$20,ZLP2!$AA$10:$AA$20,ZLP2!$AA$10,-1),"FFS")</f>
        <v>FFS</v>
      </c>
      <c r="P1438" t="str">
        <f t="shared" si="0"/>
        <v/>
      </c>
      <c r="Q1438" s="1" t="s">
        <v>4910</v>
      </c>
    </row>
    <row r="1439" spans="1:17" hidden="1" thickBot="1" x14ac:dyDescent="0.3">
      <c r="A1439">
        <v>28158</v>
      </c>
      <c r="B1439" t="s">
        <v>4432</v>
      </c>
      <c r="C1439" t="s">
        <v>3166</v>
      </c>
      <c r="D1439" s="1">
        <v>6.9615</v>
      </c>
      <c r="E1439">
        <v>0</v>
      </c>
      <c r="F1439" s="54"/>
      <c r="G1439" t="str">
        <f>_xlfn.XLOOKUP(Table1[[#This Row],[part_number]],'ZLP 1'!$B$11:$B$55,'ZLP 1'!$E$11:$E$55,"SPECIAL")</f>
        <v>SPECIAL</v>
      </c>
      <c r="H1439" t="s">
        <v>4833</v>
      </c>
      <c r="I1439" t="str" cm="1">
        <f t="array" ref="I1439:J1439">_xlfn.TEXTSPLIT(H1439,"x")</f>
        <v>14</v>
      </c>
      <c r="J1439" t="str">
        <v>16</v>
      </c>
      <c r="K1439">
        <f t="shared" si="1"/>
        <v>224</v>
      </c>
      <c r="L1439" t="s">
        <v>4901</v>
      </c>
      <c r="M1439">
        <f>IF(L1439="1",_xlfn.XLOOKUP(K1439,ZLP2!$D$10:$D$20,ZLP2!$H$10:$H$20,ZLP2!$H$10,-1),"FFS")</f>
        <v>6.9615</v>
      </c>
      <c r="N1439" t="str">
        <f>IF(L1439="2",_xlfn.XLOOKUP(K1439,ZLP2!$N$10:$N$20,ZLP2!$R$10:$R$20,ZLP2!$R$10,-1),"FFS")</f>
        <v>FFS</v>
      </c>
      <c r="O1439" t="str">
        <f>IF(L1439="4",_xlfn.XLOOKUP(K1439,ZLP2!$W$10:$W$20,ZLP2!$AA$10:$AA$20,ZLP2!$AA$10,-1),"FFS")</f>
        <v>FFS</v>
      </c>
      <c r="P1439">
        <f t="shared" si="0"/>
        <v>6.9615</v>
      </c>
      <c r="Q1439" s="1">
        <v>6.9615</v>
      </c>
    </row>
    <row r="1440" spans="1:17" ht="15.75" thickBot="1" x14ac:dyDescent="0.3">
      <c r="A1440">
        <v>28163</v>
      </c>
      <c r="B1440" t="s">
        <v>4433</v>
      </c>
      <c r="C1440" t="s">
        <v>4434</v>
      </c>
      <c r="D1440" s="75">
        <v>7.6274999999999995</v>
      </c>
      <c r="E1440">
        <v>56</v>
      </c>
      <c r="F1440" s="54"/>
      <c r="G1440" t="str">
        <f>_xlfn.XLOOKUP(Table1[[#This Row],[part_number]],'ZLP 1'!$B$11:$B$55,'ZLP 1'!$E$11:$E$55,"SPECIAL")</f>
        <v>SPECIAL</v>
      </c>
      <c r="H1440" t="s">
        <v>4833</v>
      </c>
      <c r="I1440" t="str" cm="1">
        <f t="array" ref="I1440:J1440">_xlfn.TEXTSPLIT(H1440,"x")</f>
        <v>14</v>
      </c>
      <c r="J1440" t="str">
        <v>16</v>
      </c>
      <c r="K1440">
        <f t="shared" si="1"/>
        <v>224</v>
      </c>
      <c r="L1440" t="s">
        <v>4903</v>
      </c>
      <c r="M1440" t="str">
        <f>IF(L1440="1",_xlfn.XLOOKUP(K1440,ZLP2!$D$10:$D$20,ZLP2!$H$10:$H$20,ZLP2!$H$10,-1),"FFS")</f>
        <v>FFS</v>
      </c>
      <c r="N1440">
        <f>IF(L1440="2",_xlfn.XLOOKUP(K1440,ZLP2!$N$10:$N$20,ZLP2!$R$10:$R$20,ZLP2!$R$10,-1),"FFS")</f>
        <v>7.6274999999999995</v>
      </c>
      <c r="O1440" t="str">
        <f>IF(L1440="4",_xlfn.XLOOKUP(K1440,ZLP2!$W$10:$W$20,ZLP2!$AA$10:$AA$20,ZLP2!$AA$10,-1),"FFS")</f>
        <v>FFS</v>
      </c>
      <c r="P1440">
        <f t="shared" si="0"/>
        <v>7.6274999999999995</v>
      </c>
      <c r="Q1440" s="1">
        <v>7.6274999999999995</v>
      </c>
    </row>
    <row r="1441" spans="1:17" ht="15.75" thickBot="1" x14ac:dyDescent="0.3">
      <c r="A1441">
        <v>29268</v>
      </c>
      <c r="B1441" t="s">
        <v>4435</v>
      </c>
      <c r="C1441" t="s">
        <v>4436</v>
      </c>
      <c r="D1441" s="75">
        <v>8.4060000000000006</v>
      </c>
      <c r="E1441">
        <v>104</v>
      </c>
      <c r="F1441" s="54"/>
      <c r="G1441" t="str">
        <f>_xlfn.XLOOKUP(Table1[[#This Row],[part_number]],'ZLP 1'!$B$11:$B$55,'ZLP 1'!$E$11:$E$55,"SPECIAL")</f>
        <v>SPECIAL</v>
      </c>
      <c r="H1441" t="s">
        <v>4834</v>
      </c>
      <c r="I1441" t="str" cm="1">
        <f t="array" ref="I1441:J1441">_xlfn.TEXTSPLIT(H1441,"x")</f>
        <v>14</v>
      </c>
      <c r="J1441" t="str">
        <v>18</v>
      </c>
      <c r="K1441">
        <f t="shared" si="1"/>
        <v>252</v>
      </c>
      <c r="L1441" t="s">
        <v>4903</v>
      </c>
      <c r="M1441" t="str">
        <f>IF(L1441="1",_xlfn.XLOOKUP(K1441,ZLP2!$D$10:$D$20,ZLP2!$H$10:$H$20,ZLP2!$H$10,-1),"FFS")</f>
        <v>FFS</v>
      </c>
      <c r="N1441">
        <f>IF(L1441="2",_xlfn.XLOOKUP(K1441,ZLP2!$N$10:$N$20,ZLP2!$R$10:$R$20,ZLP2!$R$10,-1),"FFS")</f>
        <v>8.4060000000000006</v>
      </c>
      <c r="O1441" t="str">
        <f>IF(L1441="4",_xlfn.XLOOKUP(K1441,ZLP2!$W$10:$W$20,ZLP2!$AA$10:$AA$20,ZLP2!$AA$10,-1),"FFS")</f>
        <v>FFS</v>
      </c>
      <c r="P1441">
        <f t="shared" si="0"/>
        <v>8.4060000000000006</v>
      </c>
      <c r="Q1441" s="1">
        <v>8.4060000000000006</v>
      </c>
    </row>
    <row r="1442" spans="1:17" ht="15.75" thickBot="1" x14ac:dyDescent="0.3">
      <c r="A1442">
        <v>29272</v>
      </c>
      <c r="B1442" t="s">
        <v>4437</v>
      </c>
      <c r="C1442" t="s">
        <v>4438</v>
      </c>
      <c r="D1442" s="75">
        <v>16.906500000000001</v>
      </c>
      <c r="E1442">
        <v>48</v>
      </c>
      <c r="F1442" s="54"/>
      <c r="G1442" t="str">
        <f>_xlfn.XLOOKUP(Table1[[#This Row],[part_number]],'ZLP 1'!$B$11:$B$55,'ZLP 1'!$E$11:$E$55,"SPECIAL")</f>
        <v>SPECIAL</v>
      </c>
      <c r="H1442" t="s">
        <v>4834</v>
      </c>
      <c r="I1442" t="str" cm="1">
        <f t="array" ref="I1442:J1442">_xlfn.TEXTSPLIT(H1442,"x")</f>
        <v>14</v>
      </c>
      <c r="J1442" t="str">
        <v>18</v>
      </c>
      <c r="K1442">
        <f t="shared" si="1"/>
        <v>252</v>
      </c>
      <c r="L1442" t="s">
        <v>4904</v>
      </c>
      <c r="M1442" t="str">
        <f>IF(L1442="1",_xlfn.XLOOKUP(K1442,ZLP2!$D$10:$D$20,ZLP2!$H$10:$H$20,ZLP2!$H$10,-1),"FFS")</f>
        <v>FFS</v>
      </c>
      <c r="N1442" t="str">
        <f>IF(L1442="2",_xlfn.XLOOKUP(K1442,ZLP2!$N$10:$N$20,ZLP2!$R$10:$R$20,ZLP2!$R$10,-1),"FFS")</f>
        <v>FFS</v>
      </c>
      <c r="O1442">
        <f>IF(L1442="4",_xlfn.XLOOKUP(K1442,ZLP2!$W$10:$W$20,ZLP2!$AA$10:$AA$20,ZLP2!$AA$10,-1),"FFS")</f>
        <v>16.906500000000001</v>
      </c>
      <c r="P1442">
        <f t="shared" si="0"/>
        <v>16.906500000000001</v>
      </c>
      <c r="Q1442" s="1">
        <v>16.906500000000001</v>
      </c>
    </row>
    <row r="1443" spans="1:17" ht="15.75" thickBot="1" x14ac:dyDescent="0.3">
      <c r="A1443">
        <v>28161</v>
      </c>
      <c r="B1443" t="s">
        <v>139</v>
      </c>
      <c r="C1443" t="s">
        <v>4439</v>
      </c>
      <c r="D1443" s="75">
        <v>2.9760000000000004</v>
      </c>
      <c r="E1443">
        <v>168</v>
      </c>
      <c r="F1443" s="54"/>
      <c r="G1443">
        <f>_xlfn.XLOOKUP(Table1[[#This Row],[part_number]],'ZLP 1'!$B$11:$B$55,'ZLP 1'!$E$11:$E$55,"SPECIAL")</f>
        <v>2.9760000000000004</v>
      </c>
      <c r="H1443" t="s">
        <v>4805</v>
      </c>
      <c r="I1443" t="str" cm="1">
        <f t="array" ref="I1443">_xlfn.TEXTSPLIT(H1443,"x")</f>
        <v>something went wrong or no NA</v>
      </c>
      <c r="K1443" t="e">
        <f t="shared" si="1"/>
        <v>#VALUE!</v>
      </c>
      <c r="L1443" t="s">
        <v>4901</v>
      </c>
      <c r="M1443" t="e">
        <f>IF(L1443="1",_xlfn.XLOOKUP(K1443,ZLP2!$D$10:$D$20,ZLP2!$H$10:$H$20,ZLP2!$H$10,-1),"FFS")</f>
        <v>#VALUE!</v>
      </c>
      <c r="N1443" t="str">
        <f>IF(L1443="2",_xlfn.XLOOKUP(K1443,ZLP2!$N$10:$N$20,ZLP2!$R$10:$R$20,ZLP2!$R$10,-1),"FFS")</f>
        <v>FFS</v>
      </c>
      <c r="O1443" t="str">
        <f>IF(L1443="4",_xlfn.XLOOKUP(K1443,ZLP2!$W$10:$W$20,ZLP2!$AA$10:$AA$20,ZLP2!$AA$10,-1),"FFS")</f>
        <v>FFS</v>
      </c>
      <c r="P1443" t="str">
        <f t="shared" si="0"/>
        <v/>
      </c>
      <c r="Q1443" s="1" t="s">
        <v>4910</v>
      </c>
    </row>
    <row r="1444" spans="1:17" ht="15.75" thickBot="1" x14ac:dyDescent="0.3">
      <c r="A1444">
        <v>28159</v>
      </c>
      <c r="B1444" t="s">
        <v>128</v>
      </c>
      <c r="C1444" t="s">
        <v>4440</v>
      </c>
      <c r="D1444" s="75">
        <v>3.1312000000000002</v>
      </c>
      <c r="E1444">
        <v>1019</v>
      </c>
      <c r="F1444" s="54"/>
      <c r="G1444" t="str">
        <f>_xlfn.XLOOKUP(Table1[[#This Row],[part_number]],'ZLP 1'!$B$11:$B$55,'ZLP 1'!$E$11:$E$55,"SPECIAL")</f>
        <v>SPECIAL</v>
      </c>
      <c r="H1444" t="s">
        <v>4805</v>
      </c>
      <c r="I1444" t="str" cm="1">
        <f t="array" ref="I1444">_xlfn.TEXTSPLIT(H1444,"x")</f>
        <v>something went wrong or no NA</v>
      </c>
      <c r="K1444" t="e">
        <f t="shared" si="1"/>
        <v>#VALUE!</v>
      </c>
      <c r="L1444" t="s">
        <v>4903</v>
      </c>
      <c r="M1444" t="str">
        <f>IF(L1444="1",_xlfn.XLOOKUP(K1444,ZLP2!$D$10:$D$20,ZLP2!$H$10:$H$20,ZLP2!$H$10,-1),"FFS")</f>
        <v>FFS</v>
      </c>
      <c r="N1444" t="e">
        <f>IF(L1444="2",_xlfn.XLOOKUP(K1444,ZLP2!$N$10:$N$20,ZLP2!$R$10:$R$20,ZLP2!$R$10,-1),"FFS")</f>
        <v>#VALUE!</v>
      </c>
      <c r="O1444" t="str">
        <f>IF(L1444="4",_xlfn.XLOOKUP(K1444,ZLP2!$W$10:$W$20,ZLP2!$AA$10:$AA$20,ZLP2!$AA$10,-1),"FFS")</f>
        <v>FFS</v>
      </c>
      <c r="P1444" t="str">
        <f t="shared" si="0"/>
        <v/>
      </c>
      <c r="Q1444" s="1" t="s">
        <v>4910</v>
      </c>
    </row>
    <row r="1445" spans="1:17" hidden="1" thickBot="1" x14ac:dyDescent="0.3">
      <c r="A1445">
        <v>28160</v>
      </c>
      <c r="B1445" t="s">
        <v>4441</v>
      </c>
      <c r="C1445" t="s">
        <v>4442</v>
      </c>
      <c r="D1445" s="1">
        <v>7.6815000000000007</v>
      </c>
      <c r="E1445">
        <v>0</v>
      </c>
      <c r="F1445" s="54"/>
      <c r="G1445" t="str">
        <f>_xlfn.XLOOKUP(Table1[[#This Row],[part_number]],'ZLP 1'!$B$11:$B$55,'ZLP 1'!$E$11:$E$55,"SPECIAL")</f>
        <v>SPECIAL</v>
      </c>
      <c r="H1445" t="s">
        <v>4835</v>
      </c>
      <c r="I1445" t="str" cm="1">
        <f t="array" ref="I1445:J1445">_xlfn.TEXTSPLIT(H1445,"x")</f>
        <v>14</v>
      </c>
      <c r="J1445" t="str">
        <v>21</v>
      </c>
      <c r="K1445">
        <f t="shared" si="1"/>
        <v>294</v>
      </c>
      <c r="L1445" t="s">
        <v>4901</v>
      </c>
      <c r="M1445">
        <f>IF(L1445="1",_xlfn.XLOOKUP(K1445,ZLP2!$D$10:$D$20,ZLP2!$H$10:$H$20,ZLP2!$H$10,-1),"FFS")</f>
        <v>7.6815000000000007</v>
      </c>
      <c r="N1445" t="str">
        <f>IF(L1445="2",_xlfn.XLOOKUP(K1445,ZLP2!$N$10:$N$20,ZLP2!$R$10:$R$20,ZLP2!$R$10,-1),"FFS")</f>
        <v>FFS</v>
      </c>
      <c r="O1445" t="str">
        <f>IF(L1445="4",_xlfn.XLOOKUP(K1445,ZLP2!$W$10:$W$20,ZLP2!$AA$10:$AA$20,ZLP2!$AA$10,-1),"FFS")</f>
        <v>FFS</v>
      </c>
      <c r="P1445">
        <f t="shared" si="0"/>
        <v>7.6815000000000007</v>
      </c>
      <c r="Q1445" s="1">
        <v>7.6815000000000007</v>
      </c>
    </row>
    <row r="1446" spans="1:17" hidden="1" thickBot="1" x14ac:dyDescent="0.3">
      <c r="A1446">
        <v>28162</v>
      </c>
      <c r="B1446" t="s">
        <v>4443</v>
      </c>
      <c r="C1446" t="s">
        <v>4444</v>
      </c>
      <c r="D1446" s="1">
        <v>8.6445000000000007</v>
      </c>
      <c r="E1446">
        <v>0</v>
      </c>
      <c r="F1446" s="54"/>
      <c r="G1446" t="str">
        <f>_xlfn.XLOOKUP(Table1[[#This Row],[part_number]],'ZLP 1'!$B$11:$B$55,'ZLP 1'!$E$11:$E$55,"SPECIAL")</f>
        <v>SPECIAL</v>
      </c>
      <c r="H1446" t="s">
        <v>4836</v>
      </c>
      <c r="I1446" t="str" cm="1">
        <f t="array" ref="I1446:J1446">_xlfn.TEXTSPLIT(H1446,"x")</f>
        <v>14</v>
      </c>
      <c r="J1446" t="str">
        <v>22</v>
      </c>
      <c r="K1446">
        <f t="shared" si="1"/>
        <v>308</v>
      </c>
      <c r="L1446" t="s">
        <v>4901</v>
      </c>
      <c r="M1446">
        <f>IF(L1446="1",_xlfn.XLOOKUP(K1446,ZLP2!$D$10:$D$20,ZLP2!$H$10:$H$20,ZLP2!$H$10,-1),"FFS")</f>
        <v>8.6445000000000007</v>
      </c>
      <c r="N1446" t="str">
        <f>IF(L1446="2",_xlfn.XLOOKUP(K1446,ZLP2!$N$10:$N$20,ZLP2!$R$10:$R$20,ZLP2!$R$10,-1),"FFS")</f>
        <v>FFS</v>
      </c>
      <c r="O1446" t="str">
        <f>IF(L1446="4",_xlfn.XLOOKUP(K1446,ZLP2!$W$10:$W$20,ZLP2!$AA$10:$AA$20,ZLP2!$AA$10,-1),"FFS")</f>
        <v>FFS</v>
      </c>
      <c r="P1446">
        <f t="shared" si="0"/>
        <v>8.6445000000000007</v>
      </c>
      <c r="Q1446" s="1">
        <v>8.6445000000000007</v>
      </c>
    </row>
    <row r="1447" spans="1:17" ht="15.75" thickBot="1" x14ac:dyDescent="0.3">
      <c r="A1447">
        <v>28164</v>
      </c>
      <c r="B1447" t="s">
        <v>4445</v>
      </c>
      <c r="C1447" t="s">
        <v>4446</v>
      </c>
      <c r="D1447" s="75">
        <v>8.6445000000000007</v>
      </c>
      <c r="E1447">
        <v>36</v>
      </c>
      <c r="F1447" s="54"/>
      <c r="G1447" t="str">
        <f>_xlfn.XLOOKUP(Table1[[#This Row],[part_number]],'ZLP 1'!$B$11:$B$55,'ZLP 1'!$E$11:$E$55,"SPECIAL")</f>
        <v>SPECIAL</v>
      </c>
      <c r="H1447" t="s">
        <v>4837</v>
      </c>
      <c r="I1447" t="str" cm="1">
        <f t="array" ref="I1447:J1447">_xlfn.TEXTSPLIT(H1447,"x")</f>
        <v>14</v>
      </c>
      <c r="J1447" t="str">
        <v>23</v>
      </c>
      <c r="K1447">
        <f t="shared" si="1"/>
        <v>322</v>
      </c>
      <c r="L1447" t="s">
        <v>4901</v>
      </c>
      <c r="M1447">
        <f>IF(L1447="1",_xlfn.XLOOKUP(K1447,ZLP2!$D$10:$D$20,ZLP2!$H$10:$H$20,ZLP2!$H$10,-1),"FFS")</f>
        <v>8.6445000000000007</v>
      </c>
      <c r="N1447" t="str">
        <f>IF(L1447="2",_xlfn.XLOOKUP(K1447,ZLP2!$N$10:$N$20,ZLP2!$R$10:$R$20,ZLP2!$R$10,-1),"FFS")</f>
        <v>FFS</v>
      </c>
      <c r="O1447" t="str">
        <f>IF(L1447="4",_xlfn.XLOOKUP(K1447,ZLP2!$W$10:$W$20,ZLP2!$AA$10:$AA$20,ZLP2!$AA$10,-1),"FFS")</f>
        <v>FFS</v>
      </c>
      <c r="P1447">
        <f t="shared" si="0"/>
        <v>8.6445000000000007</v>
      </c>
      <c r="Q1447" s="1">
        <v>8.6445000000000007</v>
      </c>
    </row>
    <row r="1448" spans="1:17" ht="15.75" thickBot="1" x14ac:dyDescent="0.3">
      <c r="A1448">
        <v>28165</v>
      </c>
      <c r="B1448" t="s">
        <v>141</v>
      </c>
      <c r="C1448" t="s">
        <v>4447</v>
      </c>
      <c r="D1448" s="75">
        <v>4.8479999999999999</v>
      </c>
      <c r="E1448">
        <v>71</v>
      </c>
      <c r="F1448" s="54"/>
      <c r="G1448">
        <f>_xlfn.XLOOKUP(Table1[[#This Row],[part_number]],'ZLP 1'!$B$11:$B$55,'ZLP 1'!$E$11:$E$55,"SPECIAL")</f>
        <v>4.8479999999999999</v>
      </c>
      <c r="H1448" t="s">
        <v>4805</v>
      </c>
      <c r="I1448" t="str" cm="1">
        <f t="array" ref="I1448">_xlfn.TEXTSPLIT(H1448,"x")</f>
        <v>something went wrong or no NA</v>
      </c>
      <c r="K1448" t="e">
        <f t="shared" si="1"/>
        <v>#VALUE!</v>
      </c>
      <c r="L1448" t="s">
        <v>4901</v>
      </c>
      <c r="M1448" t="e">
        <f>IF(L1448="1",_xlfn.XLOOKUP(K1448,ZLP2!$D$10:$D$20,ZLP2!$H$10:$H$20,ZLP2!$H$10,-1),"FFS")</f>
        <v>#VALUE!</v>
      </c>
      <c r="N1448" t="str">
        <f>IF(L1448="2",_xlfn.XLOOKUP(K1448,ZLP2!$N$10:$N$20,ZLP2!$R$10:$R$20,ZLP2!$R$10,-1),"FFS")</f>
        <v>FFS</v>
      </c>
      <c r="O1448" t="str">
        <f>IF(L1448="4",_xlfn.XLOOKUP(K1448,ZLP2!$W$10:$W$20,ZLP2!$AA$10:$AA$20,ZLP2!$AA$10,-1),"FFS")</f>
        <v>FFS</v>
      </c>
      <c r="P1448" t="str">
        <f t="shared" si="0"/>
        <v/>
      </c>
      <c r="Q1448" s="1" t="s">
        <v>4910</v>
      </c>
    </row>
    <row r="1449" spans="1:17" hidden="1" thickBot="1" x14ac:dyDescent="0.3">
      <c r="A1449">
        <v>28166</v>
      </c>
      <c r="B1449" t="s">
        <v>4448</v>
      </c>
      <c r="C1449" t="s">
        <v>4449</v>
      </c>
      <c r="D1449" s="1">
        <v>19.057500000000001</v>
      </c>
      <c r="E1449">
        <v>0</v>
      </c>
      <c r="F1449" s="54"/>
      <c r="G1449" t="str">
        <f>_xlfn.XLOOKUP(Table1[[#This Row],[part_number]],'ZLP 1'!$B$11:$B$55,'ZLP 1'!$E$11:$E$55,"SPECIAL")</f>
        <v>SPECIAL</v>
      </c>
      <c r="H1449" t="s">
        <v>4838</v>
      </c>
      <c r="I1449" t="str" cm="1">
        <f t="array" ref="I1449:J1449">_xlfn.TEXTSPLIT(H1449,"x")</f>
        <v>14</v>
      </c>
      <c r="J1449" t="str">
        <v>24</v>
      </c>
      <c r="K1449">
        <f t="shared" si="1"/>
        <v>336</v>
      </c>
      <c r="L1449" t="s">
        <v>4904</v>
      </c>
      <c r="M1449" t="str">
        <f>IF(L1449="1",_xlfn.XLOOKUP(K1449,ZLP2!$D$10:$D$20,ZLP2!$H$10:$H$20,ZLP2!$H$10,-1),"FFS")</f>
        <v>FFS</v>
      </c>
      <c r="N1449" t="str">
        <f>IF(L1449="2",_xlfn.XLOOKUP(K1449,ZLP2!$N$10:$N$20,ZLP2!$R$10:$R$20,ZLP2!$R$10,-1),"FFS")</f>
        <v>FFS</v>
      </c>
      <c r="O1449">
        <f>IF(L1449="4",_xlfn.XLOOKUP(K1449,ZLP2!$W$10:$W$20,ZLP2!$AA$10:$AA$20,ZLP2!$AA$10,-1),"FFS")</f>
        <v>19.057500000000001</v>
      </c>
      <c r="P1449">
        <f t="shared" si="0"/>
        <v>19.057500000000001</v>
      </c>
      <c r="Q1449" s="1">
        <v>19.057500000000001</v>
      </c>
    </row>
    <row r="1450" spans="1:17" ht="15.75" thickBot="1" x14ac:dyDescent="0.3">
      <c r="A1450">
        <v>28169</v>
      </c>
      <c r="B1450" t="s">
        <v>144</v>
      </c>
      <c r="C1450" t="s">
        <v>4450</v>
      </c>
      <c r="D1450" s="75">
        <v>3.2320000000000002</v>
      </c>
      <c r="E1450">
        <v>95</v>
      </c>
      <c r="F1450" s="54"/>
      <c r="G1450">
        <f>_xlfn.XLOOKUP(Table1[[#This Row],[part_number]],'ZLP 1'!$B$11:$B$55,'ZLP 1'!$E$11:$E$55,"SPECIAL")</f>
        <v>3.2320000000000002</v>
      </c>
      <c r="H1450" t="s">
        <v>4805</v>
      </c>
      <c r="I1450" t="str" cm="1">
        <f t="array" ref="I1450">_xlfn.TEXTSPLIT(H1450,"x")</f>
        <v>something went wrong or no NA</v>
      </c>
      <c r="K1450" t="e">
        <f t="shared" si="1"/>
        <v>#VALUE!</v>
      </c>
      <c r="L1450" t="s">
        <v>4901</v>
      </c>
      <c r="M1450" t="e">
        <f>IF(L1450="1",_xlfn.XLOOKUP(K1450,ZLP2!$D$10:$D$20,ZLP2!$H$10:$H$20,ZLP2!$H$10,-1),"FFS")</f>
        <v>#VALUE!</v>
      </c>
      <c r="N1450" t="str">
        <f>IF(L1450="2",_xlfn.XLOOKUP(K1450,ZLP2!$N$10:$N$20,ZLP2!$R$10:$R$20,ZLP2!$R$10,-1),"FFS")</f>
        <v>FFS</v>
      </c>
      <c r="O1450" t="str">
        <f>IF(L1450="4",_xlfn.XLOOKUP(K1450,ZLP2!$W$10:$W$20,ZLP2!$AA$10:$AA$20,ZLP2!$AA$10,-1),"FFS")</f>
        <v>FFS</v>
      </c>
      <c r="P1450" t="str">
        <f t="shared" si="0"/>
        <v/>
      </c>
      <c r="Q1450" s="1" t="s">
        <v>4910</v>
      </c>
    </row>
    <row r="1451" spans="1:17" ht="15.75" thickBot="1" x14ac:dyDescent="0.3">
      <c r="A1451">
        <v>28167</v>
      </c>
      <c r="B1451" t="s">
        <v>130</v>
      </c>
      <c r="C1451" t="s">
        <v>4451</v>
      </c>
      <c r="D1451" s="75">
        <v>3.4542000000000002</v>
      </c>
      <c r="E1451">
        <v>540</v>
      </c>
      <c r="F1451" s="54"/>
      <c r="G1451" t="str">
        <f>_xlfn.XLOOKUP(Table1[[#This Row],[part_number]],'ZLP 1'!$B$11:$B$55,'ZLP 1'!$E$11:$E$55,"SPECIAL")</f>
        <v>SPECIAL</v>
      </c>
      <c r="H1451" t="s">
        <v>4805</v>
      </c>
      <c r="I1451" t="str" cm="1">
        <f t="array" ref="I1451">_xlfn.TEXTSPLIT(H1451,"x")</f>
        <v>something went wrong or no NA</v>
      </c>
      <c r="K1451" t="e">
        <f t="shared" si="1"/>
        <v>#VALUE!</v>
      </c>
      <c r="L1451" t="s">
        <v>4903</v>
      </c>
      <c r="M1451" t="str">
        <f>IF(L1451="1",_xlfn.XLOOKUP(K1451,ZLP2!$D$10:$D$20,ZLP2!$H$10:$H$20,ZLP2!$H$10,-1),"FFS")</f>
        <v>FFS</v>
      </c>
      <c r="N1451" t="e">
        <f>IF(L1451="2",_xlfn.XLOOKUP(K1451,ZLP2!$N$10:$N$20,ZLP2!$R$10:$R$20,ZLP2!$R$10,-1),"FFS")</f>
        <v>#VALUE!</v>
      </c>
      <c r="O1451" t="str">
        <f>IF(L1451="4",_xlfn.XLOOKUP(K1451,ZLP2!$W$10:$W$20,ZLP2!$AA$10:$AA$20,ZLP2!$AA$10,-1),"FFS")</f>
        <v>FFS</v>
      </c>
      <c r="P1451" t="str">
        <f t="shared" si="0"/>
        <v/>
      </c>
      <c r="Q1451" s="1" t="s">
        <v>4910</v>
      </c>
    </row>
    <row r="1452" spans="1:17" hidden="1" thickBot="1" x14ac:dyDescent="0.3">
      <c r="A1452">
        <v>28170</v>
      </c>
      <c r="B1452" t="s">
        <v>4452</v>
      </c>
      <c r="C1452" t="s">
        <v>4453</v>
      </c>
      <c r="D1452" s="1">
        <v>9.4589999999999996</v>
      </c>
      <c r="E1452">
        <v>0</v>
      </c>
      <c r="F1452" s="54"/>
      <c r="G1452" t="str">
        <f>_xlfn.XLOOKUP(Table1[[#This Row],[part_number]],'ZLP 1'!$B$11:$B$55,'ZLP 1'!$E$11:$E$55,"SPECIAL")</f>
        <v>SPECIAL</v>
      </c>
      <c r="H1452" t="s">
        <v>4839</v>
      </c>
      <c r="I1452" t="str" cm="1">
        <f t="array" ref="I1452:J1452">_xlfn.TEXTSPLIT(H1452,"x")</f>
        <v>14</v>
      </c>
      <c r="J1452" t="str">
        <v>25</v>
      </c>
      <c r="K1452">
        <f t="shared" si="1"/>
        <v>350</v>
      </c>
      <c r="L1452" t="s">
        <v>4903</v>
      </c>
      <c r="M1452" t="str">
        <f>IF(L1452="1",_xlfn.XLOOKUP(K1452,ZLP2!$D$10:$D$20,ZLP2!$H$10:$H$20,ZLP2!$H$10,-1),"FFS")</f>
        <v>FFS</v>
      </c>
      <c r="N1452">
        <f>IF(L1452="2",_xlfn.XLOOKUP(K1452,ZLP2!$N$10:$N$20,ZLP2!$R$10:$R$20,ZLP2!$R$10,-1),"FFS")</f>
        <v>9.4589999999999996</v>
      </c>
      <c r="O1452" t="str">
        <f>IF(L1452="4",_xlfn.XLOOKUP(K1452,ZLP2!$W$10:$W$20,ZLP2!$AA$10:$AA$20,ZLP2!$AA$10,-1),"FFS")</f>
        <v>FFS</v>
      </c>
      <c r="P1452">
        <f t="shared" si="0"/>
        <v>9.4589999999999996</v>
      </c>
      <c r="Q1452" s="1">
        <v>9.4589999999999996</v>
      </c>
    </row>
    <row r="1453" spans="1:17" hidden="1" thickBot="1" x14ac:dyDescent="0.3">
      <c r="A1453">
        <v>28168</v>
      </c>
      <c r="B1453" t="s">
        <v>4454</v>
      </c>
      <c r="C1453" t="s">
        <v>4455</v>
      </c>
      <c r="D1453" s="1">
        <v>8.6445000000000007</v>
      </c>
      <c r="E1453">
        <v>0</v>
      </c>
      <c r="F1453" s="54"/>
      <c r="G1453" t="str">
        <f>_xlfn.XLOOKUP(Table1[[#This Row],[part_number]],'ZLP 1'!$B$11:$B$55,'ZLP 1'!$E$11:$E$55,"SPECIAL")</f>
        <v>SPECIAL</v>
      </c>
      <c r="H1453" t="s">
        <v>4840</v>
      </c>
      <c r="I1453" t="str" cm="1">
        <f t="array" ref="I1453:J1453">_xlfn.TEXTSPLIT(H1453,"x")</f>
        <v>14</v>
      </c>
      <c r="J1453" t="str">
        <v>26</v>
      </c>
      <c r="K1453">
        <f t="shared" si="1"/>
        <v>364</v>
      </c>
      <c r="L1453" t="s">
        <v>4901</v>
      </c>
      <c r="M1453">
        <f>IF(L1453="1",_xlfn.XLOOKUP(K1453,ZLP2!$D$10:$D$20,ZLP2!$H$10:$H$20,ZLP2!$H$10,-1),"FFS")</f>
        <v>8.6445000000000007</v>
      </c>
      <c r="N1453" t="str">
        <f>IF(L1453="2",_xlfn.XLOOKUP(K1453,ZLP2!$N$10:$N$20,ZLP2!$R$10:$R$20,ZLP2!$R$10,-1),"FFS")</f>
        <v>FFS</v>
      </c>
      <c r="O1453" t="str">
        <f>IF(L1453="4",_xlfn.XLOOKUP(K1453,ZLP2!$W$10:$W$20,ZLP2!$AA$10:$AA$20,ZLP2!$AA$10,-1),"FFS")</f>
        <v>FFS</v>
      </c>
      <c r="P1453">
        <f t="shared" si="0"/>
        <v>8.6445000000000007</v>
      </c>
      <c r="Q1453" s="1">
        <v>8.6445000000000007</v>
      </c>
    </row>
    <row r="1454" spans="1:17" ht="15.75" thickBot="1" x14ac:dyDescent="0.3">
      <c r="A1454">
        <v>28172</v>
      </c>
      <c r="B1454" t="s">
        <v>4456</v>
      </c>
      <c r="C1454" t="s">
        <v>4457</v>
      </c>
      <c r="D1454" s="75">
        <v>8.6445000000000007</v>
      </c>
      <c r="E1454">
        <v>12</v>
      </c>
      <c r="F1454" s="54"/>
      <c r="G1454" t="str">
        <f>_xlfn.XLOOKUP(Table1[[#This Row],[part_number]],'ZLP 1'!$B$11:$B$55,'ZLP 1'!$E$11:$E$55,"SPECIAL")</f>
        <v>SPECIAL</v>
      </c>
      <c r="H1454" t="s">
        <v>4841</v>
      </c>
      <c r="I1454" t="str" cm="1">
        <f t="array" ref="I1454:J1454">_xlfn.TEXTSPLIT(H1454,"x")</f>
        <v>14</v>
      </c>
      <c r="J1454" t="str">
        <v>27</v>
      </c>
      <c r="K1454">
        <f t="shared" si="1"/>
        <v>378</v>
      </c>
      <c r="L1454" t="s">
        <v>4901</v>
      </c>
      <c r="M1454">
        <f>IF(L1454="1",_xlfn.XLOOKUP(K1454,ZLP2!$D$10:$D$20,ZLP2!$H$10:$H$20,ZLP2!$H$10,-1),"FFS")</f>
        <v>8.6445000000000007</v>
      </c>
      <c r="N1454" t="str">
        <f>IF(L1454="2",_xlfn.XLOOKUP(K1454,ZLP2!$N$10:$N$20,ZLP2!$R$10:$R$20,ZLP2!$R$10,-1),"FFS")</f>
        <v>FFS</v>
      </c>
      <c r="O1454" t="str">
        <f>IF(L1454="4",_xlfn.XLOOKUP(K1454,ZLP2!$W$10:$W$20,ZLP2!$AA$10:$AA$20,ZLP2!$AA$10,-1),"FFS")</f>
        <v>FFS</v>
      </c>
      <c r="P1454">
        <f t="shared" si="0"/>
        <v>8.6445000000000007</v>
      </c>
      <c r="Q1454" s="1">
        <v>8.6445000000000007</v>
      </c>
    </row>
    <row r="1455" spans="1:17" ht="15.75" thickBot="1" x14ac:dyDescent="0.3">
      <c r="A1455">
        <v>28171</v>
      </c>
      <c r="B1455" t="s">
        <v>147</v>
      </c>
      <c r="C1455" t="s">
        <v>4458</v>
      </c>
      <c r="D1455" s="75">
        <v>6.3079999999999998</v>
      </c>
      <c r="E1455">
        <v>71</v>
      </c>
      <c r="F1455" s="54"/>
      <c r="G1455">
        <f>_xlfn.XLOOKUP(Table1[[#This Row],[part_number]],'ZLP 1'!$B$11:$B$55,'ZLP 1'!$E$11:$E$55,"SPECIAL")</f>
        <v>6.3079999999999998</v>
      </c>
      <c r="H1455" t="s">
        <v>4805</v>
      </c>
      <c r="I1455" t="str" cm="1">
        <f t="array" ref="I1455">_xlfn.TEXTSPLIT(H1455,"x")</f>
        <v>something went wrong or no NA</v>
      </c>
      <c r="K1455" t="e">
        <f t="shared" si="1"/>
        <v>#VALUE!</v>
      </c>
      <c r="L1455" t="s">
        <v>4901</v>
      </c>
      <c r="M1455" t="e">
        <f>IF(L1455="1",_xlfn.XLOOKUP(K1455,ZLP2!$D$10:$D$20,ZLP2!$H$10:$H$20,ZLP2!$H$10,-1),"FFS")</f>
        <v>#VALUE!</v>
      </c>
      <c r="N1455" t="str">
        <f>IF(L1455="2",_xlfn.XLOOKUP(K1455,ZLP2!$N$10:$N$20,ZLP2!$R$10:$R$20,ZLP2!$R$10,-1),"FFS")</f>
        <v>FFS</v>
      </c>
      <c r="O1455" t="str">
        <f>IF(L1455="4",_xlfn.XLOOKUP(K1455,ZLP2!$W$10:$W$20,ZLP2!$AA$10:$AA$20,ZLP2!$AA$10,-1),"FFS")</f>
        <v>FFS</v>
      </c>
      <c r="P1455" t="str">
        <f t="shared" si="0"/>
        <v/>
      </c>
      <c r="Q1455" s="1" t="s">
        <v>4910</v>
      </c>
    </row>
    <row r="1456" spans="1:17" ht="15.75" thickBot="1" x14ac:dyDescent="0.3">
      <c r="A1456">
        <v>28173</v>
      </c>
      <c r="B1456" t="s">
        <v>4459</v>
      </c>
      <c r="C1456" t="s">
        <v>4460</v>
      </c>
      <c r="D1456" s="75">
        <v>10.520999999999999</v>
      </c>
      <c r="E1456">
        <v>79</v>
      </c>
      <c r="F1456" s="54"/>
      <c r="G1456" t="str">
        <f>_xlfn.XLOOKUP(Table1[[#This Row],[part_number]],'ZLP 1'!$B$11:$B$55,'ZLP 1'!$E$11:$E$55,"SPECIAL")</f>
        <v>SPECIAL</v>
      </c>
      <c r="H1456" t="s">
        <v>4842</v>
      </c>
      <c r="I1456" t="str" cm="1">
        <f t="array" ref="I1456:J1456">_xlfn.TEXTSPLIT(H1456,"x")</f>
        <v>14</v>
      </c>
      <c r="J1456" t="str">
        <v>30</v>
      </c>
      <c r="K1456">
        <f t="shared" si="1"/>
        <v>420</v>
      </c>
      <c r="L1456" t="s">
        <v>4903</v>
      </c>
      <c r="M1456" t="str">
        <f>IF(L1456="1",_xlfn.XLOOKUP(K1456,ZLP2!$D$10:$D$20,ZLP2!$H$10:$H$20,ZLP2!$H$10,-1),"FFS")</f>
        <v>FFS</v>
      </c>
      <c r="N1456">
        <f>IF(L1456="2",_xlfn.XLOOKUP(K1456,ZLP2!$N$10:$N$20,ZLP2!$R$10:$R$20,ZLP2!$R$10,-1),"FFS")</f>
        <v>10.520999999999999</v>
      </c>
      <c r="O1456" t="str">
        <f>IF(L1456="4",_xlfn.XLOOKUP(K1456,ZLP2!$W$10:$W$20,ZLP2!$AA$10:$AA$20,ZLP2!$AA$10,-1),"FFS")</f>
        <v>FFS</v>
      </c>
      <c r="P1456">
        <f t="shared" ref="P1456:P1519" si="2">IF(ISNUMBER(M1456),M1456,IF(ISNUMBER(N1456),N1456,IF(ISNUMBER(O1456),O1456, "")))</f>
        <v>10.520999999999999</v>
      </c>
      <c r="Q1456" s="1">
        <v>10.520999999999999</v>
      </c>
    </row>
    <row r="1457" spans="1:17" ht="15.75" thickBot="1" x14ac:dyDescent="0.3">
      <c r="A1457">
        <v>29266</v>
      </c>
      <c r="B1457" t="s">
        <v>4461</v>
      </c>
      <c r="C1457" t="s">
        <v>4462</v>
      </c>
      <c r="D1457" s="75">
        <v>9.6255000000000006</v>
      </c>
      <c r="E1457">
        <v>16</v>
      </c>
      <c r="F1457" s="54"/>
      <c r="G1457" t="str">
        <f>_xlfn.XLOOKUP(Table1[[#This Row],[part_number]],'ZLP 1'!$B$11:$B$55,'ZLP 1'!$E$11:$E$55,"SPECIAL")</f>
        <v>SPECIAL</v>
      </c>
      <c r="I1457">
        <v>14.5</v>
      </c>
      <c r="J1457">
        <v>30.5</v>
      </c>
      <c r="K1457">
        <f t="shared" si="1"/>
        <v>442.25</v>
      </c>
      <c r="L1457" t="s">
        <v>4901</v>
      </c>
      <c r="M1457">
        <f>IF(L1457="1",_xlfn.XLOOKUP(K1457,ZLP2!$D$10:$D$20,ZLP2!$H$10:$H$20,ZLP2!$H$10,-1),"FFS")</f>
        <v>9.6255000000000006</v>
      </c>
      <c r="N1457" t="str">
        <f>IF(L1457="2",_xlfn.XLOOKUP(K1457,ZLP2!$N$10:$N$20,ZLP2!$R$10:$R$20,ZLP2!$R$10,-1),"FFS")</f>
        <v>FFS</v>
      </c>
      <c r="O1457" t="str">
        <f>IF(L1457="4",_xlfn.XLOOKUP(K1457,ZLP2!$W$10:$W$20,ZLP2!$AA$10:$AA$20,ZLP2!$AA$10,-1),"FFS")</f>
        <v>FFS</v>
      </c>
      <c r="P1457">
        <f t="shared" si="2"/>
        <v>9.6255000000000006</v>
      </c>
      <c r="Q1457" s="1" t="s">
        <v>4910</v>
      </c>
    </row>
    <row r="1458" spans="1:17" ht="15.75" thickBot="1" x14ac:dyDescent="0.3">
      <c r="A1458">
        <v>28174</v>
      </c>
      <c r="B1458" t="s">
        <v>4463</v>
      </c>
      <c r="C1458" t="s">
        <v>4464</v>
      </c>
      <c r="D1458" s="75">
        <v>11.124000000000001</v>
      </c>
      <c r="E1458">
        <v>11</v>
      </c>
      <c r="F1458" s="54"/>
      <c r="G1458" t="str">
        <f>_xlfn.XLOOKUP(Table1[[#This Row],[part_number]],'ZLP 1'!$B$11:$B$55,'ZLP 1'!$E$11:$E$55,"SPECIAL")</f>
        <v>SPECIAL</v>
      </c>
      <c r="H1458" t="s">
        <v>4843</v>
      </c>
      <c r="I1458" t="str" cm="1">
        <f t="array" ref="I1458:J1458">_xlfn.TEXTSPLIT(H1458,"x")</f>
        <v>14</v>
      </c>
      <c r="J1458" t="str">
        <v>46</v>
      </c>
      <c r="K1458">
        <f t="shared" ref="K1458:K1520" si="3">I1458*J1458</f>
        <v>644</v>
      </c>
      <c r="L1458" t="s">
        <v>4901</v>
      </c>
      <c r="M1458">
        <f>IF(L1458="1",_xlfn.XLOOKUP(K1458,ZLP2!$D$10:$D$20,ZLP2!$H$10:$H$20,ZLP2!$H$10,-1),"FFS")</f>
        <v>11.124000000000001</v>
      </c>
      <c r="N1458" t="str">
        <f>IF(L1458="2",_xlfn.XLOOKUP(K1458,ZLP2!$N$10:$N$20,ZLP2!$R$10:$R$20,ZLP2!$R$10,-1),"FFS")</f>
        <v>FFS</v>
      </c>
      <c r="O1458" t="str">
        <f>IF(L1458="4",_xlfn.XLOOKUP(K1458,ZLP2!$W$10:$W$20,ZLP2!$AA$10:$AA$20,ZLP2!$AA$10,-1),"FFS")</f>
        <v>FFS</v>
      </c>
      <c r="P1458">
        <f t="shared" si="2"/>
        <v>11.124000000000001</v>
      </c>
      <c r="Q1458" s="1">
        <v>11.124000000000001</v>
      </c>
    </row>
    <row r="1459" spans="1:17" hidden="1" thickBot="1" x14ac:dyDescent="0.3">
      <c r="A1459">
        <v>28175</v>
      </c>
      <c r="B1459" t="s">
        <v>4465</v>
      </c>
      <c r="C1459" t="s">
        <v>4466</v>
      </c>
      <c r="D1459" s="1">
        <v>7.6274999999999995</v>
      </c>
      <c r="E1459">
        <v>0</v>
      </c>
      <c r="F1459" s="54"/>
      <c r="G1459" t="str">
        <f>_xlfn.XLOOKUP(Table1[[#This Row],[part_number]],'ZLP 1'!$B$11:$B$55,'ZLP 1'!$E$11:$E$55,"SPECIAL")</f>
        <v>SPECIAL</v>
      </c>
      <c r="H1459">
        <v>15.5</v>
      </c>
      <c r="I1459">
        <v>15.5</v>
      </c>
      <c r="J1459">
        <v>15.5</v>
      </c>
      <c r="K1459">
        <f t="shared" si="3"/>
        <v>240.25</v>
      </c>
      <c r="L1459" t="s">
        <v>4903</v>
      </c>
      <c r="M1459" t="str">
        <f>IF(L1459="1",_xlfn.XLOOKUP(K1459,ZLP2!$D$10:$D$20,ZLP2!$H$10:$H$20,ZLP2!$H$10,-1),"FFS")</f>
        <v>FFS</v>
      </c>
      <c r="N1459">
        <f>IF(L1459="2",_xlfn.XLOOKUP(K1459,ZLP2!$N$10:$N$20,ZLP2!$R$10:$R$20,ZLP2!$R$10,-1),"FFS")</f>
        <v>7.6274999999999995</v>
      </c>
      <c r="O1459" t="str">
        <f>IF(L1459="4",_xlfn.XLOOKUP(K1459,ZLP2!$W$10:$W$20,ZLP2!$AA$10:$AA$20,ZLP2!$AA$10,-1),"FFS")</f>
        <v>FFS</v>
      </c>
      <c r="P1459">
        <f t="shared" si="2"/>
        <v>7.6274999999999995</v>
      </c>
      <c r="Q1459" s="1" t="s">
        <v>4910</v>
      </c>
    </row>
    <row r="1460" spans="1:17" ht="15.75" thickBot="1" x14ac:dyDescent="0.3">
      <c r="A1460">
        <v>28178</v>
      </c>
      <c r="B1460" t="s">
        <v>4467</v>
      </c>
      <c r="C1460" t="s">
        <v>4468</v>
      </c>
      <c r="D1460" s="75">
        <v>11.3</v>
      </c>
      <c r="E1460">
        <v>242</v>
      </c>
      <c r="F1460" s="54"/>
      <c r="G1460" t="str">
        <f>_xlfn.XLOOKUP(Table1[[#This Row],[part_number]],'ZLP 1'!$B$11:$B$55,'ZLP 1'!$E$11:$E$55,"SPECIAL")</f>
        <v>SPECIAL</v>
      </c>
      <c r="H1460" t="s">
        <v>4844</v>
      </c>
      <c r="I1460" t="str" cm="1">
        <f t="array" ref="I1460">_xlfn.TEXTSPLIT(H1460,"x")</f>
        <v>15 3/</v>
      </c>
      <c r="K1460" t="e">
        <f t="shared" si="3"/>
        <v>#VALUE!</v>
      </c>
      <c r="L1460" t="s">
        <v>4902</v>
      </c>
      <c r="M1460" t="str">
        <f>IF(L1460="1",_xlfn.XLOOKUP(K1460,ZLP2!$D$10:$D$20,ZLP2!$H$10:$H$20,ZLP2!$H$10,-1),"FFS")</f>
        <v>FFS</v>
      </c>
      <c r="N1460" t="str">
        <f>IF(L1460="2",_xlfn.XLOOKUP(K1460,ZLP2!$N$10:$N$20,ZLP2!$R$10:$R$20,ZLP2!$R$10,-1),"FFS")</f>
        <v>FFS</v>
      </c>
      <c r="O1460" t="str">
        <f>IF(L1460="4",_xlfn.XLOOKUP(K1460,ZLP2!$W$10:$W$20,ZLP2!$AA$10:$AA$20,ZLP2!$AA$10,-1),"FFS")</f>
        <v>FFS</v>
      </c>
      <c r="P1460" t="str">
        <f t="shared" si="2"/>
        <v/>
      </c>
      <c r="Q1460" s="1" t="s">
        <v>4910</v>
      </c>
    </row>
    <row r="1461" spans="1:17" ht="15.75" thickBot="1" x14ac:dyDescent="0.3">
      <c r="A1461">
        <v>29262</v>
      </c>
      <c r="B1461" t="s">
        <v>4469</v>
      </c>
      <c r="C1461" t="s">
        <v>4470</v>
      </c>
      <c r="D1461" s="75">
        <v>6.9615</v>
      </c>
      <c r="E1461">
        <v>144</v>
      </c>
      <c r="F1461" s="54"/>
      <c r="G1461" t="str">
        <f>_xlfn.XLOOKUP(Table1[[#This Row],[part_number]],'ZLP 1'!$B$11:$B$55,'ZLP 1'!$E$11:$E$55,"SPECIAL")</f>
        <v>SPECIAL</v>
      </c>
      <c r="H1461" t="s">
        <v>4845</v>
      </c>
      <c r="I1461" t="str" cm="1">
        <f t="array" ref="I1461:J1461">_xlfn.TEXTSPLIT(H1461,"x")</f>
        <v>15</v>
      </c>
      <c r="J1461" t="str">
        <v>15</v>
      </c>
      <c r="K1461">
        <f t="shared" si="3"/>
        <v>225</v>
      </c>
      <c r="L1461" t="s">
        <v>4901</v>
      </c>
      <c r="M1461">
        <f>IF(L1461="1",_xlfn.XLOOKUP(K1461,ZLP2!$D$10:$D$20,ZLP2!$H$10:$H$20,ZLP2!$H$10,-1),"FFS")</f>
        <v>6.9615</v>
      </c>
      <c r="N1461" t="str">
        <f>IF(L1461="2",_xlfn.XLOOKUP(K1461,ZLP2!$N$10:$N$20,ZLP2!$R$10:$R$20,ZLP2!$R$10,-1),"FFS")</f>
        <v>FFS</v>
      </c>
      <c r="O1461" t="str">
        <f>IF(L1461="4",_xlfn.XLOOKUP(K1461,ZLP2!$W$10:$W$20,ZLP2!$AA$10:$AA$20,ZLP2!$AA$10,-1),"FFS")</f>
        <v>FFS</v>
      </c>
      <c r="P1461">
        <f t="shared" si="2"/>
        <v>6.9615</v>
      </c>
      <c r="Q1461" s="1">
        <v>6.9615</v>
      </c>
    </row>
    <row r="1462" spans="1:17" hidden="1" thickBot="1" x14ac:dyDescent="0.3">
      <c r="A1462">
        <v>28177</v>
      </c>
      <c r="B1462" t="s">
        <v>4471</v>
      </c>
      <c r="C1462" t="s">
        <v>4472</v>
      </c>
      <c r="D1462" s="1">
        <v>7.63</v>
      </c>
      <c r="E1462">
        <v>0</v>
      </c>
      <c r="F1462" s="54"/>
      <c r="G1462" t="str">
        <f>_xlfn.XLOOKUP(Table1[[#This Row],[part_number]],'ZLP 1'!$B$11:$B$55,'ZLP 1'!$E$11:$E$55,"SPECIAL")</f>
        <v>SPECIAL</v>
      </c>
      <c r="H1462" t="s">
        <v>4846</v>
      </c>
      <c r="I1462" t="str" cm="1">
        <f t="array" ref="I1462:J1462">_xlfn.TEXTSPLIT(H1462,"x")</f>
        <v xml:space="preserve">15  </v>
      </c>
      <c r="J1462" t="str">
        <v/>
      </c>
      <c r="K1462" t="e">
        <f t="shared" si="3"/>
        <v>#VALUE!</v>
      </c>
      <c r="L1462" t="s">
        <v>4902</v>
      </c>
      <c r="M1462" t="str">
        <f>IF(L1462="1",_xlfn.XLOOKUP(K1462,ZLP2!$D$10:$D$20,ZLP2!$H$10:$H$20,ZLP2!$H$10,-1),"FFS")</f>
        <v>FFS</v>
      </c>
      <c r="N1462" t="str">
        <f>IF(L1462="2",_xlfn.XLOOKUP(K1462,ZLP2!$N$10:$N$20,ZLP2!$R$10:$R$20,ZLP2!$R$10,-1),"FFS")</f>
        <v>FFS</v>
      </c>
      <c r="O1462" t="str">
        <f>IF(L1462="4",_xlfn.XLOOKUP(K1462,ZLP2!$W$10:$W$20,ZLP2!$AA$10:$AA$20,ZLP2!$AA$10,-1),"FFS")</f>
        <v>FFS</v>
      </c>
      <c r="P1462" t="str">
        <f t="shared" si="2"/>
        <v/>
      </c>
      <c r="Q1462" s="1" t="s">
        <v>4910</v>
      </c>
    </row>
    <row r="1463" spans="1:17" hidden="1" thickBot="1" x14ac:dyDescent="0.3">
      <c r="A1463">
        <v>28180</v>
      </c>
      <c r="B1463" t="s">
        <v>4473</v>
      </c>
      <c r="C1463" t="s">
        <v>4474</v>
      </c>
      <c r="D1463" s="1">
        <v>15.34</v>
      </c>
      <c r="E1463">
        <v>0</v>
      </c>
      <c r="F1463" s="54"/>
      <c r="G1463" t="str">
        <f>_xlfn.XLOOKUP(Table1[[#This Row],[part_number]],'ZLP 1'!$B$11:$B$55,'ZLP 1'!$E$11:$E$55,"SPECIAL")</f>
        <v>SPECIAL</v>
      </c>
      <c r="H1463" t="s">
        <v>4847</v>
      </c>
      <c r="I1463" t="str" cm="1">
        <f t="array" ref="I1463:J1463">_xlfn.TEXTSPLIT(H1463,"x")</f>
        <v xml:space="preserve">15 </v>
      </c>
      <c r="J1463" t="str">
        <v xml:space="preserve"> </v>
      </c>
      <c r="K1463" t="e">
        <f t="shared" si="3"/>
        <v>#VALUE!</v>
      </c>
      <c r="L1463" t="s">
        <v>4902</v>
      </c>
      <c r="M1463" t="str">
        <f>IF(L1463="1",_xlfn.XLOOKUP(K1463,ZLP2!$D$10:$D$20,ZLP2!$H$10:$H$20,ZLP2!$H$10,-1),"FFS")</f>
        <v>FFS</v>
      </c>
      <c r="N1463" t="str">
        <f>IF(L1463="2",_xlfn.XLOOKUP(K1463,ZLP2!$N$10:$N$20,ZLP2!$R$10:$R$20,ZLP2!$R$10,-1),"FFS")</f>
        <v>FFS</v>
      </c>
      <c r="O1463" t="str">
        <f>IF(L1463="4",_xlfn.XLOOKUP(K1463,ZLP2!$W$10:$W$20,ZLP2!$AA$10:$AA$20,ZLP2!$AA$10,-1),"FFS")</f>
        <v>FFS</v>
      </c>
      <c r="P1463" t="str">
        <f t="shared" si="2"/>
        <v/>
      </c>
      <c r="Q1463" s="1" t="s">
        <v>4910</v>
      </c>
    </row>
    <row r="1464" spans="1:17" ht="15.75" thickBot="1" x14ac:dyDescent="0.3">
      <c r="A1464">
        <v>28179</v>
      </c>
      <c r="B1464" t="s">
        <v>149</v>
      </c>
      <c r="C1464" t="s">
        <v>4475</v>
      </c>
      <c r="D1464" s="75">
        <v>3.008</v>
      </c>
      <c r="E1464">
        <v>216</v>
      </c>
      <c r="F1464" s="54"/>
      <c r="G1464">
        <f>_xlfn.XLOOKUP(Table1[[#This Row],[part_number]],'ZLP 1'!$B$11:$B$55,'ZLP 1'!$E$11:$E$55,"SPECIAL")</f>
        <v>3.008</v>
      </c>
      <c r="H1464" t="s">
        <v>4805</v>
      </c>
      <c r="I1464" t="str" cm="1">
        <f t="array" ref="I1464">_xlfn.TEXTSPLIT(H1464,"x")</f>
        <v>something went wrong or no NA</v>
      </c>
      <c r="K1464" t="e">
        <f t="shared" si="3"/>
        <v>#VALUE!</v>
      </c>
      <c r="L1464" t="s">
        <v>4901</v>
      </c>
      <c r="M1464" t="e">
        <f>IF(L1464="1",_xlfn.XLOOKUP(K1464,ZLP2!$D$10:$D$20,ZLP2!$H$10:$H$20,ZLP2!$H$10,-1),"FFS")</f>
        <v>#VALUE!</v>
      </c>
      <c r="N1464" t="str">
        <f>IF(L1464="2",_xlfn.XLOOKUP(K1464,ZLP2!$N$10:$N$20,ZLP2!$R$10:$R$20,ZLP2!$R$10,-1),"FFS")</f>
        <v>FFS</v>
      </c>
      <c r="O1464" t="str">
        <f>IF(L1464="4",_xlfn.XLOOKUP(K1464,ZLP2!$W$10:$W$20,ZLP2!$AA$10:$AA$20,ZLP2!$AA$10,-1),"FFS")</f>
        <v>FFS</v>
      </c>
      <c r="P1464" t="str">
        <f t="shared" si="2"/>
        <v/>
      </c>
      <c r="Q1464" s="1" t="s">
        <v>4910</v>
      </c>
    </row>
    <row r="1465" spans="1:17" ht="15.75" thickBot="1" x14ac:dyDescent="0.3">
      <c r="A1465">
        <v>28176</v>
      </c>
      <c r="B1465" t="s">
        <v>132</v>
      </c>
      <c r="C1465" t="s">
        <v>4476</v>
      </c>
      <c r="D1465" s="75">
        <v>3.1312000000000002</v>
      </c>
      <c r="E1465">
        <v>606</v>
      </c>
      <c r="F1465" s="54"/>
      <c r="G1465" t="str">
        <f>_xlfn.XLOOKUP(Table1[[#This Row],[part_number]],'ZLP 1'!$B$11:$B$55,'ZLP 1'!$E$11:$E$55,"SPECIAL")</f>
        <v>SPECIAL</v>
      </c>
      <c r="H1465" t="s">
        <v>4805</v>
      </c>
      <c r="I1465" t="str" cm="1">
        <f t="array" ref="I1465">_xlfn.TEXTSPLIT(H1465,"x")</f>
        <v>something went wrong or no NA</v>
      </c>
      <c r="K1465" t="e">
        <f t="shared" si="3"/>
        <v>#VALUE!</v>
      </c>
      <c r="L1465" t="s">
        <v>4903</v>
      </c>
      <c r="M1465" t="str">
        <f>IF(L1465="1",_xlfn.XLOOKUP(K1465,ZLP2!$D$10:$D$20,ZLP2!$H$10:$H$20,ZLP2!$H$10,-1),"FFS")</f>
        <v>FFS</v>
      </c>
      <c r="N1465" t="e">
        <f>IF(L1465="2",_xlfn.XLOOKUP(K1465,ZLP2!$N$10:$N$20,ZLP2!$R$10:$R$20,ZLP2!$R$10,-1),"FFS")</f>
        <v>#VALUE!</v>
      </c>
      <c r="O1465" t="str">
        <f>IF(L1465="4",_xlfn.XLOOKUP(K1465,ZLP2!$W$10:$W$20,ZLP2!$AA$10:$AA$20,ZLP2!$AA$10,-1),"FFS")</f>
        <v>FFS</v>
      </c>
      <c r="P1465" t="str">
        <f t="shared" si="2"/>
        <v/>
      </c>
      <c r="Q1465" s="1" t="s">
        <v>4910</v>
      </c>
    </row>
    <row r="1466" spans="1:17" hidden="1" thickBot="1" x14ac:dyDescent="0.3">
      <c r="A1466">
        <v>28181</v>
      </c>
      <c r="B1466" t="s">
        <v>4477</v>
      </c>
      <c r="C1466" t="s">
        <v>4478</v>
      </c>
      <c r="D1466" s="1">
        <v>9.4589999999999996</v>
      </c>
      <c r="E1466">
        <v>0</v>
      </c>
      <c r="F1466" s="54"/>
      <c r="G1466" t="str">
        <f>_xlfn.XLOOKUP(Table1[[#This Row],[part_number]],'ZLP 1'!$B$11:$B$55,'ZLP 1'!$E$11:$E$55,"SPECIAL")</f>
        <v>SPECIAL</v>
      </c>
      <c r="H1466" t="s">
        <v>4848</v>
      </c>
      <c r="I1466" t="str" cm="1">
        <f t="array" ref="I1466:J1466">_xlfn.TEXTSPLIT(H1466,"x")</f>
        <v>15</v>
      </c>
      <c r="J1466" t="str">
        <v>23</v>
      </c>
      <c r="K1466">
        <f t="shared" si="3"/>
        <v>345</v>
      </c>
      <c r="L1466" t="s">
        <v>4903</v>
      </c>
      <c r="M1466" t="str">
        <f>IF(L1466="1",_xlfn.XLOOKUP(K1466,ZLP2!$D$10:$D$20,ZLP2!$H$10:$H$20,ZLP2!$H$10,-1),"FFS")</f>
        <v>FFS</v>
      </c>
      <c r="N1466">
        <f>IF(L1466="2",_xlfn.XLOOKUP(K1466,ZLP2!$N$10:$N$20,ZLP2!$R$10:$R$20,ZLP2!$R$10,-1),"FFS")</f>
        <v>9.4589999999999996</v>
      </c>
      <c r="O1466" t="str">
        <f>IF(L1466="4",_xlfn.XLOOKUP(K1466,ZLP2!$W$10:$W$20,ZLP2!$AA$10:$AA$20,ZLP2!$AA$10,-1),"FFS")</f>
        <v>FFS</v>
      </c>
      <c r="P1466">
        <f t="shared" si="2"/>
        <v>9.4589999999999996</v>
      </c>
      <c r="Q1466" s="1">
        <v>9.4589999999999996</v>
      </c>
    </row>
    <row r="1467" spans="1:17" ht="15.75" thickBot="1" x14ac:dyDescent="0.3">
      <c r="A1467">
        <v>28184</v>
      </c>
      <c r="B1467" t="s">
        <v>4479</v>
      </c>
      <c r="C1467" t="s">
        <v>4480</v>
      </c>
      <c r="D1467" s="75">
        <v>8.6445000000000007</v>
      </c>
      <c r="E1467">
        <v>12</v>
      </c>
      <c r="F1467" s="54"/>
      <c r="G1467" t="str">
        <f>_xlfn.XLOOKUP(Table1[[#This Row],[part_number]],'ZLP 1'!$B$11:$B$55,'ZLP 1'!$E$11:$E$55,"SPECIAL")</f>
        <v>SPECIAL</v>
      </c>
      <c r="H1467" t="s">
        <v>4849</v>
      </c>
      <c r="I1467" t="str" cm="1">
        <f t="array" ref="I1467:J1467">_xlfn.TEXTSPLIT(H1467,"x")</f>
        <v>15</v>
      </c>
      <c r="J1467" t="str">
        <v>25</v>
      </c>
      <c r="K1467">
        <f t="shared" si="3"/>
        <v>375</v>
      </c>
      <c r="L1467" t="s">
        <v>4901</v>
      </c>
      <c r="M1467">
        <f>IF(L1467="1",_xlfn.XLOOKUP(K1467,ZLP2!$D$10:$D$20,ZLP2!$H$10:$H$20,ZLP2!$H$10,-1),"FFS")</f>
        <v>8.6445000000000007</v>
      </c>
      <c r="N1467" t="str">
        <f>IF(L1467="2",_xlfn.XLOOKUP(K1467,ZLP2!$N$10:$N$20,ZLP2!$R$10:$R$20,ZLP2!$R$10,-1),"FFS")</f>
        <v>FFS</v>
      </c>
      <c r="O1467" t="str">
        <f>IF(L1467="4",_xlfn.XLOOKUP(K1467,ZLP2!$W$10:$W$20,ZLP2!$AA$10:$AA$20,ZLP2!$AA$10,-1),"FFS")</f>
        <v>FFS</v>
      </c>
      <c r="P1467">
        <f t="shared" si="2"/>
        <v>8.6445000000000007</v>
      </c>
      <c r="Q1467" s="1">
        <v>8.6445000000000007</v>
      </c>
    </row>
    <row r="1468" spans="1:17" ht="15.75" thickBot="1" x14ac:dyDescent="0.3">
      <c r="A1468">
        <v>28182</v>
      </c>
      <c r="B1468" t="s">
        <v>4481</v>
      </c>
      <c r="C1468" t="s">
        <v>4482</v>
      </c>
      <c r="D1468" s="75">
        <v>9.4589999999999996</v>
      </c>
      <c r="E1468">
        <v>24</v>
      </c>
      <c r="F1468" s="54"/>
      <c r="G1468" t="str">
        <f>_xlfn.XLOOKUP(Table1[[#This Row],[part_number]],'ZLP 1'!$B$11:$B$55,'ZLP 1'!$E$11:$E$55,"SPECIAL")</f>
        <v>SPECIAL</v>
      </c>
      <c r="H1468" t="s">
        <v>4849</v>
      </c>
      <c r="I1468" t="str" cm="1">
        <f t="array" ref="I1468:J1468">_xlfn.TEXTSPLIT(H1468,"x")</f>
        <v>15</v>
      </c>
      <c r="J1468" t="str">
        <v>25</v>
      </c>
      <c r="K1468">
        <f t="shared" si="3"/>
        <v>375</v>
      </c>
      <c r="L1468" t="s">
        <v>4903</v>
      </c>
      <c r="M1468" t="str">
        <f>IF(L1468="1",_xlfn.XLOOKUP(K1468,ZLP2!$D$10:$D$20,ZLP2!$H$10:$H$20,ZLP2!$H$10,-1),"FFS")</f>
        <v>FFS</v>
      </c>
      <c r="N1468">
        <f>IF(L1468="2",_xlfn.XLOOKUP(K1468,ZLP2!$N$10:$N$20,ZLP2!$R$10:$R$20,ZLP2!$R$10,-1),"FFS")</f>
        <v>9.4589999999999996</v>
      </c>
      <c r="O1468" t="str">
        <f>IF(L1468="4",_xlfn.XLOOKUP(K1468,ZLP2!$W$10:$W$20,ZLP2!$AA$10:$AA$20,ZLP2!$AA$10,-1),"FFS")</f>
        <v>FFS</v>
      </c>
      <c r="P1468">
        <f t="shared" si="2"/>
        <v>9.4589999999999996</v>
      </c>
      <c r="Q1468" s="1">
        <v>9.4589999999999996</v>
      </c>
    </row>
    <row r="1469" spans="1:17" ht="15.75" thickBot="1" x14ac:dyDescent="0.3">
      <c r="A1469">
        <v>29271</v>
      </c>
      <c r="B1469" t="s">
        <v>4483</v>
      </c>
      <c r="C1469" t="s">
        <v>4484</v>
      </c>
      <c r="D1469" s="75">
        <v>9.6300000000000008</v>
      </c>
      <c r="E1469">
        <v>35</v>
      </c>
      <c r="F1469" s="54"/>
      <c r="G1469" t="str">
        <f>_xlfn.XLOOKUP(Table1[[#This Row],[part_number]],'ZLP 1'!$B$11:$B$55,'ZLP 1'!$E$11:$E$55,"SPECIAL")</f>
        <v>SPECIAL</v>
      </c>
      <c r="H1469" t="s">
        <v>4847</v>
      </c>
      <c r="I1469" t="str" cm="1">
        <f t="array" ref="I1469:J1469">_xlfn.TEXTSPLIT(H1469,"x")</f>
        <v xml:space="preserve">15 </v>
      </c>
      <c r="J1469" t="str">
        <v xml:space="preserve"> </v>
      </c>
      <c r="K1469" t="e">
        <f t="shared" si="3"/>
        <v>#VALUE!</v>
      </c>
      <c r="L1469" t="s">
        <v>4902</v>
      </c>
      <c r="M1469" t="str">
        <f>IF(L1469="1",_xlfn.XLOOKUP(K1469,ZLP2!$D$10:$D$20,ZLP2!$H$10:$H$20,ZLP2!$H$10,-1),"FFS")</f>
        <v>FFS</v>
      </c>
      <c r="N1469" t="str">
        <f>IF(L1469="2",_xlfn.XLOOKUP(K1469,ZLP2!$N$10:$N$20,ZLP2!$R$10:$R$20,ZLP2!$R$10,-1),"FFS")</f>
        <v>FFS</v>
      </c>
      <c r="O1469" t="str">
        <f>IF(L1469="4",_xlfn.XLOOKUP(K1469,ZLP2!$W$10:$W$20,ZLP2!$AA$10:$AA$20,ZLP2!$AA$10,-1),"FFS")</f>
        <v>FFS</v>
      </c>
      <c r="P1469" t="str">
        <f t="shared" si="2"/>
        <v/>
      </c>
      <c r="Q1469" s="1" t="s">
        <v>4910</v>
      </c>
    </row>
    <row r="1470" spans="1:17" ht="15.75" thickBot="1" x14ac:dyDescent="0.3">
      <c r="A1470">
        <v>29263</v>
      </c>
      <c r="B1470" t="s">
        <v>4485</v>
      </c>
      <c r="C1470" t="s">
        <v>4486</v>
      </c>
      <c r="D1470" s="75">
        <v>9.6300000000000008</v>
      </c>
      <c r="E1470">
        <v>12</v>
      </c>
      <c r="F1470" s="54"/>
      <c r="G1470" t="str">
        <f>_xlfn.XLOOKUP(Table1[[#This Row],[part_number]],'ZLP 1'!$B$11:$B$55,'ZLP 1'!$E$11:$E$55,"SPECIAL")</f>
        <v>SPECIAL</v>
      </c>
      <c r="H1470" t="s">
        <v>4847</v>
      </c>
      <c r="I1470" t="str" cm="1">
        <f t="array" ref="I1470:J1470">_xlfn.TEXTSPLIT(H1470,"x")</f>
        <v xml:space="preserve">15 </v>
      </c>
      <c r="J1470" t="str">
        <v xml:space="preserve"> </v>
      </c>
      <c r="K1470" t="e">
        <f t="shared" si="3"/>
        <v>#VALUE!</v>
      </c>
      <c r="L1470" t="s">
        <v>4902</v>
      </c>
      <c r="M1470" t="str">
        <f>IF(L1470="1",_xlfn.XLOOKUP(K1470,ZLP2!$D$10:$D$20,ZLP2!$H$10:$H$20,ZLP2!$H$10,-1),"FFS")</f>
        <v>FFS</v>
      </c>
      <c r="N1470" t="str">
        <f>IF(L1470="2",_xlfn.XLOOKUP(K1470,ZLP2!$N$10:$N$20,ZLP2!$R$10:$R$20,ZLP2!$R$10,-1),"FFS")</f>
        <v>FFS</v>
      </c>
      <c r="O1470" t="str">
        <f>IF(L1470="4",_xlfn.XLOOKUP(K1470,ZLP2!$W$10:$W$20,ZLP2!$AA$10:$AA$20,ZLP2!$AA$10,-1),"FFS")</f>
        <v>FFS</v>
      </c>
      <c r="P1470" t="str">
        <f t="shared" si="2"/>
        <v/>
      </c>
      <c r="Q1470" s="1" t="s">
        <v>4910</v>
      </c>
    </row>
    <row r="1471" spans="1:17" ht="15.75" thickBot="1" x14ac:dyDescent="0.3">
      <c r="A1471">
        <v>28183</v>
      </c>
      <c r="B1471" t="s">
        <v>4487</v>
      </c>
      <c r="C1471" t="s">
        <v>4488</v>
      </c>
      <c r="D1471" s="75">
        <v>9.6255000000000006</v>
      </c>
      <c r="E1471">
        <v>228</v>
      </c>
      <c r="F1471" s="54"/>
      <c r="G1471" t="str">
        <f>_xlfn.XLOOKUP(Table1[[#This Row],[part_number]],'ZLP 1'!$B$11:$B$55,'ZLP 1'!$E$11:$E$55,"SPECIAL")</f>
        <v>SPECIAL</v>
      </c>
      <c r="H1471" t="s">
        <v>4850</v>
      </c>
      <c r="I1471" t="str" cm="1">
        <f t="array" ref="I1471:J1471">_xlfn.TEXTSPLIT(H1471,"x")</f>
        <v>15</v>
      </c>
      <c r="J1471" t="str">
        <v>30</v>
      </c>
      <c r="K1471">
        <f t="shared" si="3"/>
        <v>450</v>
      </c>
      <c r="L1471" t="s">
        <v>4901</v>
      </c>
      <c r="M1471">
        <f>IF(L1471="1",_xlfn.XLOOKUP(K1471,ZLP2!$D$10:$D$20,ZLP2!$H$10:$H$20,ZLP2!$H$10,-1),"FFS")</f>
        <v>9.6255000000000006</v>
      </c>
      <c r="N1471" t="str">
        <f>IF(L1471="2",_xlfn.XLOOKUP(K1471,ZLP2!$N$10:$N$20,ZLP2!$R$10:$R$20,ZLP2!$R$10,-1),"FFS")</f>
        <v>FFS</v>
      </c>
      <c r="O1471" t="str">
        <f>IF(L1471="4",_xlfn.XLOOKUP(K1471,ZLP2!$W$10:$W$20,ZLP2!$AA$10:$AA$20,ZLP2!$AA$10,-1),"FFS")</f>
        <v>FFS</v>
      </c>
      <c r="P1471">
        <f t="shared" si="2"/>
        <v>9.6255000000000006</v>
      </c>
      <c r="Q1471" s="1">
        <v>9.6255000000000006</v>
      </c>
    </row>
    <row r="1472" spans="1:17" ht="15.75" thickBot="1" x14ac:dyDescent="0.3">
      <c r="A1472">
        <v>28185</v>
      </c>
      <c r="B1472" t="s">
        <v>4489</v>
      </c>
      <c r="C1472" t="s">
        <v>4490</v>
      </c>
      <c r="D1472" s="75">
        <v>10.520999999999999</v>
      </c>
      <c r="E1472">
        <v>242</v>
      </c>
      <c r="F1472" s="54"/>
      <c r="G1472" t="str">
        <f>_xlfn.XLOOKUP(Table1[[#This Row],[part_number]],'ZLP 1'!$B$11:$B$55,'ZLP 1'!$E$11:$E$55,"SPECIAL")</f>
        <v>SPECIAL</v>
      </c>
      <c r="H1472" t="s">
        <v>4850</v>
      </c>
      <c r="I1472" t="str" cm="1">
        <f t="array" ref="I1472:J1472">_xlfn.TEXTSPLIT(H1472,"x")</f>
        <v>15</v>
      </c>
      <c r="J1472" t="str">
        <v>30</v>
      </c>
      <c r="K1472">
        <f t="shared" si="3"/>
        <v>450</v>
      </c>
      <c r="L1472" t="s">
        <v>4903</v>
      </c>
      <c r="M1472" t="str">
        <f>IF(L1472="1",_xlfn.XLOOKUP(K1472,ZLP2!$D$10:$D$20,ZLP2!$H$10:$H$20,ZLP2!$H$10,-1),"FFS")</f>
        <v>FFS</v>
      </c>
      <c r="N1472">
        <f>IF(L1472="2",_xlfn.XLOOKUP(K1472,ZLP2!$N$10:$N$20,ZLP2!$R$10:$R$20,ZLP2!$R$10,-1),"FFS")</f>
        <v>10.520999999999999</v>
      </c>
      <c r="O1472" t="str">
        <f>IF(L1472="4",_xlfn.XLOOKUP(K1472,ZLP2!$W$10:$W$20,ZLP2!$AA$10:$AA$20,ZLP2!$AA$10,-1),"FFS")</f>
        <v>FFS</v>
      </c>
      <c r="P1472">
        <f t="shared" si="2"/>
        <v>10.520999999999999</v>
      </c>
      <c r="Q1472" s="1">
        <v>10.520999999999999</v>
      </c>
    </row>
    <row r="1473" spans="1:17" ht="15.75" thickBot="1" x14ac:dyDescent="0.3">
      <c r="A1473">
        <v>28188</v>
      </c>
      <c r="B1473" t="s">
        <v>4491</v>
      </c>
      <c r="C1473" t="s">
        <v>4492</v>
      </c>
      <c r="D1473" s="75">
        <v>9.6255000000000006</v>
      </c>
      <c r="E1473">
        <v>14</v>
      </c>
      <c r="F1473" s="54"/>
      <c r="G1473" t="str">
        <f>_xlfn.XLOOKUP(Table1[[#This Row],[part_number]],'ZLP 1'!$B$11:$B$55,'ZLP 1'!$E$11:$E$55,"SPECIAL")</f>
        <v>SPECIAL</v>
      </c>
      <c r="H1473" t="s">
        <v>4850</v>
      </c>
      <c r="I1473" t="str" cm="1">
        <f t="array" ref="I1473:J1473">_xlfn.TEXTSPLIT(H1473,"x")</f>
        <v>15</v>
      </c>
      <c r="J1473" t="str">
        <v>30</v>
      </c>
      <c r="K1473">
        <f t="shared" si="3"/>
        <v>450</v>
      </c>
      <c r="L1473" t="s">
        <v>4901</v>
      </c>
      <c r="M1473">
        <f>IF(L1473="1",_xlfn.XLOOKUP(K1473,ZLP2!$D$10:$D$20,ZLP2!$H$10:$H$20,ZLP2!$H$10,-1),"FFS")</f>
        <v>9.6255000000000006</v>
      </c>
      <c r="N1473" t="str">
        <f>IF(L1473="2",_xlfn.XLOOKUP(K1473,ZLP2!$N$10:$N$20,ZLP2!$R$10:$R$20,ZLP2!$R$10,-1),"FFS")</f>
        <v>FFS</v>
      </c>
      <c r="O1473" t="str">
        <f>IF(L1473="4",_xlfn.XLOOKUP(K1473,ZLP2!$W$10:$W$20,ZLP2!$AA$10:$AA$20,ZLP2!$AA$10,-1),"FFS")</f>
        <v>FFS</v>
      </c>
      <c r="P1473">
        <f t="shared" si="2"/>
        <v>9.6255000000000006</v>
      </c>
      <c r="Q1473" s="1">
        <v>9.6255000000000006</v>
      </c>
    </row>
    <row r="1474" spans="1:17" ht="15.75" thickBot="1" x14ac:dyDescent="0.3">
      <c r="A1474">
        <v>29275</v>
      </c>
      <c r="B1474" t="s">
        <v>4493</v>
      </c>
      <c r="C1474" t="s">
        <v>4494</v>
      </c>
      <c r="D1474" s="75">
        <v>9.6255000000000006</v>
      </c>
      <c r="E1474">
        <v>60</v>
      </c>
      <c r="F1474" s="54"/>
      <c r="G1474" t="str">
        <f>_xlfn.XLOOKUP(Table1[[#This Row],[part_number]],'ZLP 1'!$B$11:$B$55,'ZLP 1'!$E$11:$E$55,"SPECIAL")</f>
        <v>SPECIAL</v>
      </c>
      <c r="H1474" t="s">
        <v>4851</v>
      </c>
      <c r="I1474" t="str" cm="1">
        <f t="array" ref="I1474:J1474">_xlfn.TEXTSPLIT(H1474,"x")</f>
        <v>15</v>
      </c>
      <c r="J1474" t="str">
        <v>31</v>
      </c>
      <c r="K1474">
        <f t="shared" si="3"/>
        <v>465</v>
      </c>
      <c r="L1474" t="s">
        <v>4901</v>
      </c>
      <c r="M1474">
        <f>IF(L1474="1",_xlfn.XLOOKUP(K1474,ZLP2!$D$10:$D$20,ZLP2!$H$10:$H$20,ZLP2!$H$10,-1),"FFS")</f>
        <v>9.6255000000000006</v>
      </c>
      <c r="N1474" t="str">
        <f>IF(L1474="2",_xlfn.XLOOKUP(K1474,ZLP2!$N$10:$N$20,ZLP2!$R$10:$R$20,ZLP2!$R$10,-1),"FFS")</f>
        <v>FFS</v>
      </c>
      <c r="O1474" t="str">
        <f>IF(L1474="4",_xlfn.XLOOKUP(K1474,ZLP2!$W$10:$W$20,ZLP2!$AA$10:$AA$20,ZLP2!$AA$10,-1),"FFS")</f>
        <v>FFS</v>
      </c>
      <c r="P1474">
        <f t="shared" si="2"/>
        <v>9.6255000000000006</v>
      </c>
      <c r="Q1474" s="1">
        <v>9.6255000000000006</v>
      </c>
    </row>
    <row r="1475" spans="1:17" hidden="1" thickBot="1" x14ac:dyDescent="0.3">
      <c r="A1475">
        <v>28187</v>
      </c>
      <c r="B1475" t="s">
        <v>4495</v>
      </c>
      <c r="C1475" t="s">
        <v>4496</v>
      </c>
      <c r="D1475" s="1">
        <v>8.41</v>
      </c>
      <c r="E1475">
        <v>0</v>
      </c>
      <c r="F1475" s="54"/>
      <c r="G1475" t="str">
        <f>_xlfn.XLOOKUP(Table1[[#This Row],[part_number]],'ZLP 1'!$B$11:$B$55,'ZLP 1'!$E$11:$E$55,"SPECIAL")</f>
        <v>SPECIAL</v>
      </c>
      <c r="H1475" t="s">
        <v>4852</v>
      </c>
      <c r="I1475" t="str" cm="1">
        <f t="array" ref="I1475">_xlfn.TEXTSPLIT(H1475,"x")</f>
        <v>16 1/</v>
      </c>
      <c r="K1475" t="e">
        <f t="shared" si="3"/>
        <v>#VALUE!</v>
      </c>
      <c r="L1475" t="s">
        <v>4903</v>
      </c>
      <c r="M1475" t="str">
        <f>IF(L1475="1",_xlfn.XLOOKUP(K1475,ZLP2!$D$10:$D$20,ZLP2!$H$10:$H$20,ZLP2!$H$10,-1),"FFS")</f>
        <v>FFS</v>
      </c>
      <c r="N1475" t="e">
        <f>IF(L1475="2",_xlfn.XLOOKUP(K1475,ZLP2!$N$10:$N$20,ZLP2!$R$10:$R$20,ZLP2!$R$10,-1),"FFS")</f>
        <v>#VALUE!</v>
      </c>
      <c r="O1475" t="str">
        <f>IF(L1475="4",_xlfn.XLOOKUP(K1475,ZLP2!$W$10:$W$20,ZLP2!$AA$10:$AA$20,ZLP2!$AA$10,-1),"FFS")</f>
        <v>FFS</v>
      </c>
      <c r="P1475" t="str">
        <f t="shared" si="2"/>
        <v/>
      </c>
      <c r="Q1475" s="1" t="s">
        <v>4910</v>
      </c>
    </row>
    <row r="1476" spans="1:17" hidden="1" thickBot="1" x14ac:dyDescent="0.3">
      <c r="A1476">
        <v>28186</v>
      </c>
      <c r="B1476" t="s">
        <v>4497</v>
      </c>
      <c r="C1476" t="s">
        <v>4498</v>
      </c>
      <c r="D1476" s="1">
        <v>8.64</v>
      </c>
      <c r="E1476">
        <v>0</v>
      </c>
      <c r="F1476" s="54"/>
      <c r="G1476" t="str">
        <f>_xlfn.XLOOKUP(Table1[[#This Row],[part_number]],'ZLP 1'!$B$11:$B$55,'ZLP 1'!$E$11:$E$55,"SPECIAL")</f>
        <v>SPECIAL</v>
      </c>
      <c r="H1476" t="s">
        <v>4852</v>
      </c>
      <c r="I1476" t="str" cm="1">
        <f t="array" ref="I1476">_xlfn.TEXTSPLIT(H1476,"x")</f>
        <v>16 1/</v>
      </c>
      <c r="K1476" t="e">
        <f t="shared" si="3"/>
        <v>#VALUE!</v>
      </c>
      <c r="L1476" t="s">
        <v>4901</v>
      </c>
      <c r="M1476" t="e">
        <f>IF(L1476="1",_xlfn.XLOOKUP(K1476,ZLP2!$D$10:$D$20,ZLP2!$H$10:$H$20,ZLP2!$H$10,-1),"FFS")</f>
        <v>#VALUE!</v>
      </c>
      <c r="N1476" t="str">
        <f>IF(L1476="2",_xlfn.XLOOKUP(K1476,ZLP2!$N$10:$N$20,ZLP2!$R$10:$R$20,ZLP2!$R$10,-1),"FFS")</f>
        <v>FFS</v>
      </c>
      <c r="O1476" t="str">
        <f>IF(L1476="4",_xlfn.XLOOKUP(K1476,ZLP2!$W$10:$W$20,ZLP2!$AA$10:$AA$20,ZLP2!$AA$10,-1),"FFS")</f>
        <v>FFS</v>
      </c>
      <c r="P1476" t="str">
        <f t="shared" si="2"/>
        <v/>
      </c>
      <c r="Q1476" s="1" t="s">
        <v>4910</v>
      </c>
    </row>
    <row r="1477" spans="1:17" hidden="1" thickBot="1" x14ac:dyDescent="0.3">
      <c r="A1477">
        <v>28189</v>
      </c>
      <c r="B1477" t="s">
        <v>4499</v>
      </c>
      <c r="C1477" t="s">
        <v>4500</v>
      </c>
      <c r="D1477" s="1">
        <v>9.4600000000000009</v>
      </c>
      <c r="E1477">
        <v>0</v>
      </c>
      <c r="F1477" s="54"/>
      <c r="G1477" t="str">
        <f>_xlfn.XLOOKUP(Table1[[#This Row],[part_number]],'ZLP 1'!$B$11:$B$55,'ZLP 1'!$E$11:$E$55,"SPECIAL")</f>
        <v>SPECIAL</v>
      </c>
      <c r="H1477" t="s">
        <v>4852</v>
      </c>
      <c r="I1477" t="str" cm="1">
        <f t="array" ref="I1477">_xlfn.TEXTSPLIT(H1477,"x")</f>
        <v>16 1/</v>
      </c>
      <c r="K1477" t="e">
        <f t="shared" si="3"/>
        <v>#VALUE!</v>
      </c>
      <c r="L1477" t="s">
        <v>4903</v>
      </c>
      <c r="M1477" t="str">
        <f>IF(L1477="1",_xlfn.XLOOKUP(K1477,ZLP2!$D$10:$D$20,ZLP2!$H$10:$H$20,ZLP2!$H$10,-1),"FFS")</f>
        <v>FFS</v>
      </c>
      <c r="N1477" t="e">
        <f>IF(L1477="2",_xlfn.XLOOKUP(K1477,ZLP2!$N$10:$N$20,ZLP2!$R$10:$R$20,ZLP2!$R$10,-1),"FFS")</f>
        <v>#VALUE!</v>
      </c>
      <c r="O1477" t="str">
        <f>IF(L1477="4",_xlfn.XLOOKUP(K1477,ZLP2!$W$10:$W$20,ZLP2!$AA$10:$AA$20,ZLP2!$AA$10,-1),"FFS")</f>
        <v>FFS</v>
      </c>
      <c r="P1477" t="str">
        <f t="shared" si="2"/>
        <v/>
      </c>
      <c r="Q1477" s="1" t="s">
        <v>4910</v>
      </c>
    </row>
    <row r="1478" spans="1:17" ht="15.75" thickBot="1" x14ac:dyDescent="0.3">
      <c r="A1478">
        <v>28191</v>
      </c>
      <c r="B1478" t="s">
        <v>155</v>
      </c>
      <c r="C1478" t="s">
        <v>4501</v>
      </c>
      <c r="D1478" s="75">
        <v>4.1960000000000006</v>
      </c>
      <c r="E1478">
        <v>237</v>
      </c>
      <c r="F1478" s="54"/>
      <c r="G1478">
        <f>_xlfn.XLOOKUP(Table1[[#This Row],[part_number]],'ZLP 1'!$B$11:$B$55,'ZLP 1'!$E$11:$E$55,"SPECIAL")</f>
        <v>4.1960000000000006</v>
      </c>
      <c r="H1478" t="s">
        <v>4805</v>
      </c>
      <c r="I1478" t="str" cm="1">
        <f t="array" ref="I1478">_xlfn.TEXTSPLIT(H1478,"x")</f>
        <v>something went wrong or no NA</v>
      </c>
      <c r="K1478" t="e">
        <f t="shared" si="3"/>
        <v>#VALUE!</v>
      </c>
      <c r="L1478" t="s">
        <v>4901</v>
      </c>
      <c r="M1478" t="e">
        <f>IF(L1478="1",_xlfn.XLOOKUP(K1478,ZLP2!$D$10:$D$20,ZLP2!$H$10:$H$20,ZLP2!$H$10,-1),"FFS")</f>
        <v>#VALUE!</v>
      </c>
      <c r="N1478" t="str">
        <f>IF(L1478="2",_xlfn.XLOOKUP(K1478,ZLP2!$N$10:$N$20,ZLP2!$R$10:$R$20,ZLP2!$R$10,-1),"FFS")</f>
        <v>FFS</v>
      </c>
      <c r="O1478" t="str">
        <f>IF(L1478="4",_xlfn.XLOOKUP(K1478,ZLP2!$W$10:$W$20,ZLP2!$AA$10:$AA$20,ZLP2!$AA$10,-1),"FFS")</f>
        <v>FFS</v>
      </c>
      <c r="P1478" t="str">
        <f t="shared" si="2"/>
        <v/>
      </c>
      <c r="Q1478" s="1" t="s">
        <v>4910</v>
      </c>
    </row>
    <row r="1479" spans="1:17" ht="15.75" thickBot="1" x14ac:dyDescent="0.3">
      <c r="A1479">
        <v>28190</v>
      </c>
      <c r="B1479" t="s">
        <v>134</v>
      </c>
      <c r="C1479" t="s">
        <v>4502</v>
      </c>
      <c r="D1479" s="75">
        <v>4.0128000000000004</v>
      </c>
      <c r="E1479">
        <v>806</v>
      </c>
      <c r="F1479" s="54"/>
      <c r="G1479" t="str">
        <f>_xlfn.XLOOKUP(Table1[[#This Row],[part_number]],'ZLP 1'!$B$11:$B$55,'ZLP 1'!$E$11:$E$55,"SPECIAL")</f>
        <v>SPECIAL</v>
      </c>
      <c r="H1479" t="s">
        <v>4805</v>
      </c>
      <c r="I1479" t="str" cm="1">
        <f t="array" ref="I1479">_xlfn.TEXTSPLIT(H1479,"x")</f>
        <v>something went wrong or no NA</v>
      </c>
      <c r="K1479" t="e">
        <f t="shared" si="3"/>
        <v>#VALUE!</v>
      </c>
      <c r="L1479" t="s">
        <v>4903</v>
      </c>
      <c r="M1479" t="str">
        <f>IF(L1479="1",_xlfn.XLOOKUP(K1479,ZLP2!$D$10:$D$20,ZLP2!$H$10:$H$20,ZLP2!$H$10,-1),"FFS")</f>
        <v>FFS</v>
      </c>
      <c r="N1479" t="e">
        <f>IF(L1479="2",_xlfn.XLOOKUP(K1479,ZLP2!$N$10:$N$20,ZLP2!$R$10:$R$20,ZLP2!$R$10,-1),"FFS")</f>
        <v>#VALUE!</v>
      </c>
      <c r="O1479" t="str">
        <f>IF(L1479="4",_xlfn.XLOOKUP(K1479,ZLP2!$W$10:$W$20,ZLP2!$AA$10:$AA$20,ZLP2!$AA$10,-1),"FFS")</f>
        <v>FFS</v>
      </c>
      <c r="P1479" t="str">
        <f t="shared" si="2"/>
        <v/>
      </c>
      <c r="Q1479" s="1" t="s">
        <v>4910</v>
      </c>
    </row>
    <row r="1480" spans="1:17" ht="15.75" thickBot="1" x14ac:dyDescent="0.3">
      <c r="A1480">
        <v>29282</v>
      </c>
      <c r="B1480" t="s">
        <v>4503</v>
      </c>
      <c r="C1480" t="s">
        <v>4504</v>
      </c>
      <c r="D1480" s="75">
        <v>16.906500000000001</v>
      </c>
      <c r="E1480">
        <v>54</v>
      </c>
      <c r="F1480" s="54"/>
      <c r="G1480" t="str">
        <f>_xlfn.XLOOKUP(Table1[[#This Row],[part_number]],'ZLP 1'!$B$11:$B$55,'ZLP 1'!$E$11:$E$55,"SPECIAL")</f>
        <v>SPECIAL</v>
      </c>
      <c r="H1480" t="s">
        <v>4853</v>
      </c>
      <c r="I1480" t="str" cm="1">
        <f t="array" ref="I1480:J1480">_xlfn.TEXTSPLIT(H1480,"x")</f>
        <v>16</v>
      </c>
      <c r="J1480" t="str">
        <v>16</v>
      </c>
      <c r="K1480">
        <f t="shared" si="3"/>
        <v>256</v>
      </c>
      <c r="L1480" t="s">
        <v>4904</v>
      </c>
      <c r="M1480" t="str">
        <f>IF(L1480="1",_xlfn.XLOOKUP(K1480,ZLP2!$D$10:$D$20,ZLP2!$H$10:$H$20,ZLP2!$H$10,-1),"FFS")</f>
        <v>FFS</v>
      </c>
      <c r="N1480" t="str">
        <f>IF(L1480="2",_xlfn.XLOOKUP(K1480,ZLP2!$N$10:$N$20,ZLP2!$R$10:$R$20,ZLP2!$R$10,-1),"FFS")</f>
        <v>FFS</v>
      </c>
      <c r="O1480">
        <f>IF(L1480="4",_xlfn.XLOOKUP(K1480,ZLP2!$W$10:$W$20,ZLP2!$AA$10:$AA$20,ZLP2!$AA$10,-1),"FFS")</f>
        <v>16.906500000000001</v>
      </c>
      <c r="P1480">
        <f t="shared" si="2"/>
        <v>16.906500000000001</v>
      </c>
      <c r="Q1480" s="1">
        <v>16.906500000000001</v>
      </c>
    </row>
    <row r="1481" spans="1:17" ht="15.75" thickBot="1" x14ac:dyDescent="0.3">
      <c r="A1481">
        <v>28193</v>
      </c>
      <c r="B1481" t="s">
        <v>4505</v>
      </c>
      <c r="C1481" t="s">
        <v>4506</v>
      </c>
      <c r="D1481" s="75">
        <v>8.4060000000000006</v>
      </c>
      <c r="E1481">
        <v>24</v>
      </c>
      <c r="F1481" s="54"/>
      <c r="G1481" t="str">
        <f>_xlfn.XLOOKUP(Table1[[#This Row],[part_number]],'ZLP 1'!$B$11:$B$55,'ZLP 1'!$E$11:$E$55,"SPECIAL")</f>
        <v>SPECIAL</v>
      </c>
      <c r="H1481" t="s">
        <v>4854</v>
      </c>
      <c r="I1481" t="str" cm="1">
        <f t="array" ref="I1481:J1481">_xlfn.TEXTSPLIT(H1481,"x")</f>
        <v>16</v>
      </c>
      <c r="J1481" t="str">
        <v>18</v>
      </c>
      <c r="K1481">
        <f t="shared" si="3"/>
        <v>288</v>
      </c>
      <c r="L1481" t="s">
        <v>4903</v>
      </c>
      <c r="M1481" t="str">
        <f>IF(L1481="1",_xlfn.XLOOKUP(K1481,ZLP2!$D$10:$D$20,ZLP2!$H$10:$H$20,ZLP2!$H$10,-1),"FFS")</f>
        <v>FFS</v>
      </c>
      <c r="N1481">
        <f>IF(L1481="2",_xlfn.XLOOKUP(K1481,ZLP2!$N$10:$N$20,ZLP2!$R$10:$R$20,ZLP2!$R$10,-1),"FFS")</f>
        <v>8.4060000000000006</v>
      </c>
      <c r="O1481" t="str">
        <f>IF(L1481="4",_xlfn.XLOOKUP(K1481,ZLP2!$W$10:$W$20,ZLP2!$AA$10:$AA$20,ZLP2!$AA$10,-1),"FFS")</f>
        <v>FFS</v>
      </c>
      <c r="P1481">
        <f t="shared" si="2"/>
        <v>8.4060000000000006</v>
      </c>
      <c r="Q1481" s="1">
        <v>8.4060000000000006</v>
      </c>
    </row>
    <row r="1482" spans="1:17" ht="15.75" thickBot="1" x14ac:dyDescent="0.3">
      <c r="A1482">
        <v>28194</v>
      </c>
      <c r="B1482" t="s">
        <v>157</v>
      </c>
      <c r="C1482" t="s">
        <v>4507</v>
      </c>
      <c r="D1482" s="75">
        <v>2.8680000000000003</v>
      </c>
      <c r="E1482">
        <v>619</v>
      </c>
      <c r="F1482" s="54"/>
      <c r="G1482">
        <f>_xlfn.XLOOKUP(Table1[[#This Row],[part_number]],'ZLP 1'!$B$11:$B$55,'ZLP 1'!$E$11:$E$55,"SPECIAL")</f>
        <v>2.8680000000000003</v>
      </c>
      <c r="H1482" t="s">
        <v>4805</v>
      </c>
      <c r="I1482" t="str" cm="1">
        <f t="array" ref="I1482">_xlfn.TEXTSPLIT(H1482,"x")</f>
        <v>something went wrong or no NA</v>
      </c>
      <c r="K1482" t="e">
        <f t="shared" si="3"/>
        <v>#VALUE!</v>
      </c>
      <c r="L1482" t="s">
        <v>4901</v>
      </c>
      <c r="M1482" t="e">
        <f>IF(L1482="1",_xlfn.XLOOKUP(K1482,ZLP2!$D$10:$D$20,ZLP2!$H$10:$H$20,ZLP2!$H$10,-1),"FFS")</f>
        <v>#VALUE!</v>
      </c>
      <c r="N1482" t="str">
        <f>IF(L1482="2",_xlfn.XLOOKUP(K1482,ZLP2!$N$10:$N$20,ZLP2!$R$10:$R$20,ZLP2!$R$10,-1),"FFS")</f>
        <v>FFS</v>
      </c>
      <c r="O1482" t="str">
        <f>IF(L1482="4",_xlfn.XLOOKUP(K1482,ZLP2!$W$10:$W$20,ZLP2!$AA$10:$AA$20,ZLP2!$AA$10,-1),"FFS")</f>
        <v>FFS</v>
      </c>
      <c r="P1482" t="str">
        <f t="shared" si="2"/>
        <v/>
      </c>
      <c r="Q1482" s="1" t="s">
        <v>4910</v>
      </c>
    </row>
    <row r="1483" spans="1:17" ht="15.75" thickBot="1" x14ac:dyDescent="0.3">
      <c r="A1483">
        <v>28192</v>
      </c>
      <c r="B1483" t="s">
        <v>136</v>
      </c>
      <c r="C1483" t="s">
        <v>4508</v>
      </c>
      <c r="D1483" s="75">
        <v>2.9487999999999999</v>
      </c>
      <c r="E1483">
        <v>1622</v>
      </c>
      <c r="F1483" s="54"/>
      <c r="G1483" t="str">
        <f>_xlfn.XLOOKUP(Table1[[#This Row],[part_number]],'ZLP 1'!$B$11:$B$55,'ZLP 1'!$E$11:$E$55,"SPECIAL")</f>
        <v>SPECIAL</v>
      </c>
      <c r="H1483" t="s">
        <v>4805</v>
      </c>
      <c r="I1483" t="str" cm="1">
        <f t="array" ref="I1483">_xlfn.TEXTSPLIT(H1483,"x")</f>
        <v>something went wrong or no NA</v>
      </c>
      <c r="K1483" t="e">
        <f t="shared" si="3"/>
        <v>#VALUE!</v>
      </c>
      <c r="L1483" t="s">
        <v>4903</v>
      </c>
      <c r="M1483" t="str">
        <f>IF(L1483="1",_xlfn.XLOOKUP(K1483,ZLP2!$D$10:$D$20,ZLP2!$H$10:$H$20,ZLP2!$H$10,-1),"FFS")</f>
        <v>FFS</v>
      </c>
      <c r="N1483" t="e">
        <f>IF(L1483="2",_xlfn.XLOOKUP(K1483,ZLP2!$N$10:$N$20,ZLP2!$R$10:$R$20,ZLP2!$R$10,-1),"FFS")</f>
        <v>#VALUE!</v>
      </c>
      <c r="O1483" t="str">
        <f>IF(L1483="4",_xlfn.XLOOKUP(K1483,ZLP2!$W$10:$W$20,ZLP2!$AA$10:$AA$20,ZLP2!$AA$10,-1),"FFS")</f>
        <v>FFS</v>
      </c>
      <c r="P1483" t="str">
        <f t="shared" si="2"/>
        <v/>
      </c>
      <c r="Q1483" s="1" t="s">
        <v>4910</v>
      </c>
    </row>
    <row r="1484" spans="1:17" ht="15.75" thickBot="1" x14ac:dyDescent="0.3">
      <c r="A1484">
        <v>28195</v>
      </c>
      <c r="B1484" t="s">
        <v>177</v>
      </c>
      <c r="C1484" t="s">
        <v>4509</v>
      </c>
      <c r="D1484" s="75">
        <v>5.2080000000000002</v>
      </c>
      <c r="E1484">
        <v>444</v>
      </c>
      <c r="F1484" s="54"/>
      <c r="G1484" t="str">
        <f>_xlfn.XLOOKUP(Table1[[#This Row],[part_number]],'ZLP 1'!$B$11:$B$55,'ZLP 1'!$E$11:$E$55,"SPECIAL")</f>
        <v>SPECIAL</v>
      </c>
      <c r="H1484" t="s">
        <v>4805</v>
      </c>
      <c r="I1484" t="str" cm="1">
        <f t="array" ref="I1484">_xlfn.TEXTSPLIT(H1484,"x")</f>
        <v>something went wrong or no NA</v>
      </c>
      <c r="K1484" t="e">
        <f t="shared" si="3"/>
        <v>#VALUE!</v>
      </c>
      <c r="L1484" t="s">
        <v>4904</v>
      </c>
      <c r="M1484" t="str">
        <f>IF(L1484="1",_xlfn.XLOOKUP(K1484,ZLP2!$D$10:$D$20,ZLP2!$H$10:$H$20,ZLP2!$H$10,-1),"FFS")</f>
        <v>FFS</v>
      </c>
      <c r="N1484" t="str">
        <f>IF(L1484="2",_xlfn.XLOOKUP(K1484,ZLP2!$N$10:$N$20,ZLP2!$R$10:$R$20,ZLP2!$R$10,-1),"FFS")</f>
        <v>FFS</v>
      </c>
      <c r="O1484" t="e">
        <f>IF(L1484="4",_xlfn.XLOOKUP(K1484,ZLP2!$W$10:$W$20,ZLP2!$AA$10:$AA$20,ZLP2!$AA$10,-1),"FFS")</f>
        <v>#VALUE!</v>
      </c>
      <c r="P1484" t="str">
        <f t="shared" si="2"/>
        <v/>
      </c>
      <c r="Q1484" s="1" t="s">
        <v>4910</v>
      </c>
    </row>
    <row r="1485" spans="1:17" ht="15.75" thickBot="1" x14ac:dyDescent="0.3">
      <c r="A1485">
        <v>28197</v>
      </c>
      <c r="B1485" t="s">
        <v>4510</v>
      </c>
      <c r="C1485" t="s">
        <v>4511</v>
      </c>
      <c r="D1485" s="75">
        <v>8.6445000000000007</v>
      </c>
      <c r="E1485">
        <v>56</v>
      </c>
      <c r="F1485" s="54"/>
      <c r="G1485" t="str">
        <f>_xlfn.XLOOKUP(Table1[[#This Row],[part_number]],'ZLP 1'!$B$11:$B$55,'ZLP 1'!$E$11:$E$55,"SPECIAL")</f>
        <v>SPECIAL</v>
      </c>
      <c r="H1485" t="s">
        <v>4855</v>
      </c>
      <c r="I1485" t="str" cm="1">
        <f t="array" ref="I1485:J1485">_xlfn.TEXTSPLIT(H1485,"x")</f>
        <v>16</v>
      </c>
      <c r="J1485" t="str">
        <v>22</v>
      </c>
      <c r="K1485">
        <f t="shared" si="3"/>
        <v>352</v>
      </c>
      <c r="L1485" t="s">
        <v>4901</v>
      </c>
      <c r="M1485">
        <f>IF(L1485="1",_xlfn.XLOOKUP(K1485,ZLP2!$D$10:$D$20,ZLP2!$H$10:$H$20,ZLP2!$H$10,-1),"FFS")</f>
        <v>8.6445000000000007</v>
      </c>
      <c r="N1485" t="str">
        <f>IF(L1485="2",_xlfn.XLOOKUP(K1485,ZLP2!$N$10:$N$20,ZLP2!$R$10:$R$20,ZLP2!$R$10,-1),"FFS")</f>
        <v>FFS</v>
      </c>
      <c r="O1485" t="str">
        <f>IF(L1485="4",_xlfn.XLOOKUP(K1485,ZLP2!$W$10:$W$20,ZLP2!$AA$10:$AA$20,ZLP2!$AA$10,-1),"FFS")</f>
        <v>FFS</v>
      </c>
      <c r="P1485">
        <f t="shared" si="2"/>
        <v>8.6445000000000007</v>
      </c>
      <c r="Q1485" s="1">
        <v>8.6445000000000007</v>
      </c>
    </row>
    <row r="1486" spans="1:17" ht="15.75" thickBot="1" x14ac:dyDescent="0.3">
      <c r="A1486">
        <v>28196</v>
      </c>
      <c r="B1486" t="s">
        <v>160</v>
      </c>
      <c r="C1486" t="s">
        <v>4512</v>
      </c>
      <c r="D1486" s="75">
        <v>4.0880000000000001</v>
      </c>
      <c r="E1486">
        <v>542</v>
      </c>
      <c r="F1486" s="54"/>
      <c r="G1486">
        <f>_xlfn.XLOOKUP(Table1[[#This Row],[part_number]],'ZLP 1'!$B$11:$B$55,'ZLP 1'!$E$11:$E$55,"SPECIAL")</f>
        <v>4.0880000000000001</v>
      </c>
      <c r="H1486" t="s">
        <v>4805</v>
      </c>
      <c r="I1486" t="str" cm="1">
        <f t="array" ref="I1486">_xlfn.TEXTSPLIT(H1486,"x")</f>
        <v>something went wrong or no NA</v>
      </c>
      <c r="K1486" t="e">
        <f t="shared" si="3"/>
        <v>#VALUE!</v>
      </c>
      <c r="L1486" t="s">
        <v>4901</v>
      </c>
      <c r="M1486" t="e">
        <f>IF(L1486="1",_xlfn.XLOOKUP(K1486,ZLP2!$D$10:$D$20,ZLP2!$H$10:$H$20,ZLP2!$H$10,-1),"FFS")</f>
        <v>#VALUE!</v>
      </c>
      <c r="N1486" t="str">
        <f>IF(L1486="2",_xlfn.XLOOKUP(K1486,ZLP2!$N$10:$N$20,ZLP2!$R$10:$R$20,ZLP2!$R$10,-1),"FFS")</f>
        <v>FFS</v>
      </c>
      <c r="O1486" t="str">
        <f>IF(L1486="4",_xlfn.XLOOKUP(K1486,ZLP2!$W$10:$W$20,ZLP2!$AA$10:$AA$20,ZLP2!$AA$10,-1),"FFS")</f>
        <v>FFS</v>
      </c>
      <c r="P1486" t="str">
        <f t="shared" si="2"/>
        <v/>
      </c>
      <c r="Q1486" s="1" t="s">
        <v>4910</v>
      </c>
    </row>
    <row r="1487" spans="1:17" ht="15.75" thickBot="1" x14ac:dyDescent="0.3">
      <c r="A1487">
        <v>28199</v>
      </c>
      <c r="B1487" t="s">
        <v>138</v>
      </c>
      <c r="C1487" t="s">
        <v>4513</v>
      </c>
      <c r="D1487" s="75">
        <v>3.9558</v>
      </c>
      <c r="E1487">
        <v>436</v>
      </c>
      <c r="F1487" s="54"/>
      <c r="G1487" t="str">
        <f>_xlfn.XLOOKUP(Table1[[#This Row],[part_number]],'ZLP 1'!$B$11:$B$55,'ZLP 1'!$E$11:$E$55,"SPECIAL")</f>
        <v>SPECIAL</v>
      </c>
      <c r="H1487" t="s">
        <v>4805</v>
      </c>
      <c r="I1487" t="str" cm="1">
        <f t="array" ref="I1487">_xlfn.TEXTSPLIT(H1487,"x")</f>
        <v>something went wrong or no NA</v>
      </c>
      <c r="K1487" t="e">
        <f t="shared" si="3"/>
        <v>#VALUE!</v>
      </c>
      <c r="L1487" t="s">
        <v>4903</v>
      </c>
      <c r="M1487" t="str">
        <f>IF(L1487="1",_xlfn.XLOOKUP(K1487,ZLP2!$D$10:$D$20,ZLP2!$H$10:$H$20,ZLP2!$H$10,-1),"FFS")</f>
        <v>FFS</v>
      </c>
      <c r="N1487" t="e">
        <f>IF(L1487="2",_xlfn.XLOOKUP(K1487,ZLP2!$N$10:$N$20,ZLP2!$R$10:$R$20,ZLP2!$R$10,-1),"FFS")</f>
        <v>#VALUE!</v>
      </c>
      <c r="O1487" t="str">
        <f>IF(L1487="4",_xlfn.XLOOKUP(K1487,ZLP2!$W$10:$W$20,ZLP2!$AA$10:$AA$20,ZLP2!$AA$10,-1),"FFS")</f>
        <v>FFS</v>
      </c>
      <c r="P1487" t="str">
        <f t="shared" si="2"/>
        <v/>
      </c>
      <c r="Q1487" s="1" t="s">
        <v>4910</v>
      </c>
    </row>
    <row r="1488" spans="1:17" hidden="1" thickBot="1" x14ac:dyDescent="0.3">
      <c r="A1488">
        <v>28200</v>
      </c>
      <c r="B1488" t="s">
        <v>4514</v>
      </c>
      <c r="C1488" t="s">
        <v>4515</v>
      </c>
      <c r="D1488" s="1">
        <v>9.4600000000000009</v>
      </c>
      <c r="E1488">
        <v>0</v>
      </c>
      <c r="F1488" s="54"/>
      <c r="G1488" t="str">
        <f>_xlfn.XLOOKUP(Table1[[#This Row],[part_number]],'ZLP 1'!$B$11:$B$55,'ZLP 1'!$E$11:$E$55,"SPECIAL")</f>
        <v>SPECIAL</v>
      </c>
      <c r="H1488" t="s">
        <v>4852</v>
      </c>
      <c r="I1488" t="str" cm="1">
        <f t="array" ref="I1488">_xlfn.TEXTSPLIT(H1488,"x")</f>
        <v>16 1/</v>
      </c>
      <c r="K1488" t="e">
        <f t="shared" si="3"/>
        <v>#VALUE!</v>
      </c>
      <c r="L1488" t="s">
        <v>4903</v>
      </c>
      <c r="M1488" t="str">
        <f>IF(L1488="1",_xlfn.XLOOKUP(K1488,ZLP2!$D$10:$D$20,ZLP2!$H$10:$H$20,ZLP2!$H$10,-1),"FFS")</f>
        <v>FFS</v>
      </c>
      <c r="N1488" t="e">
        <f>IF(L1488="2",_xlfn.XLOOKUP(K1488,ZLP2!$N$10:$N$20,ZLP2!$R$10:$R$20,ZLP2!$R$10,-1),"FFS")</f>
        <v>#VALUE!</v>
      </c>
      <c r="O1488" t="str">
        <f>IF(L1488="4",_xlfn.XLOOKUP(K1488,ZLP2!$W$10:$W$20,ZLP2!$AA$10:$AA$20,ZLP2!$AA$10,-1),"FFS")</f>
        <v>FFS</v>
      </c>
      <c r="P1488" t="str">
        <f t="shared" si="2"/>
        <v/>
      </c>
      <c r="Q1488" s="1" t="s">
        <v>4910</v>
      </c>
    </row>
    <row r="1489" spans="1:17" ht="15.75" thickBot="1" x14ac:dyDescent="0.3">
      <c r="A1489">
        <v>28198</v>
      </c>
      <c r="B1489" t="s">
        <v>181</v>
      </c>
      <c r="C1489" t="s">
        <v>4516</v>
      </c>
      <c r="D1489" s="75">
        <v>6.7840000000000007</v>
      </c>
      <c r="E1489">
        <v>203</v>
      </c>
      <c r="F1489" s="54"/>
      <c r="G1489" t="str">
        <f>_xlfn.XLOOKUP(Table1[[#This Row],[part_number]],'ZLP 1'!$B$11:$B$55,'ZLP 1'!$E$11:$E$55,"SPECIAL")</f>
        <v>SPECIAL</v>
      </c>
      <c r="H1489" t="s">
        <v>4805</v>
      </c>
      <c r="I1489" t="str" cm="1">
        <f t="array" ref="I1489">_xlfn.TEXTSPLIT(H1489,"x")</f>
        <v>something went wrong or no NA</v>
      </c>
      <c r="K1489" t="e">
        <f t="shared" si="3"/>
        <v>#VALUE!</v>
      </c>
      <c r="L1489" t="s">
        <v>4904</v>
      </c>
      <c r="M1489" t="str">
        <f>IF(L1489="1",_xlfn.XLOOKUP(K1489,ZLP2!$D$10:$D$20,ZLP2!$H$10:$H$20,ZLP2!$H$10,-1),"FFS")</f>
        <v>FFS</v>
      </c>
      <c r="N1489" t="str">
        <f>IF(L1489="2",_xlfn.XLOOKUP(K1489,ZLP2!$N$10:$N$20,ZLP2!$R$10:$R$20,ZLP2!$R$10,-1),"FFS")</f>
        <v>FFS</v>
      </c>
      <c r="O1489" t="e">
        <f>IF(L1489="4",_xlfn.XLOOKUP(K1489,ZLP2!$W$10:$W$20,ZLP2!$AA$10:$AA$20,ZLP2!$AA$10,-1),"FFS")</f>
        <v>#VALUE!</v>
      </c>
      <c r="P1489" t="str">
        <f t="shared" si="2"/>
        <v/>
      </c>
      <c r="Q1489" s="1" t="s">
        <v>4910</v>
      </c>
    </row>
    <row r="1490" spans="1:17" ht="15.75" thickBot="1" x14ac:dyDescent="0.3">
      <c r="A1490">
        <v>28203</v>
      </c>
      <c r="B1490" t="s">
        <v>163</v>
      </c>
      <c r="C1490" t="s">
        <v>4517</v>
      </c>
      <c r="D1490" s="75">
        <v>3.1520000000000001</v>
      </c>
      <c r="E1490">
        <v>681</v>
      </c>
      <c r="F1490" s="54"/>
      <c r="G1490">
        <f>_xlfn.XLOOKUP(Table1[[#This Row],[part_number]],'ZLP 1'!$B$11:$B$55,'ZLP 1'!$E$11:$E$55,"SPECIAL")</f>
        <v>3.1520000000000001</v>
      </c>
      <c r="H1490" t="s">
        <v>4805</v>
      </c>
      <c r="I1490" t="str" cm="1">
        <f t="array" ref="I1490">_xlfn.TEXTSPLIT(H1490,"x")</f>
        <v>something went wrong or no NA</v>
      </c>
      <c r="K1490" t="e">
        <f t="shared" si="3"/>
        <v>#VALUE!</v>
      </c>
      <c r="L1490" t="s">
        <v>4901</v>
      </c>
      <c r="M1490" t="e">
        <f>IF(L1490="1",_xlfn.XLOOKUP(K1490,ZLP2!$D$10:$D$20,ZLP2!$H$10:$H$20,ZLP2!$H$10,-1),"FFS")</f>
        <v>#VALUE!</v>
      </c>
      <c r="N1490" t="str">
        <f>IF(L1490="2",_xlfn.XLOOKUP(K1490,ZLP2!$N$10:$N$20,ZLP2!$R$10:$R$20,ZLP2!$R$10,-1),"FFS")</f>
        <v>FFS</v>
      </c>
      <c r="O1490" t="str">
        <f>IF(L1490="4",_xlfn.XLOOKUP(K1490,ZLP2!$W$10:$W$20,ZLP2!$AA$10:$AA$20,ZLP2!$AA$10,-1),"FFS")</f>
        <v>FFS</v>
      </c>
      <c r="P1490" t="str">
        <f t="shared" si="2"/>
        <v/>
      </c>
      <c r="Q1490" s="1" t="s">
        <v>4910</v>
      </c>
    </row>
    <row r="1491" spans="1:17" ht="15.75" thickBot="1" x14ac:dyDescent="0.3">
      <c r="A1491">
        <v>28202</v>
      </c>
      <c r="B1491" t="s">
        <v>140</v>
      </c>
      <c r="C1491" t="s">
        <v>4518</v>
      </c>
      <c r="D1491" s="75">
        <v>3.3592</v>
      </c>
      <c r="E1491">
        <v>1667</v>
      </c>
      <c r="F1491" s="54"/>
      <c r="G1491" t="str">
        <f>_xlfn.XLOOKUP(Table1[[#This Row],[part_number]],'ZLP 1'!$B$11:$B$55,'ZLP 1'!$E$11:$E$55,"SPECIAL")</f>
        <v>SPECIAL</v>
      </c>
      <c r="H1491" t="s">
        <v>4805</v>
      </c>
      <c r="I1491" t="str" cm="1">
        <f t="array" ref="I1491">_xlfn.TEXTSPLIT(H1491,"x")</f>
        <v>something went wrong or no NA</v>
      </c>
      <c r="K1491" t="e">
        <f t="shared" si="3"/>
        <v>#VALUE!</v>
      </c>
      <c r="L1491" t="s">
        <v>4903</v>
      </c>
      <c r="M1491" t="str">
        <f>IF(L1491="1",_xlfn.XLOOKUP(K1491,ZLP2!$D$10:$D$20,ZLP2!$H$10:$H$20,ZLP2!$H$10,-1),"FFS")</f>
        <v>FFS</v>
      </c>
      <c r="N1491" t="e">
        <f>IF(L1491="2",_xlfn.XLOOKUP(K1491,ZLP2!$N$10:$N$20,ZLP2!$R$10:$R$20,ZLP2!$R$10,-1),"FFS")</f>
        <v>#VALUE!</v>
      </c>
      <c r="O1491" t="str">
        <f>IF(L1491="4",_xlfn.XLOOKUP(K1491,ZLP2!$W$10:$W$20,ZLP2!$AA$10:$AA$20,ZLP2!$AA$10,-1),"FFS")</f>
        <v>FFS</v>
      </c>
      <c r="P1491" t="str">
        <f t="shared" si="2"/>
        <v/>
      </c>
      <c r="Q1491" s="1" t="s">
        <v>4910</v>
      </c>
    </row>
    <row r="1492" spans="1:17" ht="15.75" thickBot="1" x14ac:dyDescent="0.3">
      <c r="A1492">
        <v>28201</v>
      </c>
      <c r="B1492" t="s">
        <v>185</v>
      </c>
      <c r="C1492" t="s">
        <v>4519</v>
      </c>
      <c r="D1492" s="75">
        <v>5.5960000000000001</v>
      </c>
      <c r="E1492">
        <v>146</v>
      </c>
      <c r="F1492" s="54"/>
      <c r="G1492" t="str">
        <f>_xlfn.XLOOKUP(Table1[[#This Row],[part_number]],'ZLP 1'!$B$11:$B$55,'ZLP 1'!$E$11:$E$55,"SPECIAL")</f>
        <v>SPECIAL</v>
      </c>
      <c r="H1492" t="s">
        <v>4805</v>
      </c>
      <c r="I1492" t="str" cm="1">
        <f t="array" ref="I1492">_xlfn.TEXTSPLIT(H1492,"x")</f>
        <v>something went wrong or no NA</v>
      </c>
      <c r="K1492" t="e">
        <f t="shared" si="3"/>
        <v>#VALUE!</v>
      </c>
      <c r="L1492" t="s">
        <v>4904</v>
      </c>
      <c r="M1492" t="str">
        <f>IF(L1492="1",_xlfn.XLOOKUP(K1492,ZLP2!$D$10:$D$20,ZLP2!$H$10:$H$20,ZLP2!$H$10,-1),"FFS")</f>
        <v>FFS</v>
      </c>
      <c r="N1492" t="str">
        <f>IF(L1492="2",_xlfn.XLOOKUP(K1492,ZLP2!$N$10:$N$20,ZLP2!$R$10:$R$20,ZLP2!$R$10,-1),"FFS")</f>
        <v>FFS</v>
      </c>
      <c r="O1492" t="e">
        <f>IF(L1492="4",_xlfn.XLOOKUP(K1492,ZLP2!$W$10:$W$20,ZLP2!$AA$10:$AA$20,ZLP2!$AA$10,-1),"FFS")</f>
        <v>#VALUE!</v>
      </c>
      <c r="P1492" t="str">
        <f t="shared" si="2"/>
        <v/>
      </c>
      <c r="Q1492" s="1" t="s">
        <v>4910</v>
      </c>
    </row>
    <row r="1493" spans="1:17" hidden="1" thickBot="1" x14ac:dyDescent="0.3">
      <c r="A1493">
        <v>28204</v>
      </c>
      <c r="B1493" t="s">
        <v>4520</v>
      </c>
      <c r="C1493" t="s">
        <v>4521</v>
      </c>
      <c r="D1493" s="1">
        <v>8.64</v>
      </c>
      <c r="E1493">
        <v>0</v>
      </c>
      <c r="F1493" s="54"/>
      <c r="G1493" t="str">
        <f>_xlfn.XLOOKUP(Table1[[#This Row],[part_number]],'ZLP 1'!$B$11:$B$55,'ZLP 1'!$E$11:$E$55,"SPECIAL")</f>
        <v>SPECIAL</v>
      </c>
      <c r="H1493" t="s">
        <v>4856</v>
      </c>
      <c r="I1493" t="str" cm="1">
        <f t="array" ref="I1493">_xlfn.TEXTSPLIT(H1493,"x")</f>
        <v>16 3/</v>
      </c>
      <c r="K1493" t="e">
        <f t="shared" si="3"/>
        <v>#VALUE!</v>
      </c>
      <c r="L1493" t="s">
        <v>4901</v>
      </c>
      <c r="M1493" t="e">
        <f>IF(L1493="1",_xlfn.XLOOKUP(K1493,ZLP2!$D$10:$D$20,ZLP2!$H$10:$H$20,ZLP2!$H$10,-1),"FFS")</f>
        <v>#VALUE!</v>
      </c>
      <c r="N1493" t="str">
        <f>IF(L1493="2",_xlfn.XLOOKUP(K1493,ZLP2!$N$10:$N$20,ZLP2!$R$10:$R$20,ZLP2!$R$10,-1),"FFS")</f>
        <v>FFS</v>
      </c>
      <c r="O1493" t="str">
        <f>IF(L1493="4",_xlfn.XLOOKUP(K1493,ZLP2!$W$10:$W$20,ZLP2!$AA$10:$AA$20,ZLP2!$AA$10,-1),"FFS")</f>
        <v>FFS</v>
      </c>
      <c r="P1493" t="str">
        <f t="shared" si="2"/>
        <v/>
      </c>
      <c r="Q1493" s="1" t="s">
        <v>4910</v>
      </c>
    </row>
    <row r="1494" spans="1:17" hidden="1" thickBot="1" x14ac:dyDescent="0.3">
      <c r="A1494">
        <v>28205</v>
      </c>
      <c r="B1494" t="s">
        <v>4522</v>
      </c>
      <c r="C1494" t="s">
        <v>4523</v>
      </c>
      <c r="D1494" s="1">
        <v>9.4600000000000009</v>
      </c>
      <c r="E1494">
        <v>0</v>
      </c>
      <c r="F1494" s="54"/>
      <c r="G1494" t="str">
        <f>_xlfn.XLOOKUP(Table1[[#This Row],[part_number]],'ZLP 1'!$B$11:$B$55,'ZLP 1'!$E$11:$E$55,"SPECIAL")</f>
        <v>SPECIAL</v>
      </c>
      <c r="H1494" t="s">
        <v>4856</v>
      </c>
      <c r="I1494" t="str" cm="1">
        <f t="array" ref="I1494">_xlfn.TEXTSPLIT(H1494,"x")</f>
        <v>16 3/</v>
      </c>
      <c r="K1494" t="e">
        <f t="shared" si="3"/>
        <v>#VALUE!</v>
      </c>
      <c r="L1494" t="s">
        <v>4903</v>
      </c>
      <c r="M1494" t="str">
        <f>IF(L1494="1",_xlfn.XLOOKUP(K1494,ZLP2!$D$10:$D$20,ZLP2!$H$10:$H$20,ZLP2!$H$10,-1),"FFS")</f>
        <v>FFS</v>
      </c>
      <c r="N1494" t="e">
        <f>IF(L1494="2",_xlfn.XLOOKUP(K1494,ZLP2!$N$10:$N$20,ZLP2!$R$10:$R$20,ZLP2!$R$10,-1),"FFS")</f>
        <v>#VALUE!</v>
      </c>
      <c r="O1494" t="str">
        <f>IF(L1494="4",_xlfn.XLOOKUP(K1494,ZLP2!$W$10:$W$20,ZLP2!$AA$10:$AA$20,ZLP2!$AA$10,-1),"FFS")</f>
        <v>FFS</v>
      </c>
      <c r="P1494" t="str">
        <f t="shared" si="2"/>
        <v/>
      </c>
      <c r="Q1494" s="1" t="s">
        <v>4910</v>
      </c>
    </row>
    <row r="1495" spans="1:17" ht="15.75" thickBot="1" x14ac:dyDescent="0.3">
      <c r="A1495">
        <v>28206</v>
      </c>
      <c r="B1495" t="s">
        <v>166</v>
      </c>
      <c r="C1495" t="s">
        <v>4524</v>
      </c>
      <c r="D1495" s="75">
        <v>6.3079999999999998</v>
      </c>
      <c r="E1495">
        <v>211</v>
      </c>
      <c r="F1495" s="54"/>
      <c r="G1495">
        <f>_xlfn.XLOOKUP(Table1[[#This Row],[part_number]],'ZLP 1'!$B$11:$B$55,'ZLP 1'!$E$11:$E$55,"SPECIAL")</f>
        <v>6.3079999999999998</v>
      </c>
      <c r="H1495" t="s">
        <v>4805</v>
      </c>
      <c r="I1495" t="str" cm="1">
        <f t="array" ref="I1495">_xlfn.TEXTSPLIT(H1495,"x")</f>
        <v>something went wrong or no NA</v>
      </c>
      <c r="K1495" t="e">
        <f t="shared" si="3"/>
        <v>#VALUE!</v>
      </c>
      <c r="L1495" t="s">
        <v>4901</v>
      </c>
      <c r="M1495" t="e">
        <f>IF(L1495="1",_xlfn.XLOOKUP(K1495,ZLP2!$D$10:$D$20,ZLP2!$H$10:$H$20,ZLP2!$H$10,-1),"FFS")</f>
        <v>#VALUE!</v>
      </c>
      <c r="N1495" t="str">
        <f>IF(L1495="2",_xlfn.XLOOKUP(K1495,ZLP2!$N$10:$N$20,ZLP2!$R$10:$R$20,ZLP2!$R$10,-1),"FFS")</f>
        <v>FFS</v>
      </c>
      <c r="O1495" t="str">
        <f>IF(L1495="4",_xlfn.XLOOKUP(K1495,ZLP2!$W$10:$W$20,ZLP2!$AA$10:$AA$20,ZLP2!$AA$10,-1),"FFS")</f>
        <v>FFS</v>
      </c>
      <c r="P1495" t="str">
        <f t="shared" si="2"/>
        <v/>
      </c>
      <c r="Q1495" s="1" t="s">
        <v>4910</v>
      </c>
    </row>
    <row r="1496" spans="1:17" ht="15.75" thickBot="1" x14ac:dyDescent="0.3">
      <c r="A1496">
        <v>28208</v>
      </c>
      <c r="B1496" t="s">
        <v>4525</v>
      </c>
      <c r="C1496" t="s">
        <v>4526</v>
      </c>
      <c r="D1496" s="75">
        <v>10.520999999999999</v>
      </c>
      <c r="E1496">
        <v>139</v>
      </c>
      <c r="F1496" s="54"/>
      <c r="G1496" t="str">
        <f>_xlfn.XLOOKUP(Table1[[#This Row],[part_number]],'ZLP 1'!$B$11:$B$55,'ZLP 1'!$E$11:$E$55,"SPECIAL")</f>
        <v>SPECIAL</v>
      </c>
      <c r="H1496" t="s">
        <v>4857</v>
      </c>
      <c r="I1496" t="str" cm="1">
        <f t="array" ref="I1496:J1496">_xlfn.TEXTSPLIT(H1496,"x")</f>
        <v>16</v>
      </c>
      <c r="J1496" t="str">
        <v>30</v>
      </c>
      <c r="K1496">
        <f t="shared" si="3"/>
        <v>480</v>
      </c>
      <c r="L1496" t="s">
        <v>4903</v>
      </c>
      <c r="M1496" t="str">
        <f>IF(L1496="1",_xlfn.XLOOKUP(K1496,ZLP2!$D$10:$D$20,ZLP2!$H$10:$H$20,ZLP2!$H$10,-1),"FFS")</f>
        <v>FFS</v>
      </c>
      <c r="N1496">
        <f>IF(L1496="2",_xlfn.XLOOKUP(K1496,ZLP2!$N$10:$N$20,ZLP2!$R$10:$R$20,ZLP2!$R$10,-1),"FFS")</f>
        <v>10.520999999999999</v>
      </c>
      <c r="O1496" t="str">
        <f>IF(L1496="4",_xlfn.XLOOKUP(K1496,ZLP2!$W$10:$W$20,ZLP2!$AA$10:$AA$20,ZLP2!$AA$10,-1),"FFS")</f>
        <v>FFS</v>
      </c>
      <c r="P1496">
        <f t="shared" si="2"/>
        <v>10.520999999999999</v>
      </c>
      <c r="Q1496" s="1">
        <v>10.520999999999999</v>
      </c>
    </row>
    <row r="1497" spans="1:17" hidden="1" thickBot="1" x14ac:dyDescent="0.3">
      <c r="A1497">
        <v>28207</v>
      </c>
      <c r="B1497" t="s">
        <v>4527</v>
      </c>
      <c r="C1497" t="s">
        <v>4528</v>
      </c>
      <c r="D1497" s="1">
        <v>10.327500000000001</v>
      </c>
      <c r="E1497">
        <v>0</v>
      </c>
      <c r="F1497" s="54"/>
      <c r="G1497" t="str">
        <f>_xlfn.XLOOKUP(Table1[[#This Row],[part_number]],'ZLP 1'!$B$11:$B$55,'ZLP 1'!$E$11:$E$55,"SPECIAL")</f>
        <v>SPECIAL</v>
      </c>
      <c r="H1497" t="s">
        <v>4858</v>
      </c>
      <c r="I1497" t="str" cm="1">
        <f t="array" ref="I1497:J1497">_xlfn.TEXTSPLIT(H1497,"x")</f>
        <v>16</v>
      </c>
      <c r="J1497" t="str">
        <v>32</v>
      </c>
      <c r="K1497">
        <f t="shared" si="3"/>
        <v>512</v>
      </c>
      <c r="L1497" t="s">
        <v>4901</v>
      </c>
      <c r="M1497">
        <f>IF(L1497="1",_xlfn.XLOOKUP(K1497,ZLP2!$D$10:$D$20,ZLP2!$H$10:$H$20,ZLP2!$H$10,-1),"FFS")</f>
        <v>10.327500000000001</v>
      </c>
      <c r="N1497" t="str">
        <f>IF(L1497="2",_xlfn.XLOOKUP(K1497,ZLP2!$N$10:$N$20,ZLP2!$R$10:$R$20,ZLP2!$R$10,-1),"FFS")</f>
        <v>FFS</v>
      </c>
      <c r="O1497" t="str">
        <f>IF(L1497="4",_xlfn.XLOOKUP(K1497,ZLP2!$W$10:$W$20,ZLP2!$AA$10:$AA$20,ZLP2!$AA$10,-1),"FFS")</f>
        <v>FFS</v>
      </c>
      <c r="P1497">
        <f t="shared" si="2"/>
        <v>10.327500000000001</v>
      </c>
      <c r="Q1497" s="1">
        <v>10.327500000000001</v>
      </c>
    </row>
    <row r="1498" spans="1:17" hidden="1" thickBot="1" x14ac:dyDescent="0.3">
      <c r="A1498">
        <v>28210</v>
      </c>
      <c r="B1498" t="s">
        <v>4529</v>
      </c>
      <c r="C1498" t="s">
        <v>4530</v>
      </c>
      <c r="D1498" s="1">
        <v>11.2995</v>
      </c>
      <c r="E1498">
        <v>0</v>
      </c>
      <c r="F1498" s="54"/>
      <c r="G1498" t="str">
        <f>_xlfn.XLOOKUP(Table1[[#This Row],[part_number]],'ZLP 1'!$B$11:$B$55,'ZLP 1'!$E$11:$E$55,"SPECIAL")</f>
        <v>SPECIAL</v>
      </c>
      <c r="H1498" t="s">
        <v>4858</v>
      </c>
      <c r="I1498" t="str" cm="1">
        <f t="array" ref="I1498:J1498">_xlfn.TEXTSPLIT(H1498,"x")</f>
        <v>16</v>
      </c>
      <c r="J1498" t="str">
        <v>32</v>
      </c>
      <c r="K1498">
        <f t="shared" si="3"/>
        <v>512</v>
      </c>
      <c r="L1498" t="s">
        <v>4903</v>
      </c>
      <c r="M1498" t="str">
        <f>IF(L1498="1",_xlfn.XLOOKUP(K1498,ZLP2!$D$10:$D$20,ZLP2!$H$10:$H$20,ZLP2!$H$10,-1),"FFS")</f>
        <v>FFS</v>
      </c>
      <c r="N1498">
        <f>IF(L1498="2",_xlfn.XLOOKUP(K1498,ZLP2!$N$10:$N$20,ZLP2!$R$10:$R$20,ZLP2!$R$10,-1),"FFS")</f>
        <v>11.2995</v>
      </c>
      <c r="O1498" t="str">
        <f>IF(L1498="4",_xlfn.XLOOKUP(K1498,ZLP2!$W$10:$W$20,ZLP2!$AA$10:$AA$20,ZLP2!$AA$10,-1),"FFS")</f>
        <v>FFS</v>
      </c>
      <c r="P1498">
        <f t="shared" si="2"/>
        <v>11.2995</v>
      </c>
      <c r="Q1498" s="1">
        <v>11.2995</v>
      </c>
    </row>
    <row r="1499" spans="1:17" ht="15.75" thickBot="1" x14ac:dyDescent="0.3">
      <c r="A1499">
        <v>29278</v>
      </c>
      <c r="B1499" t="s">
        <v>4531</v>
      </c>
      <c r="C1499" t="s">
        <v>4532</v>
      </c>
      <c r="D1499" s="75">
        <v>12.159000000000001</v>
      </c>
      <c r="E1499">
        <v>24</v>
      </c>
      <c r="F1499" s="54"/>
      <c r="G1499" t="str">
        <f>_xlfn.XLOOKUP(Table1[[#This Row],[part_number]],'ZLP 1'!$B$11:$B$55,'ZLP 1'!$E$11:$E$55,"SPECIAL")</f>
        <v>SPECIAL</v>
      </c>
      <c r="H1499" t="s">
        <v>4859</v>
      </c>
      <c r="I1499" t="str" cm="1">
        <f t="array" ref="I1499:J1499">_xlfn.TEXTSPLIT(H1499,"x")</f>
        <v>16</v>
      </c>
      <c r="J1499" t="str">
        <v>42</v>
      </c>
      <c r="K1499">
        <f t="shared" si="3"/>
        <v>672</v>
      </c>
      <c r="L1499" t="s">
        <v>4903</v>
      </c>
      <c r="M1499" t="str">
        <f>IF(L1499="1",_xlfn.XLOOKUP(K1499,ZLP2!$D$10:$D$20,ZLP2!$H$10:$H$20,ZLP2!$H$10,-1),"FFS")</f>
        <v>FFS</v>
      </c>
      <c r="N1499">
        <f>IF(L1499="2",_xlfn.XLOOKUP(K1499,ZLP2!$N$10:$N$20,ZLP2!$R$10:$R$20,ZLP2!$R$10,-1),"FFS")</f>
        <v>12.159000000000001</v>
      </c>
      <c r="O1499" t="str">
        <f>IF(L1499="4",_xlfn.XLOOKUP(K1499,ZLP2!$W$10:$W$20,ZLP2!$AA$10:$AA$20,ZLP2!$AA$10,-1),"FFS")</f>
        <v>FFS</v>
      </c>
      <c r="P1499">
        <f t="shared" si="2"/>
        <v>12.159000000000001</v>
      </c>
      <c r="Q1499" s="1">
        <v>12.159000000000001</v>
      </c>
    </row>
    <row r="1500" spans="1:17" hidden="1" thickBot="1" x14ac:dyDescent="0.3">
      <c r="A1500">
        <v>28209</v>
      </c>
      <c r="B1500" t="s">
        <v>4533</v>
      </c>
      <c r="C1500" t="s">
        <v>4534</v>
      </c>
      <c r="D1500" s="1">
        <v>9.6300000000000008</v>
      </c>
      <c r="E1500">
        <v>0</v>
      </c>
      <c r="F1500" s="54"/>
      <c r="G1500" t="str">
        <f>_xlfn.XLOOKUP(Table1[[#This Row],[part_number]],'ZLP 1'!$B$11:$B$55,'ZLP 1'!$E$11:$E$55,"SPECIAL")</f>
        <v>SPECIAL</v>
      </c>
      <c r="H1500" t="s">
        <v>4860</v>
      </c>
      <c r="I1500" t="str" cm="1">
        <f t="array" ref="I1500">_xlfn.TEXTSPLIT(H1500,"x")</f>
        <v>17 1/</v>
      </c>
      <c r="K1500" t="e">
        <f t="shared" si="3"/>
        <v>#VALUE!</v>
      </c>
      <c r="L1500" t="s">
        <v>4903</v>
      </c>
      <c r="M1500" t="str">
        <f>IF(L1500="1",_xlfn.XLOOKUP(K1500,ZLP2!$D$10:$D$20,ZLP2!$H$10:$H$20,ZLP2!$H$10,-1),"FFS")</f>
        <v>FFS</v>
      </c>
      <c r="N1500" t="e">
        <f>IF(L1500="2",_xlfn.XLOOKUP(K1500,ZLP2!$N$10:$N$20,ZLP2!$R$10:$R$20,ZLP2!$R$10,-1),"FFS")</f>
        <v>#VALUE!</v>
      </c>
      <c r="O1500" t="str">
        <f>IF(L1500="4",_xlfn.XLOOKUP(K1500,ZLP2!$W$10:$W$20,ZLP2!$AA$10:$AA$20,ZLP2!$AA$10,-1),"FFS")</f>
        <v>FFS</v>
      </c>
      <c r="P1500" t="str">
        <f t="shared" si="2"/>
        <v/>
      </c>
      <c r="Q1500" s="1" t="s">
        <v>4910</v>
      </c>
    </row>
    <row r="1501" spans="1:17" ht="15.75" thickBot="1" x14ac:dyDescent="0.3">
      <c r="A1501">
        <v>28213</v>
      </c>
      <c r="B1501" t="s">
        <v>4535</v>
      </c>
      <c r="C1501" t="s">
        <v>4536</v>
      </c>
      <c r="D1501" s="75">
        <v>8.6445000000000007</v>
      </c>
      <c r="E1501">
        <v>71</v>
      </c>
      <c r="F1501" s="54"/>
      <c r="G1501" t="str">
        <f>_xlfn.XLOOKUP(Table1[[#This Row],[part_number]],'ZLP 1'!$B$11:$B$55,'ZLP 1'!$E$11:$E$55,"SPECIAL")</f>
        <v>SPECIAL</v>
      </c>
      <c r="H1501" t="s">
        <v>4861</v>
      </c>
      <c r="I1501" t="str" cm="1">
        <f t="array" ref="I1501:J1501">_xlfn.TEXTSPLIT(H1501,"x")</f>
        <v>17</v>
      </c>
      <c r="J1501" t="str">
        <v>22</v>
      </c>
      <c r="K1501">
        <f t="shared" si="3"/>
        <v>374</v>
      </c>
      <c r="L1501" t="s">
        <v>4901</v>
      </c>
      <c r="M1501">
        <f>IF(L1501="1",_xlfn.XLOOKUP(K1501,ZLP2!$D$10:$D$20,ZLP2!$H$10:$H$20,ZLP2!$H$10,-1),"FFS")</f>
        <v>8.6445000000000007</v>
      </c>
      <c r="N1501" t="str">
        <f>IF(L1501="2",_xlfn.XLOOKUP(K1501,ZLP2!$N$10:$N$20,ZLP2!$R$10:$R$20,ZLP2!$R$10,-1),"FFS")</f>
        <v>FFS</v>
      </c>
      <c r="O1501" t="str">
        <f>IF(L1501="4",_xlfn.XLOOKUP(K1501,ZLP2!$W$10:$W$20,ZLP2!$AA$10:$AA$20,ZLP2!$AA$10,-1),"FFS")</f>
        <v>FFS</v>
      </c>
      <c r="P1501">
        <f t="shared" si="2"/>
        <v>8.6445000000000007</v>
      </c>
      <c r="Q1501" s="1">
        <v>8.6445000000000007</v>
      </c>
    </row>
    <row r="1502" spans="1:17" hidden="1" thickBot="1" x14ac:dyDescent="0.3">
      <c r="A1502">
        <v>28215</v>
      </c>
      <c r="B1502" t="s">
        <v>4537</v>
      </c>
      <c r="C1502" t="s">
        <v>4538</v>
      </c>
      <c r="D1502" s="1">
        <v>9.4589999999999996</v>
      </c>
      <c r="E1502">
        <v>0</v>
      </c>
      <c r="F1502" s="54"/>
      <c r="G1502" t="str">
        <f>_xlfn.XLOOKUP(Table1[[#This Row],[part_number]],'ZLP 1'!$B$11:$B$55,'ZLP 1'!$E$11:$E$55,"SPECIAL")</f>
        <v>SPECIAL</v>
      </c>
      <c r="H1502" t="s">
        <v>4862</v>
      </c>
      <c r="I1502" t="str" cm="1">
        <f t="array" ref="I1502:J1502">_xlfn.TEXTSPLIT(H1502,"x")</f>
        <v>17</v>
      </c>
      <c r="J1502" t="str">
        <v>23</v>
      </c>
      <c r="K1502">
        <f t="shared" si="3"/>
        <v>391</v>
      </c>
      <c r="L1502" t="s">
        <v>4903</v>
      </c>
      <c r="M1502" t="str">
        <f>IF(L1502="1",_xlfn.XLOOKUP(K1502,ZLP2!$D$10:$D$20,ZLP2!$H$10:$H$20,ZLP2!$H$10,-1),"FFS")</f>
        <v>FFS</v>
      </c>
      <c r="N1502">
        <f>IF(L1502="2",_xlfn.XLOOKUP(K1502,ZLP2!$N$10:$N$20,ZLP2!$R$10:$R$20,ZLP2!$R$10,-1),"FFS")</f>
        <v>9.4589999999999996</v>
      </c>
      <c r="O1502" t="str">
        <f>IF(L1502="4",_xlfn.XLOOKUP(K1502,ZLP2!$W$10:$W$20,ZLP2!$AA$10:$AA$20,ZLP2!$AA$10,-1),"FFS")</f>
        <v>FFS</v>
      </c>
      <c r="P1502">
        <f t="shared" si="2"/>
        <v>9.4589999999999996</v>
      </c>
      <c r="Q1502" s="1">
        <v>9.4589999999999996</v>
      </c>
    </row>
    <row r="1503" spans="1:17" hidden="1" thickBot="1" x14ac:dyDescent="0.3">
      <c r="A1503">
        <v>28214</v>
      </c>
      <c r="B1503" t="s">
        <v>4539</v>
      </c>
      <c r="C1503" t="s">
        <v>4540</v>
      </c>
      <c r="D1503" s="1">
        <v>10.33</v>
      </c>
      <c r="E1503">
        <v>0</v>
      </c>
      <c r="F1503" s="54"/>
      <c r="G1503" t="str">
        <f>_xlfn.XLOOKUP(Table1[[#This Row],[part_number]],'ZLP 1'!$B$11:$B$55,'ZLP 1'!$E$11:$E$55,"SPECIAL")</f>
        <v>SPECIAL</v>
      </c>
      <c r="H1503" t="s">
        <v>4863</v>
      </c>
      <c r="I1503" t="str" cm="1">
        <f t="array" ref="I1503">_xlfn.TEXTSPLIT(H1503,"x")</f>
        <v>17 3/</v>
      </c>
      <c r="K1503" t="e">
        <f t="shared" si="3"/>
        <v>#VALUE!</v>
      </c>
      <c r="L1503" t="s">
        <v>4901</v>
      </c>
      <c r="M1503" t="e">
        <f>IF(L1503="1",_xlfn.XLOOKUP(K1503,ZLP2!$D$10:$D$20,ZLP2!$H$10:$H$20,ZLP2!$H$10,-1),"FFS")</f>
        <v>#VALUE!</v>
      </c>
      <c r="N1503" t="str">
        <f>IF(L1503="2",_xlfn.XLOOKUP(K1503,ZLP2!$N$10:$N$20,ZLP2!$R$10:$R$20,ZLP2!$R$10,-1),"FFS")</f>
        <v>FFS</v>
      </c>
      <c r="O1503" t="str">
        <f>IF(L1503="4",_xlfn.XLOOKUP(K1503,ZLP2!$W$10:$W$20,ZLP2!$AA$10:$AA$20,ZLP2!$AA$10,-1),"FFS")</f>
        <v>FFS</v>
      </c>
      <c r="P1503" t="str">
        <f t="shared" si="2"/>
        <v/>
      </c>
      <c r="Q1503" s="1" t="s">
        <v>4910</v>
      </c>
    </row>
    <row r="1504" spans="1:17" hidden="1" thickBot="1" x14ac:dyDescent="0.3">
      <c r="A1504">
        <v>28211</v>
      </c>
      <c r="B1504" t="s">
        <v>4541</v>
      </c>
      <c r="C1504" t="s">
        <v>4542</v>
      </c>
      <c r="D1504" s="1">
        <v>11.2995</v>
      </c>
      <c r="E1504">
        <v>0</v>
      </c>
      <c r="F1504" s="54"/>
      <c r="G1504" t="str">
        <f>_xlfn.XLOOKUP(Table1[[#This Row],[part_number]],'ZLP 1'!$B$11:$B$55,'ZLP 1'!$E$11:$E$55,"SPECIAL")</f>
        <v>SPECIAL</v>
      </c>
      <c r="H1504" t="s">
        <v>4863</v>
      </c>
      <c r="I1504" t="str" cm="1">
        <f t="array" ref="I1504">_xlfn.TEXTSPLIT(H1504,"x")</f>
        <v>17 3/</v>
      </c>
      <c r="K1504" t="e">
        <f t="shared" si="3"/>
        <v>#VALUE!</v>
      </c>
      <c r="L1504" t="s">
        <v>4903</v>
      </c>
      <c r="M1504" t="str">
        <f>IF(L1504="1",_xlfn.XLOOKUP(K1504,ZLP2!$D$10:$D$20,ZLP2!$H$10:$H$20,ZLP2!$H$10,-1),"FFS")</f>
        <v>FFS</v>
      </c>
      <c r="N1504" t="e">
        <f>IF(L1504="2",_xlfn.XLOOKUP(K1504,ZLP2!$N$10:$N$20,ZLP2!$R$10:$R$20,ZLP2!$R$10,-1),"FFS")</f>
        <v>#VALUE!</v>
      </c>
      <c r="O1504" t="str">
        <f>IF(L1504="4",_xlfn.XLOOKUP(K1504,ZLP2!$W$10:$W$20,ZLP2!$AA$10:$AA$20,ZLP2!$AA$10,-1),"FFS")</f>
        <v>FFS</v>
      </c>
      <c r="P1504" t="str">
        <f t="shared" si="2"/>
        <v/>
      </c>
      <c r="Q1504" s="1" t="s">
        <v>4910</v>
      </c>
    </row>
    <row r="1505" spans="1:17" hidden="1" thickBot="1" x14ac:dyDescent="0.3">
      <c r="A1505">
        <v>28212</v>
      </c>
      <c r="B1505" t="s">
        <v>4543</v>
      </c>
      <c r="C1505" t="s">
        <v>4544</v>
      </c>
      <c r="D1505" s="1">
        <v>11.3</v>
      </c>
      <c r="E1505">
        <v>0</v>
      </c>
      <c r="F1505" s="54"/>
      <c r="G1505" t="str">
        <f>_xlfn.XLOOKUP(Table1[[#This Row],[part_number]],'ZLP 1'!$B$11:$B$55,'ZLP 1'!$E$11:$E$55,"SPECIAL")</f>
        <v>SPECIAL</v>
      </c>
      <c r="H1505" t="s">
        <v>4864</v>
      </c>
      <c r="I1505" t="str" cm="1">
        <f t="array" ref="I1505:J1505">_xlfn.TEXTSPLIT(H1505,"x")</f>
        <v>17</v>
      </c>
      <c r="J1505" t="str">
        <v>35</v>
      </c>
      <c r="K1505">
        <f t="shared" si="3"/>
        <v>595</v>
      </c>
      <c r="L1505" t="s">
        <v>4903</v>
      </c>
      <c r="M1505" t="str">
        <f>IF(L1505="1",_xlfn.XLOOKUP(K1505,ZLP2!$D$10:$D$20,ZLP2!$H$10:$H$20,ZLP2!$H$10,-1),"FFS")</f>
        <v>FFS</v>
      </c>
      <c r="N1505">
        <f>IF(L1505="2",_xlfn.XLOOKUP(K1505,ZLP2!$N$10:$N$20,ZLP2!$R$10:$R$20,ZLP2!$R$10,-1),"FFS")</f>
        <v>11.2995</v>
      </c>
      <c r="O1505" t="str">
        <f>IF(L1505="4",_xlfn.XLOOKUP(K1505,ZLP2!$W$10:$W$20,ZLP2!$AA$10:$AA$20,ZLP2!$AA$10,-1),"FFS")</f>
        <v>FFS</v>
      </c>
      <c r="P1505">
        <f t="shared" si="2"/>
        <v>11.2995</v>
      </c>
      <c r="Q1505" s="1">
        <v>11.2995</v>
      </c>
    </row>
    <row r="1506" spans="1:17" hidden="1" thickBot="1" x14ac:dyDescent="0.3">
      <c r="A1506">
        <v>28216</v>
      </c>
      <c r="B1506" t="s">
        <v>4545</v>
      </c>
      <c r="C1506" t="s">
        <v>4546</v>
      </c>
      <c r="D1506" s="1">
        <v>16.906500000000001</v>
      </c>
      <c r="E1506">
        <v>0</v>
      </c>
      <c r="F1506" s="54"/>
      <c r="G1506" t="str">
        <f>_xlfn.XLOOKUP(Table1[[#This Row],[part_number]],'ZLP 1'!$B$11:$B$55,'ZLP 1'!$E$11:$E$55,"SPECIAL")</f>
        <v>SPECIAL</v>
      </c>
      <c r="H1506" t="s">
        <v>4865</v>
      </c>
      <c r="I1506" t="str" cm="1">
        <f t="array" ref="I1506">_xlfn.TEXTSPLIT(H1506,"x")</f>
        <v>18 1/</v>
      </c>
      <c r="K1506" t="e">
        <f t="shared" si="3"/>
        <v>#VALUE!</v>
      </c>
      <c r="L1506" t="s">
        <v>4902</v>
      </c>
      <c r="M1506" t="str">
        <f>IF(L1506="1",_xlfn.XLOOKUP(K1506,ZLP2!$D$10:$D$20,ZLP2!$H$10:$H$20,ZLP2!$H$10,-1),"FFS")</f>
        <v>FFS</v>
      </c>
      <c r="N1506" t="str">
        <f>IF(L1506="2",_xlfn.XLOOKUP(K1506,ZLP2!$N$10:$N$20,ZLP2!$R$10:$R$20,ZLP2!$R$10,-1),"FFS")</f>
        <v>FFS</v>
      </c>
      <c r="O1506" t="str">
        <f>IF(L1506="4",_xlfn.XLOOKUP(K1506,ZLP2!$W$10:$W$20,ZLP2!$AA$10:$AA$20,ZLP2!$AA$10,-1),"FFS")</f>
        <v>FFS</v>
      </c>
      <c r="P1506" t="str">
        <f t="shared" si="2"/>
        <v/>
      </c>
      <c r="Q1506" s="1" t="s">
        <v>4910</v>
      </c>
    </row>
    <row r="1507" spans="1:17" ht="15.75" thickBot="1" x14ac:dyDescent="0.3">
      <c r="A1507">
        <v>28217</v>
      </c>
      <c r="B1507" t="s">
        <v>4547</v>
      </c>
      <c r="C1507" t="s">
        <v>4548</v>
      </c>
      <c r="D1507" s="75">
        <v>16.91</v>
      </c>
      <c r="E1507">
        <v>48</v>
      </c>
      <c r="F1507" s="54"/>
      <c r="G1507" t="str">
        <f>_xlfn.XLOOKUP(Table1[[#This Row],[part_number]],'ZLP 1'!$B$11:$B$55,'ZLP 1'!$E$11:$E$55,"SPECIAL")</f>
        <v>SPECIAL</v>
      </c>
      <c r="H1507" t="s">
        <v>4866</v>
      </c>
      <c r="I1507" t="str" cm="1">
        <f t="array" ref="I1507:J1507">_xlfn.TEXTSPLIT(H1507,"x")</f>
        <v>18</v>
      </c>
      <c r="J1507" t="str">
        <v>16</v>
      </c>
      <c r="K1507">
        <f t="shared" si="3"/>
        <v>288</v>
      </c>
      <c r="L1507" t="s">
        <v>4904</v>
      </c>
      <c r="M1507" t="str">
        <f>IF(L1507="1",_xlfn.XLOOKUP(K1507,ZLP2!$D$10:$D$20,ZLP2!$H$10:$H$20,ZLP2!$H$10,-1),"FFS")</f>
        <v>FFS</v>
      </c>
      <c r="N1507" t="str">
        <f>IF(L1507="2",_xlfn.XLOOKUP(K1507,ZLP2!$N$10:$N$20,ZLP2!$R$10:$R$20,ZLP2!$R$10,-1),"FFS")</f>
        <v>FFS</v>
      </c>
      <c r="O1507">
        <f>IF(L1507="4",_xlfn.XLOOKUP(K1507,ZLP2!$W$10:$W$20,ZLP2!$AA$10:$AA$20,ZLP2!$AA$10,-1),"FFS")</f>
        <v>16.906500000000001</v>
      </c>
      <c r="P1507">
        <f t="shared" si="2"/>
        <v>16.906500000000001</v>
      </c>
      <c r="Q1507" s="1">
        <v>16.906500000000001</v>
      </c>
    </row>
    <row r="1508" spans="1:17" ht="15.75" thickBot="1" x14ac:dyDescent="0.3">
      <c r="A1508">
        <v>28218</v>
      </c>
      <c r="B1508" t="s">
        <v>168</v>
      </c>
      <c r="C1508" t="s">
        <v>4549</v>
      </c>
      <c r="D1508" s="75">
        <v>5.8479999999999999</v>
      </c>
      <c r="E1508">
        <v>46</v>
      </c>
      <c r="F1508" s="54"/>
      <c r="G1508">
        <f>_xlfn.XLOOKUP(Table1[[#This Row],[part_number]],'ZLP 1'!$B$11:$B$55,'ZLP 1'!$E$11:$E$55,"SPECIAL")</f>
        <v>5.8479999999999999</v>
      </c>
      <c r="H1508" t="s">
        <v>4805</v>
      </c>
      <c r="I1508" t="str" cm="1">
        <f t="array" ref="I1508">_xlfn.TEXTSPLIT(H1508,"x")</f>
        <v>something went wrong or no NA</v>
      </c>
      <c r="K1508" t="e">
        <f t="shared" si="3"/>
        <v>#VALUE!</v>
      </c>
      <c r="L1508" t="s">
        <v>4901</v>
      </c>
      <c r="M1508" t="e">
        <f>IF(L1508="1",_xlfn.XLOOKUP(K1508,ZLP2!$D$10:$D$20,ZLP2!$H$10:$H$20,ZLP2!$H$10,-1),"FFS")</f>
        <v>#VALUE!</v>
      </c>
      <c r="N1508" t="str">
        <f>IF(L1508="2",_xlfn.XLOOKUP(K1508,ZLP2!$N$10:$N$20,ZLP2!$R$10:$R$20,ZLP2!$R$10,-1),"FFS")</f>
        <v>FFS</v>
      </c>
      <c r="O1508" t="str">
        <f>IF(L1508="4",_xlfn.XLOOKUP(K1508,ZLP2!$W$10:$W$20,ZLP2!$AA$10:$AA$20,ZLP2!$AA$10,-1),"FFS")</f>
        <v>FFS</v>
      </c>
      <c r="P1508" t="str">
        <f t="shared" si="2"/>
        <v/>
      </c>
      <c r="Q1508" s="1" t="s">
        <v>4910</v>
      </c>
    </row>
    <row r="1509" spans="1:17" ht="15.75" thickBot="1" x14ac:dyDescent="0.3">
      <c r="A1509">
        <v>28221</v>
      </c>
      <c r="B1509" t="s">
        <v>142</v>
      </c>
      <c r="C1509" t="s">
        <v>4550</v>
      </c>
      <c r="D1509" s="75">
        <v>5.9279999999999999</v>
      </c>
      <c r="E1509">
        <v>184</v>
      </c>
      <c r="F1509" s="54"/>
      <c r="G1509" t="str">
        <f>_xlfn.XLOOKUP(Table1[[#This Row],[part_number]],'ZLP 1'!$B$11:$B$55,'ZLP 1'!$E$11:$E$55,"SPECIAL")</f>
        <v>SPECIAL</v>
      </c>
      <c r="H1509" t="s">
        <v>4805</v>
      </c>
      <c r="I1509" t="str" cm="1">
        <f t="array" ref="I1509">_xlfn.TEXTSPLIT(H1509,"x")</f>
        <v>something went wrong or no NA</v>
      </c>
      <c r="K1509" t="e">
        <f t="shared" si="3"/>
        <v>#VALUE!</v>
      </c>
      <c r="L1509" t="s">
        <v>4903</v>
      </c>
      <c r="M1509" t="str">
        <f>IF(L1509="1",_xlfn.XLOOKUP(K1509,ZLP2!$D$10:$D$20,ZLP2!$H$10:$H$20,ZLP2!$H$10,-1),"FFS")</f>
        <v>FFS</v>
      </c>
      <c r="N1509" t="e">
        <f>IF(L1509="2",_xlfn.XLOOKUP(K1509,ZLP2!$N$10:$N$20,ZLP2!$R$10:$R$20,ZLP2!$R$10,-1),"FFS")</f>
        <v>#VALUE!</v>
      </c>
      <c r="O1509" t="str">
        <f>IF(L1509="4",_xlfn.XLOOKUP(K1509,ZLP2!$W$10:$W$20,ZLP2!$AA$10:$AA$20,ZLP2!$AA$10,-1),"FFS")</f>
        <v>FFS</v>
      </c>
      <c r="P1509" t="str">
        <f t="shared" si="2"/>
        <v/>
      </c>
      <c r="Q1509" s="1" t="s">
        <v>4910</v>
      </c>
    </row>
    <row r="1510" spans="1:17" ht="15.75" thickBot="1" x14ac:dyDescent="0.3">
      <c r="A1510">
        <v>28220</v>
      </c>
      <c r="B1510" t="s">
        <v>4551</v>
      </c>
      <c r="C1510" t="s">
        <v>4552</v>
      </c>
      <c r="D1510" s="75">
        <v>19.057500000000001</v>
      </c>
      <c r="E1510">
        <v>84</v>
      </c>
      <c r="F1510" s="54"/>
      <c r="G1510" t="str">
        <f>_xlfn.XLOOKUP(Table1[[#This Row],[part_number]],'ZLP 1'!$B$11:$B$55,'ZLP 1'!$E$11:$E$55,"SPECIAL")</f>
        <v>SPECIAL</v>
      </c>
      <c r="H1510" t="s">
        <v>4867</v>
      </c>
      <c r="I1510" t="str" cm="1">
        <f t="array" ref="I1510:J1510">_xlfn.TEXTSPLIT(H1510,"x")</f>
        <v>18</v>
      </c>
      <c r="J1510" t="str">
        <v>18</v>
      </c>
      <c r="K1510">
        <f t="shared" si="3"/>
        <v>324</v>
      </c>
      <c r="L1510" t="s">
        <v>4904</v>
      </c>
      <c r="M1510" t="str">
        <f>IF(L1510="1",_xlfn.XLOOKUP(K1510,ZLP2!$D$10:$D$20,ZLP2!$H$10:$H$20,ZLP2!$H$10,-1),"FFS")</f>
        <v>FFS</v>
      </c>
      <c r="N1510" t="str">
        <f>IF(L1510="2",_xlfn.XLOOKUP(K1510,ZLP2!$N$10:$N$20,ZLP2!$R$10:$R$20,ZLP2!$R$10,-1),"FFS")</f>
        <v>FFS</v>
      </c>
      <c r="O1510">
        <f>IF(L1510="4",_xlfn.XLOOKUP(K1510,ZLP2!$W$10:$W$20,ZLP2!$AA$10:$AA$20,ZLP2!$AA$10,-1),"FFS")</f>
        <v>19.057500000000001</v>
      </c>
      <c r="P1510">
        <f t="shared" si="2"/>
        <v>19.057500000000001</v>
      </c>
      <c r="Q1510" s="1">
        <v>19.057500000000001</v>
      </c>
    </row>
    <row r="1511" spans="1:17" ht="15.75" thickBot="1" x14ac:dyDescent="0.3">
      <c r="A1511">
        <v>28219</v>
      </c>
      <c r="B1511" t="s">
        <v>169</v>
      </c>
      <c r="C1511" t="s">
        <v>4553</v>
      </c>
      <c r="D1511" s="75">
        <v>4.0759999999999996</v>
      </c>
      <c r="E1511">
        <v>208</v>
      </c>
      <c r="F1511" s="54"/>
      <c r="G1511">
        <f>_xlfn.XLOOKUP(Table1[[#This Row],[part_number]],'ZLP 1'!$B$11:$B$55,'ZLP 1'!$E$11:$E$55,"SPECIAL")</f>
        <v>4.0759999999999996</v>
      </c>
      <c r="H1511" t="s">
        <v>4805</v>
      </c>
      <c r="I1511" t="str" cm="1">
        <f t="array" ref="I1511">_xlfn.TEXTSPLIT(H1511,"x")</f>
        <v>something went wrong or no NA</v>
      </c>
      <c r="K1511" t="e">
        <f t="shared" si="3"/>
        <v>#VALUE!</v>
      </c>
      <c r="L1511" t="s">
        <v>4901</v>
      </c>
      <c r="M1511" t="e">
        <f>IF(L1511="1",_xlfn.XLOOKUP(K1511,ZLP2!$D$10:$D$20,ZLP2!$H$10:$H$20,ZLP2!$H$10,-1),"FFS")</f>
        <v>#VALUE!</v>
      </c>
      <c r="N1511" t="str">
        <f>IF(L1511="2",_xlfn.XLOOKUP(K1511,ZLP2!$N$10:$N$20,ZLP2!$R$10:$R$20,ZLP2!$R$10,-1),"FFS")</f>
        <v>FFS</v>
      </c>
      <c r="O1511" t="str">
        <f>IF(L1511="4",_xlfn.XLOOKUP(K1511,ZLP2!$W$10:$W$20,ZLP2!$AA$10:$AA$20,ZLP2!$AA$10,-1),"FFS")</f>
        <v>FFS</v>
      </c>
      <c r="P1511" t="str">
        <f t="shared" si="2"/>
        <v/>
      </c>
      <c r="Q1511" s="1" t="s">
        <v>4910</v>
      </c>
    </row>
    <row r="1512" spans="1:17" ht="15.75" thickBot="1" x14ac:dyDescent="0.3">
      <c r="A1512">
        <v>28224</v>
      </c>
      <c r="B1512" t="s">
        <v>145</v>
      </c>
      <c r="C1512" t="s">
        <v>4554</v>
      </c>
      <c r="D1512" s="75">
        <v>3.9824000000000002</v>
      </c>
      <c r="E1512">
        <v>268</v>
      </c>
      <c r="F1512" s="54"/>
      <c r="G1512" t="str">
        <f>_xlfn.XLOOKUP(Table1[[#This Row],[part_number]],'ZLP 1'!$B$11:$B$55,'ZLP 1'!$E$11:$E$55,"SPECIAL")</f>
        <v>SPECIAL</v>
      </c>
      <c r="H1512" t="s">
        <v>4805</v>
      </c>
      <c r="I1512" t="str" cm="1">
        <f t="array" ref="I1512">_xlfn.TEXTSPLIT(H1512,"x")</f>
        <v>something went wrong or no NA</v>
      </c>
      <c r="K1512" t="e">
        <f t="shared" si="3"/>
        <v>#VALUE!</v>
      </c>
      <c r="L1512" t="s">
        <v>4903</v>
      </c>
      <c r="M1512" t="str">
        <f>IF(L1512="1",_xlfn.XLOOKUP(K1512,ZLP2!$D$10:$D$20,ZLP2!$H$10:$H$20,ZLP2!$H$10,-1),"FFS")</f>
        <v>FFS</v>
      </c>
      <c r="N1512" t="e">
        <f>IF(L1512="2",_xlfn.XLOOKUP(K1512,ZLP2!$N$10:$N$20,ZLP2!$R$10:$R$20,ZLP2!$R$10,-1),"FFS")</f>
        <v>#VALUE!</v>
      </c>
      <c r="O1512" t="str">
        <f>IF(L1512="4",_xlfn.XLOOKUP(K1512,ZLP2!$W$10:$W$20,ZLP2!$AA$10:$AA$20,ZLP2!$AA$10,-1),"FFS")</f>
        <v>FFS</v>
      </c>
      <c r="P1512" t="str">
        <f t="shared" si="2"/>
        <v/>
      </c>
      <c r="Q1512" s="1" t="s">
        <v>4910</v>
      </c>
    </row>
    <row r="1513" spans="1:17" ht="15.75" thickBot="1" x14ac:dyDescent="0.3">
      <c r="A1513">
        <v>28225</v>
      </c>
      <c r="B1513" t="s">
        <v>4555</v>
      </c>
      <c r="C1513" t="s">
        <v>4556</v>
      </c>
      <c r="D1513" s="75">
        <v>19.057500000000001</v>
      </c>
      <c r="E1513">
        <v>50</v>
      </c>
      <c r="F1513" s="54"/>
      <c r="G1513" t="str">
        <f>_xlfn.XLOOKUP(Table1[[#This Row],[part_number]],'ZLP 1'!$B$11:$B$55,'ZLP 1'!$E$11:$E$55,"SPECIAL")</f>
        <v>SPECIAL</v>
      </c>
      <c r="H1513" t="s">
        <v>4868</v>
      </c>
      <c r="I1513" t="str" cm="1">
        <f t="array" ref="I1513:J1513">_xlfn.TEXTSPLIT(H1513,"x")</f>
        <v>18</v>
      </c>
      <c r="J1513" t="str">
        <v>20</v>
      </c>
      <c r="K1513">
        <f t="shared" si="3"/>
        <v>360</v>
      </c>
      <c r="L1513" t="s">
        <v>4904</v>
      </c>
      <c r="M1513" t="str">
        <f>IF(L1513="1",_xlfn.XLOOKUP(K1513,ZLP2!$D$10:$D$20,ZLP2!$H$10:$H$20,ZLP2!$H$10,-1),"FFS")</f>
        <v>FFS</v>
      </c>
      <c r="N1513" t="str">
        <f>IF(L1513="2",_xlfn.XLOOKUP(K1513,ZLP2!$N$10:$N$20,ZLP2!$R$10:$R$20,ZLP2!$R$10,-1),"FFS")</f>
        <v>FFS</v>
      </c>
      <c r="O1513">
        <f>IF(L1513="4",_xlfn.XLOOKUP(K1513,ZLP2!$W$10:$W$20,ZLP2!$AA$10:$AA$20,ZLP2!$AA$10,-1),"FFS")</f>
        <v>19.057500000000001</v>
      </c>
      <c r="P1513">
        <f t="shared" si="2"/>
        <v>19.057500000000001</v>
      </c>
      <c r="Q1513" s="1">
        <v>19.057500000000001</v>
      </c>
    </row>
    <row r="1514" spans="1:17" ht="15.75" thickBot="1" x14ac:dyDescent="0.3">
      <c r="A1514">
        <v>28222</v>
      </c>
      <c r="B1514" t="s">
        <v>4557</v>
      </c>
      <c r="C1514" t="s">
        <v>4558</v>
      </c>
      <c r="D1514" s="75">
        <v>8.6445000000000007</v>
      </c>
      <c r="E1514">
        <v>120</v>
      </c>
      <c r="F1514" s="54"/>
      <c r="G1514" t="str">
        <f>_xlfn.XLOOKUP(Table1[[#This Row],[part_number]],'ZLP 1'!$B$11:$B$55,'ZLP 1'!$E$11:$E$55,"SPECIAL")</f>
        <v>SPECIAL</v>
      </c>
      <c r="H1514" t="s">
        <v>4869</v>
      </c>
      <c r="I1514" t="str" cm="1">
        <f t="array" ref="I1514:J1514">_xlfn.TEXTSPLIT(H1514,"x")</f>
        <v>18</v>
      </c>
      <c r="J1514" t="str">
        <v>22</v>
      </c>
      <c r="K1514">
        <f t="shared" si="3"/>
        <v>396</v>
      </c>
      <c r="L1514" t="s">
        <v>4901</v>
      </c>
      <c r="M1514">
        <f>IF(L1514="1",_xlfn.XLOOKUP(K1514,ZLP2!$D$10:$D$20,ZLP2!$H$10:$H$20,ZLP2!$H$10,-1),"FFS")</f>
        <v>8.6445000000000007</v>
      </c>
      <c r="N1514" t="str">
        <f>IF(L1514="2",_xlfn.XLOOKUP(K1514,ZLP2!$N$10:$N$20,ZLP2!$R$10:$R$20,ZLP2!$R$10,-1),"FFS")</f>
        <v>FFS</v>
      </c>
      <c r="O1514" t="str">
        <f>IF(L1514="4",_xlfn.XLOOKUP(K1514,ZLP2!$W$10:$W$20,ZLP2!$AA$10:$AA$20,ZLP2!$AA$10,-1),"FFS")</f>
        <v>FFS</v>
      </c>
      <c r="P1514">
        <f t="shared" si="2"/>
        <v>8.6445000000000007</v>
      </c>
      <c r="Q1514" s="1">
        <v>8.6445000000000007</v>
      </c>
    </row>
    <row r="1515" spans="1:17" ht="15.75" thickBot="1" x14ac:dyDescent="0.3">
      <c r="A1515">
        <v>28223</v>
      </c>
      <c r="B1515" t="s">
        <v>4559</v>
      </c>
      <c r="C1515" t="s">
        <v>4560</v>
      </c>
      <c r="D1515" s="75">
        <v>9.4589999999999996</v>
      </c>
      <c r="E1515">
        <v>24</v>
      </c>
      <c r="F1515" s="54"/>
      <c r="G1515" t="str">
        <f>_xlfn.XLOOKUP(Table1[[#This Row],[part_number]],'ZLP 1'!$B$11:$B$55,'ZLP 1'!$E$11:$E$55,"SPECIAL")</f>
        <v>SPECIAL</v>
      </c>
      <c r="H1515" t="s">
        <v>4869</v>
      </c>
      <c r="I1515" t="str" cm="1">
        <f t="array" ref="I1515:J1515">_xlfn.TEXTSPLIT(H1515,"x")</f>
        <v>18</v>
      </c>
      <c r="J1515" t="str">
        <v>22</v>
      </c>
      <c r="K1515">
        <f t="shared" si="3"/>
        <v>396</v>
      </c>
      <c r="L1515" t="s">
        <v>4903</v>
      </c>
      <c r="M1515" t="str">
        <f>IF(L1515="1",_xlfn.XLOOKUP(K1515,ZLP2!$D$10:$D$20,ZLP2!$H$10:$H$20,ZLP2!$H$10,-1),"FFS")</f>
        <v>FFS</v>
      </c>
      <c r="N1515">
        <f>IF(L1515="2",_xlfn.XLOOKUP(K1515,ZLP2!$N$10:$N$20,ZLP2!$R$10:$R$20,ZLP2!$R$10,-1),"FFS")</f>
        <v>9.4589999999999996</v>
      </c>
      <c r="O1515" t="str">
        <f>IF(L1515="4",_xlfn.XLOOKUP(K1515,ZLP2!$W$10:$W$20,ZLP2!$AA$10:$AA$20,ZLP2!$AA$10,-1),"FFS")</f>
        <v>FFS</v>
      </c>
      <c r="P1515">
        <f t="shared" si="2"/>
        <v>9.4589999999999996</v>
      </c>
      <c r="Q1515" s="1">
        <v>9.4589999999999996</v>
      </c>
    </row>
    <row r="1516" spans="1:17" ht="15.75" thickBot="1" x14ac:dyDescent="0.3">
      <c r="A1516">
        <v>28228</v>
      </c>
      <c r="B1516" t="s">
        <v>170</v>
      </c>
      <c r="C1516" t="s">
        <v>4561</v>
      </c>
      <c r="D1516" s="75">
        <v>3.9079999999999999</v>
      </c>
      <c r="E1516">
        <v>177</v>
      </c>
      <c r="F1516" s="54"/>
      <c r="G1516">
        <f>_xlfn.XLOOKUP(Table1[[#This Row],[part_number]],'ZLP 1'!$B$11:$B$55,'ZLP 1'!$E$11:$E$55,"SPECIAL")</f>
        <v>3.9079999999999999</v>
      </c>
      <c r="H1516" t="s">
        <v>4805</v>
      </c>
      <c r="I1516" t="str" cm="1">
        <f t="array" ref="I1516">_xlfn.TEXTSPLIT(H1516,"x")</f>
        <v>something went wrong or no NA</v>
      </c>
      <c r="K1516" t="e">
        <f t="shared" si="3"/>
        <v>#VALUE!</v>
      </c>
      <c r="L1516" t="s">
        <v>4901</v>
      </c>
      <c r="M1516" t="e">
        <f>IF(L1516="1",_xlfn.XLOOKUP(K1516,ZLP2!$D$10:$D$20,ZLP2!$H$10:$H$20,ZLP2!$H$10,-1),"FFS")</f>
        <v>#VALUE!</v>
      </c>
      <c r="N1516" t="str">
        <f>IF(L1516="2",_xlfn.XLOOKUP(K1516,ZLP2!$N$10:$N$20,ZLP2!$R$10:$R$20,ZLP2!$R$10,-1),"FFS")</f>
        <v>FFS</v>
      </c>
      <c r="O1516" t="str">
        <f>IF(L1516="4",_xlfn.XLOOKUP(K1516,ZLP2!$W$10:$W$20,ZLP2!$AA$10:$AA$20,ZLP2!$AA$10,-1),"FFS")</f>
        <v>FFS</v>
      </c>
      <c r="P1516" t="str">
        <f t="shared" si="2"/>
        <v/>
      </c>
      <c r="Q1516" s="1" t="s">
        <v>4910</v>
      </c>
    </row>
    <row r="1517" spans="1:17" ht="15.75" thickBot="1" x14ac:dyDescent="0.3">
      <c r="A1517">
        <v>28226</v>
      </c>
      <c r="B1517" t="s">
        <v>148</v>
      </c>
      <c r="C1517" t="s">
        <v>4562</v>
      </c>
      <c r="D1517" s="75">
        <v>3.8721999999999999</v>
      </c>
      <c r="E1517">
        <v>436</v>
      </c>
      <c r="F1517" s="54"/>
      <c r="G1517" t="str">
        <f>_xlfn.XLOOKUP(Table1[[#This Row],[part_number]],'ZLP 1'!$B$11:$B$55,'ZLP 1'!$E$11:$E$55,"SPECIAL")</f>
        <v>SPECIAL</v>
      </c>
      <c r="H1517" t="s">
        <v>4805</v>
      </c>
      <c r="I1517" t="str" cm="1">
        <f t="array" ref="I1517">_xlfn.TEXTSPLIT(H1517,"x")</f>
        <v>something went wrong or no NA</v>
      </c>
      <c r="K1517" t="e">
        <f t="shared" si="3"/>
        <v>#VALUE!</v>
      </c>
      <c r="L1517" t="s">
        <v>4903</v>
      </c>
      <c r="M1517" t="str">
        <f>IF(L1517="1",_xlfn.XLOOKUP(K1517,ZLP2!$D$10:$D$20,ZLP2!$H$10:$H$20,ZLP2!$H$10,-1),"FFS")</f>
        <v>FFS</v>
      </c>
      <c r="N1517" t="e">
        <f>IF(L1517="2",_xlfn.XLOOKUP(K1517,ZLP2!$N$10:$N$20,ZLP2!$R$10:$R$20,ZLP2!$R$10,-1),"FFS")</f>
        <v>#VALUE!</v>
      </c>
      <c r="O1517" t="str">
        <f>IF(L1517="4",_xlfn.XLOOKUP(K1517,ZLP2!$W$10:$W$20,ZLP2!$AA$10:$AA$20,ZLP2!$AA$10,-1),"FFS")</f>
        <v>FFS</v>
      </c>
      <c r="P1517" t="str">
        <f t="shared" si="2"/>
        <v/>
      </c>
      <c r="Q1517" s="1" t="s">
        <v>4910</v>
      </c>
    </row>
    <row r="1518" spans="1:17" ht="15.75" thickBot="1" x14ac:dyDescent="0.3">
      <c r="A1518">
        <v>28227</v>
      </c>
      <c r="B1518" t="s">
        <v>188</v>
      </c>
      <c r="C1518" t="s">
        <v>4563</v>
      </c>
      <c r="D1518" s="75">
        <v>6.46</v>
      </c>
      <c r="E1518">
        <v>204</v>
      </c>
      <c r="F1518" s="54"/>
      <c r="G1518" t="str">
        <f>_xlfn.XLOOKUP(Table1[[#This Row],[part_number]],'ZLP 1'!$B$11:$B$55,'ZLP 1'!$E$11:$E$55,"SPECIAL")</f>
        <v>SPECIAL</v>
      </c>
      <c r="H1518" t="s">
        <v>4805</v>
      </c>
      <c r="I1518" t="str" cm="1">
        <f t="array" ref="I1518">_xlfn.TEXTSPLIT(H1518,"x")</f>
        <v>something went wrong or no NA</v>
      </c>
      <c r="K1518" t="e">
        <f t="shared" si="3"/>
        <v>#VALUE!</v>
      </c>
      <c r="L1518" t="s">
        <v>4904</v>
      </c>
      <c r="M1518" t="str">
        <f>IF(L1518="1",_xlfn.XLOOKUP(K1518,ZLP2!$D$10:$D$20,ZLP2!$H$10:$H$20,ZLP2!$H$10,-1),"FFS")</f>
        <v>FFS</v>
      </c>
      <c r="N1518" t="str">
        <f>IF(L1518="2",_xlfn.XLOOKUP(K1518,ZLP2!$N$10:$N$20,ZLP2!$R$10:$R$20,ZLP2!$R$10,-1),"FFS")</f>
        <v>FFS</v>
      </c>
      <c r="O1518" t="e">
        <f>IF(L1518="4",_xlfn.XLOOKUP(K1518,ZLP2!$W$10:$W$20,ZLP2!$AA$10:$AA$20,ZLP2!$AA$10,-1),"FFS")</f>
        <v>#VALUE!</v>
      </c>
      <c r="P1518" t="str">
        <f t="shared" si="2"/>
        <v/>
      </c>
      <c r="Q1518" s="1" t="s">
        <v>4910</v>
      </c>
    </row>
    <row r="1519" spans="1:17" ht="15.75" thickBot="1" x14ac:dyDescent="0.3">
      <c r="A1519">
        <v>28229</v>
      </c>
      <c r="B1519" t="s">
        <v>171</v>
      </c>
      <c r="C1519" t="s">
        <v>4564</v>
      </c>
      <c r="D1519" s="75">
        <v>3.8079999999999998</v>
      </c>
      <c r="E1519">
        <v>314</v>
      </c>
      <c r="F1519" s="54"/>
      <c r="G1519">
        <f>_xlfn.XLOOKUP(Table1[[#This Row],[part_number]],'ZLP 1'!$B$11:$B$55,'ZLP 1'!$E$11:$E$55,"SPECIAL")</f>
        <v>3.8079999999999998</v>
      </c>
      <c r="H1519" t="s">
        <v>4805</v>
      </c>
      <c r="I1519" t="str" cm="1">
        <f t="array" ref="I1519">_xlfn.TEXTSPLIT(H1519,"x")</f>
        <v>something went wrong or no NA</v>
      </c>
      <c r="K1519" t="e">
        <f t="shared" si="3"/>
        <v>#VALUE!</v>
      </c>
      <c r="L1519" t="s">
        <v>4901</v>
      </c>
      <c r="M1519" t="e">
        <f>IF(L1519="1",_xlfn.XLOOKUP(K1519,ZLP2!$D$10:$D$20,ZLP2!$H$10:$H$20,ZLP2!$H$10,-1),"FFS")</f>
        <v>#VALUE!</v>
      </c>
      <c r="N1519" t="str">
        <f>IF(L1519="2",_xlfn.XLOOKUP(K1519,ZLP2!$N$10:$N$20,ZLP2!$R$10:$R$20,ZLP2!$R$10,-1),"FFS")</f>
        <v>FFS</v>
      </c>
      <c r="O1519" t="str">
        <f>IF(L1519="4",_xlfn.XLOOKUP(K1519,ZLP2!$W$10:$W$20,ZLP2!$AA$10:$AA$20,ZLP2!$AA$10,-1),"FFS")</f>
        <v>FFS</v>
      </c>
      <c r="P1519" t="str">
        <f t="shared" si="2"/>
        <v/>
      </c>
      <c r="Q1519" s="1" t="s">
        <v>4910</v>
      </c>
    </row>
    <row r="1520" spans="1:17" ht="15.75" thickBot="1" x14ac:dyDescent="0.3">
      <c r="A1520">
        <v>28231</v>
      </c>
      <c r="B1520" t="s">
        <v>150</v>
      </c>
      <c r="C1520" t="s">
        <v>4565</v>
      </c>
      <c r="D1520" s="75">
        <v>4.1761999999999997</v>
      </c>
      <c r="E1520">
        <v>194</v>
      </c>
      <c r="F1520" s="54"/>
      <c r="G1520" t="str">
        <f>_xlfn.XLOOKUP(Table1[[#This Row],[part_number]],'ZLP 1'!$B$11:$B$55,'ZLP 1'!$E$11:$E$55,"SPECIAL")</f>
        <v>SPECIAL</v>
      </c>
      <c r="H1520" t="s">
        <v>4805</v>
      </c>
      <c r="I1520" t="str" cm="1">
        <f t="array" ref="I1520">_xlfn.TEXTSPLIT(H1520,"x")</f>
        <v>something went wrong or no NA</v>
      </c>
      <c r="K1520" t="e">
        <f t="shared" si="3"/>
        <v>#VALUE!</v>
      </c>
      <c r="L1520" t="s">
        <v>4903</v>
      </c>
      <c r="M1520" t="str">
        <f>IF(L1520="1",_xlfn.XLOOKUP(K1520,ZLP2!$D$10:$D$20,ZLP2!$H$10:$H$20,ZLP2!$H$10,-1),"FFS")</f>
        <v>FFS</v>
      </c>
      <c r="N1520" t="e">
        <f>IF(L1520="2",_xlfn.XLOOKUP(K1520,ZLP2!$N$10:$N$20,ZLP2!$R$10:$R$20,ZLP2!$R$10,-1),"FFS")</f>
        <v>#VALUE!</v>
      </c>
      <c r="O1520" t="str">
        <f>IF(L1520="4",_xlfn.XLOOKUP(K1520,ZLP2!$W$10:$W$20,ZLP2!$AA$10:$AA$20,ZLP2!$AA$10,-1),"FFS")</f>
        <v>FFS</v>
      </c>
      <c r="P1520" t="str">
        <f t="shared" ref="P1520:P1583" si="4">IF(ISNUMBER(M1520),M1520,IF(ISNUMBER(N1520),N1520,IF(ISNUMBER(O1520),O1520, "")))</f>
        <v/>
      </c>
      <c r="Q1520" s="1" t="s">
        <v>4910</v>
      </c>
    </row>
    <row r="1521" spans="1:17" ht="15.75" thickBot="1" x14ac:dyDescent="0.3">
      <c r="A1521">
        <v>28232</v>
      </c>
      <c r="B1521" t="s">
        <v>172</v>
      </c>
      <c r="C1521" t="s">
        <v>4566</v>
      </c>
      <c r="D1521" s="75">
        <v>6.98</v>
      </c>
      <c r="E1521">
        <v>95</v>
      </c>
      <c r="F1521" s="54"/>
      <c r="G1521">
        <f>_xlfn.XLOOKUP(Table1[[#This Row],[part_number]],'ZLP 1'!$B$11:$B$55,'ZLP 1'!$E$11:$E$55,"SPECIAL")</f>
        <v>6.98</v>
      </c>
      <c r="H1521" t="s">
        <v>4805</v>
      </c>
      <c r="I1521" t="str" cm="1">
        <f t="array" ref="I1521">_xlfn.TEXTSPLIT(H1521,"x")</f>
        <v>something went wrong or no NA</v>
      </c>
      <c r="K1521" t="e">
        <f t="shared" ref="K1521:K1584" si="5">I1521*J1521</f>
        <v>#VALUE!</v>
      </c>
      <c r="L1521" t="s">
        <v>4901</v>
      </c>
      <c r="M1521" t="e">
        <f>IF(L1521="1",_xlfn.XLOOKUP(K1521,ZLP2!$D$10:$D$20,ZLP2!$H$10:$H$20,ZLP2!$H$10,-1),"FFS")</f>
        <v>#VALUE!</v>
      </c>
      <c r="N1521" t="str">
        <f>IF(L1521="2",_xlfn.XLOOKUP(K1521,ZLP2!$N$10:$N$20,ZLP2!$R$10:$R$20,ZLP2!$R$10,-1),"FFS")</f>
        <v>FFS</v>
      </c>
      <c r="O1521" t="str">
        <f>IF(L1521="4",_xlfn.XLOOKUP(K1521,ZLP2!$W$10:$W$20,ZLP2!$AA$10:$AA$20,ZLP2!$AA$10,-1),"FFS")</f>
        <v>FFS</v>
      </c>
      <c r="P1521" t="str">
        <f t="shared" si="4"/>
        <v/>
      </c>
      <c r="Q1521" s="1" t="s">
        <v>4910</v>
      </c>
    </row>
    <row r="1522" spans="1:17" ht="15.75" thickBot="1" x14ac:dyDescent="0.3">
      <c r="A1522">
        <v>28233</v>
      </c>
      <c r="B1522" t="s">
        <v>4567</v>
      </c>
      <c r="C1522" t="s">
        <v>4568</v>
      </c>
      <c r="D1522" s="75">
        <v>11.2995</v>
      </c>
      <c r="E1522">
        <v>11</v>
      </c>
      <c r="F1522" s="54"/>
      <c r="G1522" t="str">
        <f>_xlfn.XLOOKUP(Table1[[#This Row],[part_number]],'ZLP 1'!$B$11:$B$55,'ZLP 1'!$E$11:$E$55,"SPECIAL")</f>
        <v>SPECIAL</v>
      </c>
      <c r="H1522" t="s">
        <v>4870</v>
      </c>
      <c r="I1522" t="str" cm="1">
        <f t="array" ref="I1522:J1522">_xlfn.TEXTSPLIT(H1522,"x")</f>
        <v>18</v>
      </c>
      <c r="J1522" t="str">
        <v>30</v>
      </c>
      <c r="K1522">
        <f t="shared" si="5"/>
        <v>540</v>
      </c>
      <c r="L1522" t="s">
        <v>4903</v>
      </c>
      <c r="M1522" t="str">
        <f>IF(L1522="1",_xlfn.XLOOKUP(K1522,ZLP2!$D$10:$D$20,ZLP2!$H$10:$H$20,ZLP2!$H$10,-1),"FFS")</f>
        <v>FFS</v>
      </c>
      <c r="N1522">
        <f>IF(L1522="2",_xlfn.XLOOKUP(K1522,ZLP2!$N$10:$N$20,ZLP2!$R$10:$R$20,ZLP2!$R$10,-1),"FFS")</f>
        <v>11.2995</v>
      </c>
      <c r="O1522" t="str">
        <f>IF(L1522="4",_xlfn.XLOOKUP(K1522,ZLP2!$W$10:$W$20,ZLP2!$AA$10:$AA$20,ZLP2!$AA$10,-1),"FFS")</f>
        <v>FFS</v>
      </c>
      <c r="P1522">
        <f t="shared" si="4"/>
        <v>11.2995</v>
      </c>
      <c r="Q1522" s="1">
        <v>11.2995</v>
      </c>
    </row>
    <row r="1523" spans="1:17" hidden="1" thickBot="1" x14ac:dyDescent="0.3">
      <c r="A1523">
        <v>28230</v>
      </c>
      <c r="B1523" t="s">
        <v>4569</v>
      </c>
      <c r="C1523" t="s">
        <v>4570</v>
      </c>
      <c r="D1523" s="1">
        <v>11.3</v>
      </c>
      <c r="E1523">
        <v>0</v>
      </c>
      <c r="F1523" s="54"/>
      <c r="G1523" t="str">
        <f>_xlfn.XLOOKUP(Table1[[#This Row],[part_number]],'ZLP 1'!$B$11:$B$55,'ZLP 1'!$E$11:$E$55,"SPECIAL")</f>
        <v>SPECIAL</v>
      </c>
      <c r="H1523" t="s">
        <v>4871</v>
      </c>
      <c r="I1523" t="str" cm="1">
        <f t="array" ref="I1523:J1523">_xlfn.TEXTSPLIT(H1523,"x")</f>
        <v xml:space="preserve">18 </v>
      </c>
      <c r="J1523" t="str">
        <v xml:space="preserve"> </v>
      </c>
      <c r="K1523" t="e">
        <f t="shared" si="5"/>
        <v>#VALUE!</v>
      </c>
      <c r="L1523" t="s">
        <v>4902</v>
      </c>
      <c r="M1523" t="str">
        <f>IF(L1523="1",_xlfn.XLOOKUP(K1523,ZLP2!$D$10:$D$20,ZLP2!$H$10:$H$20,ZLP2!$H$10,-1),"FFS")</f>
        <v>FFS</v>
      </c>
      <c r="N1523" t="str">
        <f>IF(L1523="2",_xlfn.XLOOKUP(K1523,ZLP2!$N$10:$N$20,ZLP2!$R$10:$R$20,ZLP2!$R$10,-1),"FFS")</f>
        <v>FFS</v>
      </c>
      <c r="O1523" t="str">
        <f>IF(L1523="4",_xlfn.XLOOKUP(K1523,ZLP2!$W$10:$W$20,ZLP2!$AA$10:$AA$20,ZLP2!$AA$10,-1),"FFS")</f>
        <v>FFS</v>
      </c>
      <c r="P1523" t="str">
        <f t="shared" si="4"/>
        <v/>
      </c>
      <c r="Q1523" s="1" t="s">
        <v>4910</v>
      </c>
    </row>
    <row r="1524" spans="1:17" hidden="1" thickBot="1" x14ac:dyDescent="0.3">
      <c r="A1524">
        <v>28235</v>
      </c>
      <c r="B1524" t="s">
        <v>4571</v>
      </c>
      <c r="C1524" t="s">
        <v>4572</v>
      </c>
      <c r="D1524" s="1">
        <v>11.124000000000001</v>
      </c>
      <c r="E1524">
        <v>0</v>
      </c>
      <c r="F1524" s="54"/>
      <c r="G1524" t="str">
        <f>_xlfn.XLOOKUP(Table1[[#This Row],[part_number]],'ZLP 1'!$B$11:$B$55,'ZLP 1'!$E$11:$E$55,"SPECIAL")</f>
        <v>SPECIAL</v>
      </c>
      <c r="H1524" t="s">
        <v>4872</v>
      </c>
      <c r="I1524" t="str" cm="1">
        <f t="array" ref="I1524:J1524">_xlfn.TEXTSPLIT(H1524,"x")</f>
        <v>18</v>
      </c>
      <c r="J1524" t="str">
        <v>37</v>
      </c>
      <c r="K1524">
        <f t="shared" si="5"/>
        <v>666</v>
      </c>
      <c r="L1524" t="s">
        <v>4901</v>
      </c>
      <c r="M1524">
        <f>IF(L1524="1",_xlfn.XLOOKUP(K1524,ZLP2!$D$10:$D$20,ZLP2!$H$10:$H$20,ZLP2!$H$10,-1),"FFS")</f>
        <v>11.124000000000001</v>
      </c>
      <c r="N1524" t="str">
        <f>IF(L1524="2",_xlfn.XLOOKUP(K1524,ZLP2!$N$10:$N$20,ZLP2!$R$10:$R$20,ZLP2!$R$10,-1),"FFS")</f>
        <v>FFS</v>
      </c>
      <c r="O1524" t="str">
        <f>IF(L1524="4",_xlfn.XLOOKUP(K1524,ZLP2!$W$10:$W$20,ZLP2!$AA$10:$AA$20,ZLP2!$AA$10,-1),"FFS")</f>
        <v>FFS</v>
      </c>
      <c r="P1524">
        <f t="shared" si="4"/>
        <v>11.124000000000001</v>
      </c>
      <c r="Q1524" s="1">
        <v>11.124000000000001</v>
      </c>
    </row>
    <row r="1525" spans="1:17" ht="15.75" thickBot="1" x14ac:dyDescent="0.3">
      <c r="A1525">
        <v>29276</v>
      </c>
      <c r="B1525" t="s">
        <v>4573</v>
      </c>
      <c r="C1525" t="s">
        <v>4574</v>
      </c>
      <c r="D1525" s="75">
        <v>11.3</v>
      </c>
      <c r="E1525">
        <v>72</v>
      </c>
      <c r="F1525" s="54"/>
      <c r="G1525" t="str">
        <f>_xlfn.XLOOKUP(Table1[[#This Row],[part_number]],'ZLP 1'!$B$11:$B$55,'ZLP 1'!$E$11:$E$55,"SPECIAL")</f>
        <v>SPECIAL</v>
      </c>
      <c r="H1525" t="s">
        <v>4873</v>
      </c>
      <c r="I1525" t="str" cm="1">
        <f t="array" ref="I1525">_xlfn.TEXTSPLIT(H1525,"x")</f>
        <v>19 1/</v>
      </c>
      <c r="K1525" t="e">
        <f t="shared" si="5"/>
        <v>#VALUE!</v>
      </c>
      <c r="L1525" t="s">
        <v>4901</v>
      </c>
      <c r="M1525" t="e">
        <f>IF(L1525="1",_xlfn.XLOOKUP(K1525,ZLP2!$D$10:$D$20,ZLP2!$H$10:$H$20,ZLP2!$H$10,-1),"FFS")</f>
        <v>#VALUE!</v>
      </c>
      <c r="N1525" t="str">
        <f>IF(L1525="2",_xlfn.XLOOKUP(K1525,ZLP2!$N$10:$N$20,ZLP2!$R$10:$R$20,ZLP2!$R$10,-1),"FFS")</f>
        <v>FFS</v>
      </c>
      <c r="O1525" t="str">
        <f>IF(L1525="4",_xlfn.XLOOKUP(K1525,ZLP2!$W$10:$W$20,ZLP2!$AA$10:$AA$20,ZLP2!$AA$10,-1),"FFS")</f>
        <v>FFS</v>
      </c>
      <c r="P1525" t="str">
        <f t="shared" si="4"/>
        <v/>
      </c>
      <c r="Q1525" s="1" t="s">
        <v>4910</v>
      </c>
    </row>
    <row r="1526" spans="1:17" hidden="1" thickBot="1" x14ac:dyDescent="0.3">
      <c r="A1526">
        <v>28234</v>
      </c>
      <c r="B1526" t="s">
        <v>4575</v>
      </c>
      <c r="C1526" t="s">
        <v>4576</v>
      </c>
      <c r="D1526" s="1">
        <v>11.3</v>
      </c>
      <c r="E1526">
        <v>0</v>
      </c>
      <c r="F1526" s="54"/>
      <c r="G1526" t="str">
        <f>_xlfn.XLOOKUP(Table1[[#This Row],[part_number]],'ZLP 1'!$B$11:$B$55,'ZLP 1'!$E$11:$E$55,"SPECIAL")</f>
        <v>SPECIAL</v>
      </c>
      <c r="H1526" t="s">
        <v>4873</v>
      </c>
      <c r="I1526" t="str" cm="1">
        <f t="array" ref="I1526">_xlfn.TEXTSPLIT(H1526,"x")</f>
        <v>19 1/</v>
      </c>
      <c r="K1526" t="e">
        <f t="shared" si="5"/>
        <v>#VALUE!</v>
      </c>
      <c r="L1526" t="s">
        <v>4902</v>
      </c>
      <c r="M1526" t="str">
        <f>IF(L1526="1",_xlfn.XLOOKUP(K1526,ZLP2!$D$10:$D$20,ZLP2!$H$10:$H$20,ZLP2!$H$10,-1),"FFS")</f>
        <v>FFS</v>
      </c>
      <c r="N1526" t="str">
        <f>IF(L1526="2",_xlfn.XLOOKUP(K1526,ZLP2!$N$10:$N$20,ZLP2!$R$10:$R$20,ZLP2!$R$10,-1),"FFS")</f>
        <v>FFS</v>
      </c>
      <c r="O1526" t="str">
        <f>IF(L1526="4",_xlfn.XLOOKUP(K1526,ZLP2!$W$10:$W$20,ZLP2!$AA$10:$AA$20,ZLP2!$AA$10,-1),"FFS")</f>
        <v>FFS</v>
      </c>
      <c r="P1526" t="str">
        <f t="shared" si="4"/>
        <v/>
      </c>
      <c r="Q1526" s="1" t="s">
        <v>4910</v>
      </c>
    </row>
    <row r="1527" spans="1:17" ht="15.75" thickBot="1" x14ac:dyDescent="0.3">
      <c r="A1527">
        <v>28237</v>
      </c>
      <c r="B1527" t="s">
        <v>4577</v>
      </c>
      <c r="C1527" t="s">
        <v>4578</v>
      </c>
      <c r="D1527" s="75">
        <v>10.520999999999999</v>
      </c>
      <c r="E1527">
        <v>3</v>
      </c>
      <c r="F1527" s="54"/>
      <c r="G1527" t="str">
        <f>_xlfn.XLOOKUP(Table1[[#This Row],[part_number]],'ZLP 1'!$B$11:$B$55,'ZLP 1'!$E$11:$E$55,"SPECIAL")</f>
        <v>SPECIAL</v>
      </c>
      <c r="H1527" t="s">
        <v>4874</v>
      </c>
      <c r="I1527" t="str" cm="1">
        <f t="array" ref="I1527:J1527">_xlfn.TEXTSPLIT(H1527,"x")</f>
        <v>19</v>
      </c>
      <c r="J1527" t="str">
        <v>24</v>
      </c>
      <c r="K1527">
        <f t="shared" si="5"/>
        <v>456</v>
      </c>
      <c r="L1527" t="s">
        <v>4903</v>
      </c>
      <c r="M1527" t="str">
        <f>IF(L1527="1",_xlfn.XLOOKUP(K1527,ZLP2!$D$10:$D$20,ZLP2!$H$10:$H$20,ZLP2!$H$10,-1),"FFS")</f>
        <v>FFS</v>
      </c>
      <c r="N1527">
        <f>IF(L1527="2",_xlfn.XLOOKUP(K1527,ZLP2!$N$10:$N$20,ZLP2!$R$10:$R$20,ZLP2!$R$10,-1),"FFS")</f>
        <v>10.520999999999999</v>
      </c>
      <c r="O1527" t="str">
        <f>IF(L1527="4",_xlfn.XLOOKUP(K1527,ZLP2!$W$10:$W$20,ZLP2!$AA$10:$AA$20,ZLP2!$AA$10,-1),"FFS")</f>
        <v>FFS</v>
      </c>
      <c r="P1527">
        <f t="shared" si="4"/>
        <v>10.520999999999999</v>
      </c>
      <c r="Q1527" s="1">
        <v>10.520999999999999</v>
      </c>
    </row>
    <row r="1528" spans="1:17" ht="15.75" thickBot="1" x14ac:dyDescent="0.3">
      <c r="A1528">
        <v>28236</v>
      </c>
      <c r="B1528" t="s">
        <v>4579</v>
      </c>
      <c r="C1528" t="s">
        <v>4580</v>
      </c>
      <c r="D1528" s="75">
        <v>10.327500000000001</v>
      </c>
      <c r="E1528">
        <v>11</v>
      </c>
      <c r="F1528" s="54"/>
      <c r="G1528" t="str">
        <f>_xlfn.XLOOKUP(Table1[[#This Row],[part_number]],'ZLP 1'!$B$11:$B$55,'ZLP 1'!$E$11:$E$55,"SPECIAL")</f>
        <v>SPECIAL</v>
      </c>
      <c r="H1528" t="s">
        <v>4875</v>
      </c>
      <c r="I1528" t="str" cm="1">
        <f t="array" ref="I1528:J1528">_xlfn.TEXTSPLIT(H1528,"x")</f>
        <v>19</v>
      </c>
      <c r="J1528" t="str">
        <v>27</v>
      </c>
      <c r="K1528">
        <f t="shared" si="5"/>
        <v>513</v>
      </c>
      <c r="L1528" t="s">
        <v>4901</v>
      </c>
      <c r="M1528">
        <f>IF(L1528="1",_xlfn.XLOOKUP(K1528,ZLP2!$D$10:$D$20,ZLP2!$H$10:$H$20,ZLP2!$H$10,-1),"FFS")</f>
        <v>10.327500000000001</v>
      </c>
      <c r="N1528" t="str">
        <f>IF(L1528="2",_xlfn.XLOOKUP(K1528,ZLP2!$N$10:$N$20,ZLP2!$R$10:$R$20,ZLP2!$R$10,-1),"FFS")</f>
        <v>FFS</v>
      </c>
      <c r="O1528" t="str">
        <f>IF(L1528="4",_xlfn.XLOOKUP(K1528,ZLP2!$W$10:$W$20,ZLP2!$AA$10:$AA$20,ZLP2!$AA$10,-1),"FFS")</f>
        <v>FFS</v>
      </c>
      <c r="P1528">
        <f t="shared" si="4"/>
        <v>10.327500000000001</v>
      </c>
      <c r="Q1528" s="1">
        <v>10.327500000000001</v>
      </c>
    </row>
    <row r="1529" spans="1:17" hidden="1" thickBot="1" x14ac:dyDescent="0.3">
      <c r="A1529">
        <v>28239</v>
      </c>
      <c r="B1529" t="s">
        <v>4581</v>
      </c>
      <c r="C1529" t="s">
        <v>4582</v>
      </c>
      <c r="D1529" s="1">
        <v>9.4600000000000009</v>
      </c>
      <c r="E1529">
        <v>0</v>
      </c>
      <c r="F1529" s="54"/>
      <c r="G1529" t="str">
        <f>_xlfn.XLOOKUP(Table1[[#This Row],[part_number]],'ZLP 1'!$B$11:$B$55,'ZLP 1'!$E$11:$E$55,"SPECIAL")</f>
        <v>SPECIAL</v>
      </c>
      <c r="H1529" t="s">
        <v>4876</v>
      </c>
      <c r="I1529" t="str" cm="1">
        <f t="array" ref="I1529">_xlfn.TEXTSPLIT(H1529,"x")</f>
        <v>20 1/</v>
      </c>
      <c r="K1529" t="e">
        <f t="shared" si="5"/>
        <v>#VALUE!</v>
      </c>
      <c r="L1529" t="s">
        <v>4902</v>
      </c>
      <c r="M1529" t="str">
        <f>IF(L1529="1",_xlfn.XLOOKUP(K1529,ZLP2!$D$10:$D$20,ZLP2!$H$10:$H$20,ZLP2!$H$10,-1),"FFS")</f>
        <v>FFS</v>
      </c>
      <c r="N1529" t="str">
        <f>IF(L1529="2",_xlfn.XLOOKUP(K1529,ZLP2!$N$10:$N$20,ZLP2!$R$10:$R$20,ZLP2!$R$10,-1),"FFS")</f>
        <v>FFS</v>
      </c>
      <c r="O1529" t="str">
        <f>IF(L1529="4",_xlfn.XLOOKUP(K1529,ZLP2!$W$10:$W$20,ZLP2!$AA$10:$AA$20,ZLP2!$AA$10,-1),"FFS")</f>
        <v>FFS</v>
      </c>
      <c r="P1529" t="str">
        <f t="shared" si="4"/>
        <v/>
      </c>
      <c r="Q1529" s="1" t="s">
        <v>4910</v>
      </c>
    </row>
    <row r="1530" spans="1:17" ht="15.75" thickBot="1" x14ac:dyDescent="0.3">
      <c r="A1530">
        <v>28238</v>
      </c>
      <c r="B1530" t="s">
        <v>175</v>
      </c>
      <c r="C1530" t="s">
        <v>4583</v>
      </c>
      <c r="D1530" s="75">
        <v>3.18</v>
      </c>
      <c r="E1530">
        <v>647</v>
      </c>
      <c r="F1530" s="54"/>
      <c r="G1530">
        <f>_xlfn.XLOOKUP(Table1[[#This Row],[part_number]],'ZLP 1'!$B$11:$B$55,'ZLP 1'!$E$11:$E$55,"SPECIAL")</f>
        <v>3.18</v>
      </c>
      <c r="H1530" t="s">
        <v>4805</v>
      </c>
      <c r="I1530" t="str" cm="1">
        <f t="array" ref="I1530">_xlfn.TEXTSPLIT(H1530,"x")</f>
        <v>something went wrong or no NA</v>
      </c>
      <c r="K1530" t="e">
        <f t="shared" si="5"/>
        <v>#VALUE!</v>
      </c>
      <c r="L1530" t="s">
        <v>4901</v>
      </c>
      <c r="M1530" t="e">
        <f>IF(L1530="1",_xlfn.XLOOKUP(K1530,ZLP2!$D$10:$D$20,ZLP2!$H$10:$H$20,ZLP2!$H$10,-1),"FFS")</f>
        <v>#VALUE!</v>
      </c>
      <c r="N1530" t="str">
        <f>IF(L1530="2",_xlfn.XLOOKUP(K1530,ZLP2!$N$10:$N$20,ZLP2!$R$10:$R$20,ZLP2!$R$10,-1),"FFS")</f>
        <v>FFS</v>
      </c>
      <c r="O1530" t="str">
        <f>IF(L1530="4",_xlfn.XLOOKUP(K1530,ZLP2!$W$10:$W$20,ZLP2!$AA$10:$AA$20,ZLP2!$AA$10,-1),"FFS")</f>
        <v>FFS</v>
      </c>
      <c r="P1530" t="str">
        <f t="shared" si="4"/>
        <v/>
      </c>
      <c r="Q1530" s="1" t="s">
        <v>4910</v>
      </c>
    </row>
    <row r="1531" spans="1:17" ht="15.75" thickBot="1" x14ac:dyDescent="0.3">
      <c r="A1531">
        <v>28240</v>
      </c>
      <c r="B1531" t="s">
        <v>154</v>
      </c>
      <c r="C1531" t="s">
        <v>4584</v>
      </c>
      <c r="D1531" s="75">
        <v>3.4161999999999999</v>
      </c>
      <c r="E1531">
        <v>880</v>
      </c>
      <c r="F1531" s="54"/>
      <c r="G1531" t="str">
        <f>_xlfn.XLOOKUP(Table1[[#This Row],[part_number]],'ZLP 1'!$B$11:$B$55,'ZLP 1'!$E$11:$E$55,"SPECIAL")</f>
        <v>SPECIAL</v>
      </c>
      <c r="H1531" t="s">
        <v>4805</v>
      </c>
      <c r="I1531" t="str" cm="1">
        <f t="array" ref="I1531">_xlfn.TEXTSPLIT(H1531,"x")</f>
        <v>something went wrong or no NA</v>
      </c>
      <c r="K1531" t="e">
        <f t="shared" si="5"/>
        <v>#VALUE!</v>
      </c>
      <c r="L1531" t="s">
        <v>4903</v>
      </c>
      <c r="M1531" t="str">
        <f>IF(L1531="1",_xlfn.XLOOKUP(K1531,ZLP2!$D$10:$D$20,ZLP2!$H$10:$H$20,ZLP2!$H$10,-1),"FFS")</f>
        <v>FFS</v>
      </c>
      <c r="N1531" t="e">
        <f>IF(L1531="2",_xlfn.XLOOKUP(K1531,ZLP2!$N$10:$N$20,ZLP2!$R$10:$R$20,ZLP2!$R$10,-1),"FFS")</f>
        <v>#VALUE!</v>
      </c>
      <c r="O1531" t="str">
        <f>IF(L1531="4",_xlfn.XLOOKUP(K1531,ZLP2!$W$10:$W$20,ZLP2!$AA$10:$AA$20,ZLP2!$AA$10,-1),"FFS")</f>
        <v>FFS</v>
      </c>
      <c r="P1531" t="str">
        <f t="shared" si="4"/>
        <v/>
      </c>
      <c r="Q1531" s="1" t="s">
        <v>4910</v>
      </c>
    </row>
    <row r="1532" spans="1:17" ht="15.75" thickBot="1" x14ac:dyDescent="0.3">
      <c r="A1532">
        <v>28242</v>
      </c>
      <c r="B1532" t="s">
        <v>191</v>
      </c>
      <c r="C1532" t="s">
        <v>4585</v>
      </c>
      <c r="D1532" s="75">
        <v>5.5680000000000005</v>
      </c>
      <c r="E1532">
        <v>273</v>
      </c>
      <c r="F1532" s="54"/>
      <c r="G1532" t="str">
        <f>_xlfn.XLOOKUP(Table1[[#This Row],[part_number]],'ZLP 1'!$B$11:$B$55,'ZLP 1'!$E$11:$E$55,"SPECIAL")</f>
        <v>SPECIAL</v>
      </c>
      <c r="H1532" t="s">
        <v>4805</v>
      </c>
      <c r="I1532" t="str" cm="1">
        <f t="array" ref="I1532">_xlfn.TEXTSPLIT(H1532,"x")</f>
        <v>something went wrong or no NA</v>
      </c>
      <c r="K1532" t="e">
        <f t="shared" si="5"/>
        <v>#VALUE!</v>
      </c>
      <c r="L1532" t="s">
        <v>4904</v>
      </c>
      <c r="M1532" t="str">
        <f>IF(L1532="1",_xlfn.XLOOKUP(K1532,ZLP2!$D$10:$D$20,ZLP2!$H$10:$H$20,ZLP2!$H$10,-1),"FFS")</f>
        <v>FFS</v>
      </c>
      <c r="N1532" t="str">
        <f>IF(L1532="2",_xlfn.XLOOKUP(K1532,ZLP2!$N$10:$N$20,ZLP2!$R$10:$R$20,ZLP2!$R$10,-1),"FFS")</f>
        <v>FFS</v>
      </c>
      <c r="O1532" t="e">
        <f>IF(L1532="4",_xlfn.XLOOKUP(K1532,ZLP2!$W$10:$W$20,ZLP2!$AA$10:$AA$20,ZLP2!$AA$10,-1),"FFS")</f>
        <v>#VALUE!</v>
      </c>
      <c r="P1532" t="str">
        <f t="shared" si="4"/>
        <v/>
      </c>
      <c r="Q1532" s="1" t="s">
        <v>4910</v>
      </c>
    </row>
    <row r="1533" spans="1:17" ht="15.75" thickBot="1" x14ac:dyDescent="0.3">
      <c r="A1533">
        <v>28241</v>
      </c>
      <c r="B1533" t="s">
        <v>179</v>
      </c>
      <c r="C1533" t="s">
        <v>4586</v>
      </c>
      <c r="D1533" s="75">
        <v>5.8479999999999999</v>
      </c>
      <c r="E1533">
        <v>109</v>
      </c>
      <c r="F1533" s="54"/>
      <c r="G1533">
        <f>_xlfn.XLOOKUP(Table1[[#This Row],[part_number]],'ZLP 1'!$B$11:$B$55,'ZLP 1'!$E$11:$E$55,"SPECIAL")</f>
        <v>5.8479999999999999</v>
      </c>
      <c r="H1533" t="s">
        <v>4805</v>
      </c>
      <c r="I1533" t="str" cm="1">
        <f t="array" ref="I1533">_xlfn.TEXTSPLIT(H1533,"x")</f>
        <v>something went wrong or no NA</v>
      </c>
      <c r="K1533" t="e">
        <f t="shared" si="5"/>
        <v>#VALUE!</v>
      </c>
      <c r="L1533" t="s">
        <v>4901</v>
      </c>
      <c r="M1533" t="e">
        <f>IF(L1533="1",_xlfn.XLOOKUP(K1533,ZLP2!$D$10:$D$20,ZLP2!$H$10:$H$20,ZLP2!$H$10,-1),"FFS")</f>
        <v>#VALUE!</v>
      </c>
      <c r="N1533" t="str">
        <f>IF(L1533="2",_xlfn.XLOOKUP(K1533,ZLP2!$N$10:$N$20,ZLP2!$R$10:$R$20,ZLP2!$R$10,-1),"FFS")</f>
        <v>FFS</v>
      </c>
      <c r="O1533" t="str">
        <f>IF(L1533="4",_xlfn.XLOOKUP(K1533,ZLP2!$W$10:$W$20,ZLP2!$AA$10:$AA$20,ZLP2!$AA$10,-1),"FFS")</f>
        <v>FFS</v>
      </c>
      <c r="P1533" t="str">
        <f t="shared" si="4"/>
        <v/>
      </c>
      <c r="Q1533" s="1" t="s">
        <v>4910</v>
      </c>
    </row>
    <row r="1534" spans="1:17" ht="15.75" thickBot="1" x14ac:dyDescent="0.3">
      <c r="A1534">
        <v>28244</v>
      </c>
      <c r="B1534" t="s">
        <v>4587</v>
      </c>
      <c r="C1534" t="s">
        <v>4588</v>
      </c>
      <c r="D1534" s="75">
        <v>10.520999999999999</v>
      </c>
      <c r="E1534">
        <v>72</v>
      </c>
      <c r="F1534" s="54"/>
      <c r="G1534" t="str">
        <f>_xlfn.XLOOKUP(Table1[[#This Row],[part_number]],'ZLP 1'!$B$11:$B$55,'ZLP 1'!$E$11:$E$55,"SPECIAL")</f>
        <v>SPECIAL</v>
      </c>
      <c r="H1534" t="s">
        <v>4877</v>
      </c>
      <c r="I1534" t="str" cm="1">
        <f t="array" ref="I1534:J1534">_xlfn.TEXTSPLIT(H1534,"x")</f>
        <v>20</v>
      </c>
      <c r="J1534" t="str">
        <v>22</v>
      </c>
      <c r="K1534">
        <f t="shared" si="5"/>
        <v>440</v>
      </c>
      <c r="L1534" t="s">
        <v>4903</v>
      </c>
      <c r="M1534" t="str">
        <f>IF(L1534="1",_xlfn.XLOOKUP(K1534,ZLP2!$D$10:$D$20,ZLP2!$H$10:$H$20,ZLP2!$H$10,-1),"FFS")</f>
        <v>FFS</v>
      </c>
      <c r="N1534">
        <f>IF(L1534="2",_xlfn.XLOOKUP(K1534,ZLP2!$N$10:$N$20,ZLP2!$R$10:$R$20,ZLP2!$R$10,-1),"FFS")</f>
        <v>10.520999999999999</v>
      </c>
      <c r="O1534" t="str">
        <f>IF(L1534="4",_xlfn.XLOOKUP(K1534,ZLP2!$W$10:$W$20,ZLP2!$AA$10:$AA$20,ZLP2!$AA$10,-1),"FFS")</f>
        <v>FFS</v>
      </c>
      <c r="P1534">
        <f t="shared" si="4"/>
        <v>10.520999999999999</v>
      </c>
      <c r="Q1534" s="1">
        <v>10.520999999999999</v>
      </c>
    </row>
    <row r="1535" spans="1:17" ht="15.75" thickBot="1" x14ac:dyDescent="0.3">
      <c r="A1535">
        <v>28248</v>
      </c>
      <c r="B1535" t="s">
        <v>183</v>
      </c>
      <c r="C1535" t="s">
        <v>4589</v>
      </c>
      <c r="D1535" s="75">
        <v>3.7240000000000002</v>
      </c>
      <c r="E1535">
        <v>195</v>
      </c>
      <c r="F1535" s="54"/>
      <c r="G1535">
        <f>_xlfn.XLOOKUP(Table1[[#This Row],[part_number]],'ZLP 1'!$B$11:$B$55,'ZLP 1'!$E$11:$E$55,"SPECIAL")</f>
        <v>3.7240000000000002</v>
      </c>
      <c r="H1535" t="s">
        <v>4805</v>
      </c>
      <c r="I1535" t="str" cm="1">
        <f t="array" ref="I1535">_xlfn.TEXTSPLIT(H1535,"x")</f>
        <v>something went wrong or no NA</v>
      </c>
      <c r="K1535" t="e">
        <f t="shared" si="5"/>
        <v>#VALUE!</v>
      </c>
      <c r="L1535" t="s">
        <v>4901</v>
      </c>
      <c r="M1535" t="e">
        <f>IF(L1535="1",_xlfn.XLOOKUP(K1535,ZLP2!$D$10:$D$20,ZLP2!$H$10:$H$20,ZLP2!$H$10,-1),"FFS")</f>
        <v>#VALUE!</v>
      </c>
      <c r="N1535" t="str">
        <f>IF(L1535="2",_xlfn.XLOOKUP(K1535,ZLP2!$N$10:$N$20,ZLP2!$R$10:$R$20,ZLP2!$R$10,-1),"FFS")</f>
        <v>FFS</v>
      </c>
      <c r="O1535" t="str">
        <f>IF(L1535="4",_xlfn.XLOOKUP(K1535,ZLP2!$W$10:$W$20,ZLP2!$AA$10:$AA$20,ZLP2!$AA$10,-1),"FFS")</f>
        <v>FFS</v>
      </c>
      <c r="P1535" t="str">
        <f t="shared" si="4"/>
        <v/>
      </c>
      <c r="Q1535" s="1" t="s">
        <v>4910</v>
      </c>
    </row>
    <row r="1536" spans="1:17" ht="15.75" thickBot="1" x14ac:dyDescent="0.3">
      <c r="A1536">
        <v>28243</v>
      </c>
      <c r="B1536" t="s">
        <v>156</v>
      </c>
      <c r="C1536" t="s">
        <v>4590</v>
      </c>
      <c r="D1536" s="75">
        <v>4.0128000000000004</v>
      </c>
      <c r="E1536">
        <v>2185</v>
      </c>
      <c r="F1536" s="54"/>
      <c r="G1536" t="str">
        <f>_xlfn.XLOOKUP(Table1[[#This Row],[part_number]],'ZLP 1'!$B$11:$B$55,'ZLP 1'!$E$11:$E$55,"SPECIAL")</f>
        <v>SPECIAL</v>
      </c>
      <c r="H1536" t="s">
        <v>4805</v>
      </c>
      <c r="I1536" t="str" cm="1">
        <f t="array" ref="I1536">_xlfn.TEXTSPLIT(H1536,"x")</f>
        <v>something went wrong or no NA</v>
      </c>
      <c r="K1536" t="e">
        <f t="shared" si="5"/>
        <v>#VALUE!</v>
      </c>
      <c r="L1536" t="s">
        <v>4903</v>
      </c>
      <c r="M1536" t="str">
        <f>IF(L1536="1",_xlfn.XLOOKUP(K1536,ZLP2!$D$10:$D$20,ZLP2!$H$10:$H$20,ZLP2!$H$10,-1),"FFS")</f>
        <v>FFS</v>
      </c>
      <c r="N1536" t="e">
        <f>IF(L1536="2",_xlfn.XLOOKUP(K1536,ZLP2!$N$10:$N$20,ZLP2!$R$10:$R$20,ZLP2!$R$10,-1),"FFS")</f>
        <v>#VALUE!</v>
      </c>
      <c r="O1536" t="str">
        <f>IF(L1536="4",_xlfn.XLOOKUP(K1536,ZLP2!$W$10:$W$20,ZLP2!$AA$10:$AA$20,ZLP2!$AA$10,-1),"FFS")</f>
        <v>FFS</v>
      </c>
      <c r="P1536" t="str">
        <f t="shared" si="4"/>
        <v/>
      </c>
      <c r="Q1536" s="1" t="s">
        <v>4910</v>
      </c>
    </row>
    <row r="1537" spans="1:17" ht="15.75" thickBot="1" x14ac:dyDescent="0.3">
      <c r="A1537">
        <v>28245</v>
      </c>
      <c r="B1537" t="s">
        <v>194</v>
      </c>
      <c r="C1537" t="s">
        <v>4591</v>
      </c>
      <c r="D1537" s="75">
        <v>6.4319999999999995</v>
      </c>
      <c r="E1537">
        <v>128</v>
      </c>
      <c r="F1537" s="54"/>
      <c r="G1537" t="str">
        <f>_xlfn.XLOOKUP(Table1[[#This Row],[part_number]],'ZLP 1'!$B$11:$B$55,'ZLP 1'!$E$11:$E$55,"SPECIAL")</f>
        <v>SPECIAL</v>
      </c>
      <c r="H1537" t="s">
        <v>4805</v>
      </c>
      <c r="I1537" t="str" cm="1">
        <f t="array" ref="I1537">_xlfn.TEXTSPLIT(H1537,"x")</f>
        <v>something went wrong or no NA</v>
      </c>
      <c r="K1537" t="e">
        <f t="shared" si="5"/>
        <v>#VALUE!</v>
      </c>
      <c r="L1537" t="s">
        <v>4904</v>
      </c>
      <c r="M1537" t="str">
        <f>IF(L1537="1",_xlfn.XLOOKUP(K1537,ZLP2!$D$10:$D$20,ZLP2!$H$10:$H$20,ZLP2!$H$10,-1),"FFS")</f>
        <v>FFS</v>
      </c>
      <c r="N1537" t="str">
        <f>IF(L1537="2",_xlfn.XLOOKUP(K1537,ZLP2!$N$10:$N$20,ZLP2!$R$10:$R$20,ZLP2!$R$10,-1),"FFS")</f>
        <v>FFS</v>
      </c>
      <c r="O1537" t="e">
        <f>IF(L1537="4",_xlfn.XLOOKUP(K1537,ZLP2!$W$10:$W$20,ZLP2!$AA$10:$AA$20,ZLP2!$AA$10,-1),"FFS")</f>
        <v>#VALUE!</v>
      </c>
      <c r="P1537" t="str">
        <f t="shared" si="4"/>
        <v/>
      </c>
      <c r="Q1537" s="1" t="s">
        <v>4910</v>
      </c>
    </row>
    <row r="1538" spans="1:17" ht="15.75" thickBot="1" x14ac:dyDescent="0.3">
      <c r="A1538">
        <v>28246</v>
      </c>
      <c r="B1538" t="s">
        <v>187</v>
      </c>
      <c r="C1538" t="s">
        <v>4592</v>
      </c>
      <c r="D1538" s="75">
        <v>3.6360000000000001</v>
      </c>
      <c r="E1538">
        <v>55</v>
      </c>
      <c r="F1538" s="54"/>
      <c r="G1538">
        <f>_xlfn.XLOOKUP(Table1[[#This Row],[part_number]],'ZLP 1'!$B$11:$B$55,'ZLP 1'!$E$11:$E$55,"SPECIAL")</f>
        <v>3.6360000000000001</v>
      </c>
      <c r="H1538" t="s">
        <v>4805</v>
      </c>
      <c r="I1538" t="str" cm="1">
        <f t="array" ref="I1538">_xlfn.TEXTSPLIT(H1538,"x")</f>
        <v>something went wrong or no NA</v>
      </c>
      <c r="K1538" t="e">
        <f t="shared" si="5"/>
        <v>#VALUE!</v>
      </c>
      <c r="L1538" t="s">
        <v>4901</v>
      </c>
      <c r="M1538" t="e">
        <f>IF(L1538="1",_xlfn.XLOOKUP(K1538,ZLP2!$D$10:$D$20,ZLP2!$H$10:$H$20,ZLP2!$H$10,-1),"FFS")</f>
        <v>#VALUE!</v>
      </c>
      <c r="N1538" t="str">
        <f>IF(L1538="2",_xlfn.XLOOKUP(K1538,ZLP2!$N$10:$N$20,ZLP2!$R$10:$R$20,ZLP2!$R$10,-1),"FFS")</f>
        <v>FFS</v>
      </c>
      <c r="O1538" t="str">
        <f>IF(L1538="4",_xlfn.XLOOKUP(K1538,ZLP2!$W$10:$W$20,ZLP2!$AA$10:$AA$20,ZLP2!$AA$10,-1),"FFS")</f>
        <v>FFS</v>
      </c>
      <c r="P1538" t="str">
        <f t="shared" si="4"/>
        <v/>
      </c>
      <c r="Q1538" s="1" t="s">
        <v>4910</v>
      </c>
    </row>
    <row r="1539" spans="1:17" ht="15.75" thickBot="1" x14ac:dyDescent="0.3">
      <c r="A1539">
        <v>28247</v>
      </c>
      <c r="B1539" t="s">
        <v>159</v>
      </c>
      <c r="C1539" t="s">
        <v>4593</v>
      </c>
      <c r="D1539" s="75">
        <v>11.2995</v>
      </c>
      <c r="E1539">
        <v>1098</v>
      </c>
      <c r="F1539" s="54"/>
      <c r="G1539" t="str">
        <f>_xlfn.XLOOKUP(Table1[[#This Row],[part_number]],'ZLP 1'!$B$11:$B$55,'ZLP 1'!$E$11:$E$55,"SPECIAL")</f>
        <v>SPECIAL</v>
      </c>
      <c r="H1539" t="s">
        <v>4878</v>
      </c>
      <c r="I1539" t="str" cm="1">
        <f t="array" ref="I1539:J1539">_xlfn.TEXTSPLIT(H1539,"x")</f>
        <v>20</v>
      </c>
      <c r="J1539" t="str">
        <v>25</v>
      </c>
      <c r="K1539">
        <f t="shared" si="5"/>
        <v>500</v>
      </c>
      <c r="L1539" t="s">
        <v>4903</v>
      </c>
      <c r="M1539" t="str">
        <f>IF(L1539="1",_xlfn.XLOOKUP(K1539,ZLP2!$D$10:$D$20,ZLP2!$H$10:$H$20,ZLP2!$H$10,-1),"FFS")</f>
        <v>FFS</v>
      </c>
      <c r="N1539">
        <f>IF(L1539="2",_xlfn.XLOOKUP(K1539,ZLP2!$N$10:$N$20,ZLP2!$R$10:$R$20,ZLP2!$R$10,-1),"FFS")</f>
        <v>11.2995</v>
      </c>
      <c r="O1539" t="str">
        <f>IF(L1539="4",_xlfn.XLOOKUP(K1539,ZLP2!$W$10:$W$20,ZLP2!$AA$10:$AA$20,ZLP2!$AA$10,-1),"FFS")</f>
        <v>FFS</v>
      </c>
      <c r="P1539">
        <f t="shared" si="4"/>
        <v>11.2995</v>
      </c>
      <c r="Q1539" s="1">
        <v>11.2995</v>
      </c>
    </row>
    <row r="1540" spans="1:17" ht="15.75" thickBot="1" x14ac:dyDescent="0.3">
      <c r="A1540">
        <v>28249</v>
      </c>
      <c r="B1540" t="s">
        <v>198</v>
      </c>
      <c r="C1540" t="s">
        <v>4594</v>
      </c>
      <c r="D1540" s="75">
        <v>22.725000000000001</v>
      </c>
      <c r="E1540">
        <v>145</v>
      </c>
      <c r="F1540" s="54"/>
      <c r="G1540" t="str">
        <f>_xlfn.XLOOKUP(Table1[[#This Row],[part_number]],'ZLP 1'!$B$11:$B$55,'ZLP 1'!$E$11:$E$55,"SPECIAL")</f>
        <v>SPECIAL</v>
      </c>
      <c r="H1540" t="s">
        <v>4878</v>
      </c>
      <c r="I1540" t="str" cm="1">
        <f t="array" ref="I1540:J1540">_xlfn.TEXTSPLIT(H1540,"x")</f>
        <v>20</v>
      </c>
      <c r="J1540" t="str">
        <v>25</v>
      </c>
      <c r="K1540">
        <f t="shared" si="5"/>
        <v>500</v>
      </c>
      <c r="L1540" t="s">
        <v>4904</v>
      </c>
      <c r="M1540" t="str">
        <f>IF(L1540="1",_xlfn.XLOOKUP(K1540,ZLP2!$D$10:$D$20,ZLP2!$H$10:$H$20,ZLP2!$H$10,-1),"FFS")</f>
        <v>FFS</v>
      </c>
      <c r="N1540" t="str">
        <f>IF(L1540="2",_xlfn.XLOOKUP(K1540,ZLP2!$N$10:$N$20,ZLP2!$R$10:$R$20,ZLP2!$R$10,-1),"FFS")</f>
        <v>FFS</v>
      </c>
      <c r="O1540">
        <f>IF(L1540="4",_xlfn.XLOOKUP(K1540,ZLP2!$W$10:$W$20,ZLP2!$AA$10:$AA$20,ZLP2!$AA$10,-1),"FFS")</f>
        <v>22.725000000000001</v>
      </c>
      <c r="P1540">
        <f t="shared" si="4"/>
        <v>22.725000000000001</v>
      </c>
      <c r="Q1540" s="1">
        <v>22.725000000000001</v>
      </c>
    </row>
    <row r="1541" spans="1:17" ht="15.75" thickBot="1" x14ac:dyDescent="0.3">
      <c r="A1541">
        <v>28250</v>
      </c>
      <c r="B1541" t="s">
        <v>190</v>
      </c>
      <c r="C1541" t="s">
        <v>4595</v>
      </c>
      <c r="D1541" s="75">
        <v>4.74</v>
      </c>
      <c r="E1541">
        <v>162</v>
      </c>
      <c r="F1541" s="54"/>
      <c r="G1541">
        <f>_xlfn.XLOOKUP(Table1[[#This Row],[part_number]],'ZLP 1'!$B$11:$B$55,'ZLP 1'!$E$11:$E$55,"SPECIAL")</f>
        <v>4.74</v>
      </c>
      <c r="H1541" t="s">
        <v>4805</v>
      </c>
      <c r="I1541" t="str" cm="1">
        <f t="array" ref="I1541">_xlfn.TEXTSPLIT(H1541,"x")</f>
        <v>something went wrong or no NA</v>
      </c>
      <c r="K1541" t="e">
        <f t="shared" si="5"/>
        <v>#VALUE!</v>
      </c>
      <c r="L1541" t="s">
        <v>4901</v>
      </c>
      <c r="M1541" t="e">
        <f>IF(L1541="1",_xlfn.XLOOKUP(K1541,ZLP2!$D$10:$D$20,ZLP2!$H$10:$H$20,ZLP2!$H$10,-1),"FFS")</f>
        <v>#VALUE!</v>
      </c>
      <c r="N1541" t="str">
        <f>IF(L1541="2",_xlfn.XLOOKUP(K1541,ZLP2!$N$10:$N$20,ZLP2!$R$10:$R$20,ZLP2!$R$10,-1),"FFS")</f>
        <v>FFS</v>
      </c>
      <c r="O1541" t="str">
        <f>IF(L1541="4",_xlfn.XLOOKUP(K1541,ZLP2!$W$10:$W$20,ZLP2!$AA$10:$AA$20,ZLP2!$AA$10,-1),"FFS")</f>
        <v>FFS</v>
      </c>
      <c r="P1541" t="str">
        <f t="shared" si="4"/>
        <v/>
      </c>
      <c r="Q1541" s="1" t="s">
        <v>4910</v>
      </c>
    </row>
    <row r="1542" spans="1:17" ht="15.75" thickBot="1" x14ac:dyDescent="0.3">
      <c r="A1542">
        <v>28253</v>
      </c>
      <c r="B1542" t="s">
        <v>161</v>
      </c>
      <c r="C1542" t="s">
        <v>4596</v>
      </c>
      <c r="D1542" s="75">
        <v>12.159000000000001</v>
      </c>
      <c r="E1542">
        <v>180</v>
      </c>
      <c r="F1542" s="54"/>
      <c r="G1542" t="str">
        <f>_xlfn.XLOOKUP(Table1[[#This Row],[part_number]],'ZLP 1'!$B$11:$B$55,'ZLP 1'!$E$11:$E$55,"SPECIAL")</f>
        <v>SPECIAL</v>
      </c>
      <c r="H1542" t="s">
        <v>4879</v>
      </c>
      <c r="I1542" t="str" cm="1">
        <f t="array" ref="I1542:J1542">_xlfn.TEXTSPLIT(H1542,"x")</f>
        <v>20</v>
      </c>
      <c r="J1542" t="str">
        <v>30</v>
      </c>
      <c r="K1542">
        <f t="shared" si="5"/>
        <v>600</v>
      </c>
      <c r="L1542" t="s">
        <v>4903</v>
      </c>
      <c r="M1542" t="str">
        <f>IF(L1542="1",_xlfn.XLOOKUP(K1542,ZLP2!$D$10:$D$20,ZLP2!$H$10:$H$20,ZLP2!$H$10,-1),"FFS")</f>
        <v>FFS</v>
      </c>
      <c r="N1542">
        <f>IF(L1542="2",_xlfn.XLOOKUP(K1542,ZLP2!$N$10:$N$20,ZLP2!$R$10:$R$20,ZLP2!$R$10,-1),"FFS")</f>
        <v>12.159000000000001</v>
      </c>
      <c r="O1542" t="str">
        <f>IF(L1542="4",_xlfn.XLOOKUP(K1542,ZLP2!$W$10:$W$20,ZLP2!$AA$10:$AA$20,ZLP2!$AA$10,-1),"FFS")</f>
        <v>FFS</v>
      </c>
      <c r="P1542">
        <f t="shared" si="4"/>
        <v>12.159000000000001</v>
      </c>
      <c r="Q1542" s="1">
        <v>12.159000000000001</v>
      </c>
    </row>
    <row r="1543" spans="1:17" ht="15.75" thickBot="1" x14ac:dyDescent="0.3">
      <c r="A1543">
        <v>29280</v>
      </c>
      <c r="B1543" t="s">
        <v>4597</v>
      </c>
      <c r="C1543" t="s">
        <v>4598</v>
      </c>
      <c r="D1543" s="75">
        <v>12.159000000000001</v>
      </c>
      <c r="E1543">
        <v>12</v>
      </c>
      <c r="F1543" s="54"/>
      <c r="G1543" t="str">
        <f>_xlfn.XLOOKUP(Table1[[#This Row],[part_number]],'ZLP 1'!$B$11:$B$55,'ZLP 1'!$E$11:$E$55,"SPECIAL")</f>
        <v>SPECIAL</v>
      </c>
      <c r="H1543" t="s">
        <v>4879</v>
      </c>
      <c r="I1543" t="str" cm="1">
        <f t="array" ref="I1543:J1543">_xlfn.TEXTSPLIT(H1543,"x")</f>
        <v>20</v>
      </c>
      <c r="J1543" t="str">
        <v>30</v>
      </c>
      <c r="K1543">
        <f t="shared" si="5"/>
        <v>600</v>
      </c>
      <c r="L1543" t="s">
        <v>4903</v>
      </c>
      <c r="M1543" t="str">
        <f>IF(L1543="1",_xlfn.XLOOKUP(K1543,ZLP2!$D$10:$D$20,ZLP2!$H$10:$H$20,ZLP2!$H$10,-1),"FFS")</f>
        <v>FFS</v>
      </c>
      <c r="N1543">
        <f>IF(L1543="2",_xlfn.XLOOKUP(K1543,ZLP2!$N$10:$N$20,ZLP2!$R$10:$R$20,ZLP2!$R$10,-1),"FFS")</f>
        <v>12.159000000000001</v>
      </c>
      <c r="O1543" t="str">
        <f>IF(L1543="4",_xlfn.XLOOKUP(K1543,ZLP2!$W$10:$W$20,ZLP2!$AA$10:$AA$20,ZLP2!$AA$10,-1),"FFS")</f>
        <v>FFS</v>
      </c>
      <c r="P1543">
        <f t="shared" si="4"/>
        <v>12.159000000000001</v>
      </c>
      <c r="Q1543" s="1">
        <v>12.159000000000001</v>
      </c>
    </row>
    <row r="1544" spans="1:17" ht="15.75" thickBot="1" x14ac:dyDescent="0.3">
      <c r="A1544">
        <v>28251</v>
      </c>
      <c r="B1544" t="s">
        <v>4599</v>
      </c>
      <c r="C1544" t="s">
        <v>4600</v>
      </c>
      <c r="D1544" s="75">
        <v>12.8565</v>
      </c>
      <c r="E1544">
        <v>10</v>
      </c>
      <c r="F1544" s="54"/>
      <c r="G1544" t="str">
        <f>_xlfn.XLOOKUP(Table1[[#This Row],[part_number]],'ZLP 1'!$B$11:$B$55,'ZLP 1'!$E$11:$E$55,"SPECIAL")</f>
        <v>SPECIAL</v>
      </c>
      <c r="H1544" t="s">
        <v>4880</v>
      </c>
      <c r="I1544" t="str" cm="1">
        <f t="array" ref="I1544:J1544">_xlfn.TEXTSPLIT(H1544,"x")</f>
        <v>20</v>
      </c>
      <c r="J1544" t="str">
        <v>35</v>
      </c>
      <c r="K1544">
        <f t="shared" si="5"/>
        <v>700</v>
      </c>
      <c r="L1544" t="s">
        <v>4903</v>
      </c>
      <c r="M1544" t="str">
        <f>IF(L1544="1",_xlfn.XLOOKUP(K1544,ZLP2!$D$10:$D$20,ZLP2!$H$10:$H$20,ZLP2!$H$10,-1),"FFS")</f>
        <v>FFS</v>
      </c>
      <c r="N1544">
        <f>IF(L1544="2",_xlfn.XLOOKUP(K1544,ZLP2!$N$10:$N$20,ZLP2!$R$10:$R$20,ZLP2!$R$10,-1),"FFS")</f>
        <v>12.8565</v>
      </c>
      <c r="O1544" t="str">
        <f>IF(L1544="4",_xlfn.XLOOKUP(K1544,ZLP2!$W$10:$W$20,ZLP2!$AA$10:$AA$20,ZLP2!$AA$10,-1),"FFS")</f>
        <v>FFS</v>
      </c>
      <c r="P1544">
        <f t="shared" si="4"/>
        <v>12.8565</v>
      </c>
      <c r="Q1544" s="1">
        <v>12.8565</v>
      </c>
    </row>
    <row r="1545" spans="1:17" hidden="1" thickBot="1" x14ac:dyDescent="0.3">
      <c r="A1545">
        <v>28252</v>
      </c>
      <c r="B1545" t="s">
        <v>4601</v>
      </c>
      <c r="C1545" t="s">
        <v>4602</v>
      </c>
      <c r="D1545" s="1">
        <v>10.52</v>
      </c>
      <c r="E1545">
        <v>0</v>
      </c>
      <c r="F1545" s="54"/>
      <c r="G1545" t="str">
        <f>_xlfn.XLOOKUP(Table1[[#This Row],[part_number]],'ZLP 1'!$B$11:$B$55,'ZLP 1'!$E$11:$E$55,"SPECIAL")</f>
        <v>SPECIAL</v>
      </c>
      <c r="H1545" t="s">
        <v>4881</v>
      </c>
      <c r="I1545" t="str" cm="1">
        <f t="array" ref="I1545">_xlfn.TEXTSPLIT(H1545,"x")</f>
        <v>21-1/</v>
      </c>
      <c r="K1545" t="e">
        <f t="shared" si="5"/>
        <v>#VALUE!</v>
      </c>
      <c r="L1545" t="s">
        <v>4903</v>
      </c>
      <c r="M1545" t="str">
        <f>IF(L1545="1",_xlfn.XLOOKUP(K1545,ZLP2!$D$10:$D$20,ZLP2!$H$10:$H$20,ZLP2!$H$10,-1),"FFS")</f>
        <v>FFS</v>
      </c>
      <c r="N1545" t="e">
        <f>IF(L1545="2",_xlfn.XLOOKUP(K1545,ZLP2!$N$10:$N$20,ZLP2!$R$10:$R$20,ZLP2!$R$10,-1),"FFS")</f>
        <v>#VALUE!</v>
      </c>
      <c r="O1545" t="str">
        <f>IF(L1545="4",_xlfn.XLOOKUP(K1545,ZLP2!$W$10:$W$20,ZLP2!$AA$10:$AA$20,ZLP2!$AA$10,-1),"FFS")</f>
        <v>FFS</v>
      </c>
      <c r="P1545" t="str">
        <f t="shared" si="4"/>
        <v/>
      </c>
      <c r="Q1545" s="1" t="s">
        <v>4910</v>
      </c>
    </row>
    <row r="1546" spans="1:17" hidden="1" thickBot="1" x14ac:dyDescent="0.3">
      <c r="A1546">
        <v>28254</v>
      </c>
      <c r="B1546" t="s">
        <v>4603</v>
      </c>
      <c r="C1546" t="s">
        <v>4604</v>
      </c>
      <c r="D1546" s="1">
        <v>9.4600000000000009</v>
      </c>
      <c r="E1546">
        <v>0</v>
      </c>
      <c r="F1546" s="54"/>
      <c r="G1546" t="str">
        <f>_xlfn.XLOOKUP(Table1[[#This Row],[part_number]],'ZLP 1'!$B$11:$B$55,'ZLP 1'!$E$11:$E$55,"SPECIAL")</f>
        <v>SPECIAL</v>
      </c>
      <c r="H1546" t="s">
        <v>4882</v>
      </c>
      <c r="I1546" t="str" cm="1">
        <f t="array" ref="I1546">_xlfn.TEXTSPLIT(H1546,"x")</f>
        <v>21 1/</v>
      </c>
      <c r="K1546" t="e">
        <f t="shared" si="5"/>
        <v>#VALUE!</v>
      </c>
      <c r="L1546" t="s">
        <v>4903</v>
      </c>
      <c r="M1546" t="str">
        <f>IF(L1546="1",_xlfn.XLOOKUP(K1546,ZLP2!$D$10:$D$20,ZLP2!$H$10:$H$20,ZLP2!$H$10,-1),"FFS")</f>
        <v>FFS</v>
      </c>
      <c r="N1546" t="e">
        <f>IF(L1546="2",_xlfn.XLOOKUP(K1546,ZLP2!$N$10:$N$20,ZLP2!$R$10:$R$20,ZLP2!$R$10,-1),"FFS")</f>
        <v>#VALUE!</v>
      </c>
      <c r="O1546" t="str">
        <f>IF(L1546="4",_xlfn.XLOOKUP(K1546,ZLP2!$W$10:$W$20,ZLP2!$AA$10:$AA$20,ZLP2!$AA$10,-1),"FFS")</f>
        <v>FFS</v>
      </c>
      <c r="P1546" t="str">
        <f t="shared" si="4"/>
        <v/>
      </c>
      <c r="Q1546" s="1" t="s">
        <v>4910</v>
      </c>
    </row>
    <row r="1547" spans="1:17" ht="15.75" thickBot="1" x14ac:dyDescent="0.3">
      <c r="A1547">
        <v>28255</v>
      </c>
      <c r="B1547" t="s">
        <v>4605</v>
      </c>
      <c r="C1547" t="s">
        <v>4606</v>
      </c>
      <c r="D1547" s="75">
        <v>9.6255000000000006</v>
      </c>
      <c r="E1547">
        <v>51</v>
      </c>
      <c r="F1547" s="54"/>
      <c r="G1547" t="str">
        <f>_xlfn.XLOOKUP(Table1[[#This Row],[part_number]],'ZLP 1'!$B$11:$B$55,'ZLP 1'!$E$11:$E$55,"SPECIAL")</f>
        <v>SPECIAL</v>
      </c>
      <c r="H1547" t="s">
        <v>4883</v>
      </c>
      <c r="I1547" t="str" cm="1">
        <f t="array" ref="I1547:J1547">_xlfn.TEXTSPLIT(H1547,"x")</f>
        <v>21</v>
      </c>
      <c r="J1547" t="str">
        <v>21</v>
      </c>
      <c r="K1547">
        <f t="shared" si="5"/>
        <v>441</v>
      </c>
      <c r="L1547" t="s">
        <v>4901</v>
      </c>
      <c r="M1547">
        <f>IF(L1547="1",_xlfn.XLOOKUP(K1547,ZLP2!$D$10:$D$20,ZLP2!$H$10:$H$20,ZLP2!$H$10,-1),"FFS")</f>
        <v>9.6255000000000006</v>
      </c>
      <c r="N1547" t="str">
        <f>IF(L1547="2",_xlfn.XLOOKUP(K1547,ZLP2!$N$10:$N$20,ZLP2!$R$10:$R$20,ZLP2!$R$10,-1),"FFS")</f>
        <v>FFS</v>
      </c>
      <c r="O1547" t="str">
        <f>IF(L1547="4",_xlfn.XLOOKUP(K1547,ZLP2!$W$10:$W$20,ZLP2!$AA$10:$AA$20,ZLP2!$AA$10,-1),"FFS")</f>
        <v>FFS</v>
      </c>
      <c r="P1547">
        <f t="shared" si="4"/>
        <v>9.6255000000000006</v>
      </c>
      <c r="Q1547" s="1">
        <v>9.6255000000000006</v>
      </c>
    </row>
    <row r="1548" spans="1:17" hidden="1" thickBot="1" x14ac:dyDescent="0.3">
      <c r="A1548">
        <v>28256</v>
      </c>
      <c r="B1548" t="s">
        <v>4607</v>
      </c>
      <c r="C1548" t="s">
        <v>4608</v>
      </c>
      <c r="D1548" s="1">
        <v>9.6255000000000006</v>
      </c>
      <c r="E1548">
        <v>0</v>
      </c>
      <c r="F1548" s="54"/>
      <c r="G1548" t="str">
        <f>_xlfn.XLOOKUP(Table1[[#This Row],[part_number]],'ZLP 1'!$B$11:$B$55,'ZLP 1'!$E$11:$E$55,"SPECIAL")</f>
        <v>SPECIAL</v>
      </c>
      <c r="H1548" t="s">
        <v>4884</v>
      </c>
      <c r="I1548" t="str" cm="1">
        <f t="array" ref="I1548:J1548">_xlfn.TEXTSPLIT(H1548,"x")</f>
        <v>21</v>
      </c>
      <c r="J1548" t="str">
        <v>23</v>
      </c>
      <c r="K1548">
        <f t="shared" si="5"/>
        <v>483</v>
      </c>
      <c r="L1548" t="s">
        <v>4901</v>
      </c>
      <c r="M1548">
        <f>IF(L1548="1",_xlfn.XLOOKUP(K1548,ZLP2!$D$10:$D$20,ZLP2!$H$10:$H$20,ZLP2!$H$10,-1),"FFS")</f>
        <v>9.6255000000000006</v>
      </c>
      <c r="N1548" t="str">
        <f>IF(L1548="2",_xlfn.XLOOKUP(K1548,ZLP2!$N$10:$N$20,ZLP2!$R$10:$R$20,ZLP2!$R$10,-1),"FFS")</f>
        <v>FFS</v>
      </c>
      <c r="O1548" t="str">
        <f>IF(L1548="4",_xlfn.XLOOKUP(K1548,ZLP2!$W$10:$W$20,ZLP2!$AA$10:$AA$20,ZLP2!$AA$10,-1),"FFS")</f>
        <v>FFS</v>
      </c>
      <c r="P1548">
        <f t="shared" si="4"/>
        <v>9.6255000000000006</v>
      </c>
      <c r="Q1548" s="1">
        <v>9.6255000000000006</v>
      </c>
    </row>
    <row r="1549" spans="1:17" ht="15.75" thickBot="1" x14ac:dyDescent="0.3">
      <c r="A1549">
        <v>28257</v>
      </c>
      <c r="B1549" t="s">
        <v>4609</v>
      </c>
      <c r="C1549" t="s">
        <v>4610</v>
      </c>
      <c r="D1549" s="75">
        <v>11.2995</v>
      </c>
      <c r="E1549">
        <v>12</v>
      </c>
      <c r="F1549" s="54"/>
      <c r="G1549" t="str">
        <f>_xlfn.XLOOKUP(Table1[[#This Row],[part_number]],'ZLP 1'!$B$11:$B$55,'ZLP 1'!$E$11:$E$55,"SPECIAL")</f>
        <v>SPECIAL</v>
      </c>
      <c r="H1549" t="s">
        <v>4885</v>
      </c>
      <c r="I1549" t="str" cm="1">
        <f t="array" ref="I1549:J1549">_xlfn.TEXTSPLIT(H1549,"x")</f>
        <v>21</v>
      </c>
      <c r="J1549" t="str">
        <v>28</v>
      </c>
      <c r="K1549">
        <f t="shared" si="5"/>
        <v>588</v>
      </c>
      <c r="L1549" t="s">
        <v>4903</v>
      </c>
      <c r="M1549" t="str">
        <f>IF(L1549="1",_xlfn.XLOOKUP(K1549,ZLP2!$D$10:$D$20,ZLP2!$H$10:$H$20,ZLP2!$H$10,-1),"FFS")</f>
        <v>FFS</v>
      </c>
      <c r="N1549">
        <f>IF(L1549="2",_xlfn.XLOOKUP(K1549,ZLP2!$N$10:$N$20,ZLP2!$R$10:$R$20,ZLP2!$R$10,-1),"FFS")</f>
        <v>11.2995</v>
      </c>
      <c r="O1549" t="str">
        <f>IF(L1549="4",_xlfn.XLOOKUP(K1549,ZLP2!$W$10:$W$20,ZLP2!$AA$10:$AA$20,ZLP2!$AA$10,-1),"FFS")</f>
        <v>FFS</v>
      </c>
      <c r="P1549">
        <f t="shared" si="4"/>
        <v>11.2995</v>
      </c>
      <c r="Q1549" s="1">
        <v>11.2995</v>
      </c>
    </row>
    <row r="1550" spans="1:17" ht="15.75" thickBot="1" x14ac:dyDescent="0.3">
      <c r="A1550">
        <v>28259</v>
      </c>
      <c r="B1550" t="s">
        <v>193</v>
      </c>
      <c r="C1550" t="s">
        <v>4611</v>
      </c>
      <c r="D1550" s="75">
        <v>6.516</v>
      </c>
      <c r="E1550">
        <v>163</v>
      </c>
      <c r="F1550" s="54"/>
      <c r="G1550">
        <f>_xlfn.XLOOKUP(Table1[[#This Row],[part_number]],'ZLP 1'!$B$11:$B$55,'ZLP 1'!$E$11:$E$55,"SPECIAL")</f>
        <v>6.516</v>
      </c>
      <c r="H1550" t="s">
        <v>4805</v>
      </c>
      <c r="I1550" t="str" cm="1">
        <f t="array" ref="I1550">_xlfn.TEXTSPLIT(H1550,"x")</f>
        <v>something went wrong or no NA</v>
      </c>
      <c r="K1550" t="e">
        <f t="shared" si="5"/>
        <v>#VALUE!</v>
      </c>
      <c r="L1550" t="s">
        <v>4901</v>
      </c>
      <c r="M1550" t="e">
        <f>IF(L1550="1",_xlfn.XLOOKUP(K1550,ZLP2!$D$10:$D$20,ZLP2!$H$10:$H$20,ZLP2!$H$10,-1),"FFS")</f>
        <v>#VALUE!</v>
      </c>
      <c r="N1550" t="str">
        <f>IF(L1550="2",_xlfn.XLOOKUP(K1550,ZLP2!$N$10:$N$20,ZLP2!$R$10:$R$20,ZLP2!$R$10,-1),"FFS")</f>
        <v>FFS</v>
      </c>
      <c r="O1550" t="str">
        <f>IF(L1550="4",_xlfn.XLOOKUP(K1550,ZLP2!$W$10:$W$20,ZLP2!$AA$10:$AA$20,ZLP2!$AA$10,-1),"FFS")</f>
        <v>FFS</v>
      </c>
      <c r="P1550" t="str">
        <f t="shared" si="4"/>
        <v/>
      </c>
      <c r="Q1550" s="1" t="s">
        <v>4910</v>
      </c>
    </row>
    <row r="1551" spans="1:17" ht="15.75" thickBot="1" x14ac:dyDescent="0.3">
      <c r="A1551">
        <v>28260</v>
      </c>
      <c r="B1551" t="s">
        <v>4612</v>
      </c>
      <c r="C1551" t="s">
        <v>4613</v>
      </c>
      <c r="D1551" s="75">
        <v>10.520999999999999</v>
      </c>
      <c r="E1551">
        <v>5</v>
      </c>
      <c r="F1551" s="54"/>
      <c r="G1551" t="str">
        <f>_xlfn.XLOOKUP(Table1[[#This Row],[part_number]],'ZLP 1'!$B$11:$B$55,'ZLP 1'!$E$11:$E$55,"SPECIAL")</f>
        <v>SPECIAL</v>
      </c>
      <c r="H1551" t="s">
        <v>4886</v>
      </c>
      <c r="I1551" t="str" cm="1">
        <f t="array" ref="I1551:J1551">_xlfn.TEXTSPLIT(H1551,"x")</f>
        <v>22</v>
      </c>
      <c r="J1551" t="str">
        <v>22</v>
      </c>
      <c r="K1551">
        <f t="shared" si="5"/>
        <v>484</v>
      </c>
      <c r="L1551" t="s">
        <v>4903</v>
      </c>
      <c r="M1551" t="str">
        <f>IF(L1551="1",_xlfn.XLOOKUP(K1551,ZLP2!$D$10:$D$20,ZLP2!$H$10:$H$20,ZLP2!$H$10,-1),"FFS")</f>
        <v>FFS</v>
      </c>
      <c r="N1551">
        <f>IF(L1551="2",_xlfn.XLOOKUP(K1551,ZLP2!$N$10:$N$20,ZLP2!$R$10:$R$20,ZLP2!$R$10,-1),"FFS")</f>
        <v>10.520999999999999</v>
      </c>
      <c r="O1551" t="str">
        <f>IF(L1551="4",_xlfn.XLOOKUP(K1551,ZLP2!$W$10:$W$20,ZLP2!$AA$10:$AA$20,ZLP2!$AA$10,-1),"FFS")</f>
        <v>FFS</v>
      </c>
      <c r="P1551">
        <f t="shared" si="4"/>
        <v>10.520999999999999</v>
      </c>
      <c r="Q1551" s="1">
        <v>10.520999999999999</v>
      </c>
    </row>
    <row r="1552" spans="1:17" hidden="1" thickBot="1" x14ac:dyDescent="0.3">
      <c r="A1552">
        <v>28261</v>
      </c>
      <c r="B1552" t="s">
        <v>4614</v>
      </c>
      <c r="C1552" t="s">
        <v>4615</v>
      </c>
      <c r="D1552" s="1">
        <v>10.327500000000001</v>
      </c>
      <c r="E1552">
        <v>0</v>
      </c>
      <c r="F1552" s="54"/>
      <c r="G1552" t="str">
        <f>_xlfn.XLOOKUP(Table1[[#This Row],[part_number]],'ZLP 1'!$B$11:$B$55,'ZLP 1'!$E$11:$E$55,"SPECIAL")</f>
        <v>SPECIAL</v>
      </c>
      <c r="H1552" t="s">
        <v>4887</v>
      </c>
      <c r="I1552" t="str" cm="1">
        <f t="array" ref="I1552:J1552">_xlfn.TEXTSPLIT(H1552,"x")</f>
        <v>22</v>
      </c>
      <c r="J1552" t="str">
        <v>24</v>
      </c>
      <c r="K1552">
        <f t="shared" si="5"/>
        <v>528</v>
      </c>
      <c r="L1552" t="s">
        <v>4901</v>
      </c>
      <c r="M1552">
        <f>IF(L1552="1",_xlfn.XLOOKUP(K1552,ZLP2!$D$10:$D$20,ZLP2!$H$10:$H$20,ZLP2!$H$10,-1),"FFS")</f>
        <v>10.327500000000001</v>
      </c>
      <c r="N1552" t="str">
        <f>IF(L1552="2",_xlfn.XLOOKUP(K1552,ZLP2!$N$10:$N$20,ZLP2!$R$10:$R$20,ZLP2!$R$10,-1),"FFS")</f>
        <v>FFS</v>
      </c>
      <c r="O1552" t="str">
        <f>IF(L1552="4",_xlfn.XLOOKUP(K1552,ZLP2!$W$10:$W$20,ZLP2!$AA$10:$AA$20,ZLP2!$AA$10,-1),"FFS")</f>
        <v>FFS</v>
      </c>
      <c r="P1552">
        <f t="shared" si="4"/>
        <v>10.327500000000001</v>
      </c>
      <c r="Q1552" s="1">
        <v>10.327500000000001</v>
      </c>
    </row>
    <row r="1553" spans="1:17" hidden="1" thickBot="1" x14ac:dyDescent="0.3">
      <c r="A1553">
        <v>28258</v>
      </c>
      <c r="B1553" t="s">
        <v>4616</v>
      </c>
      <c r="C1553" t="s">
        <v>4617</v>
      </c>
      <c r="D1553" s="1">
        <v>11.2995</v>
      </c>
      <c r="E1553">
        <v>0</v>
      </c>
      <c r="F1553" s="54"/>
      <c r="G1553" t="str">
        <f>_xlfn.XLOOKUP(Table1[[#This Row],[part_number]],'ZLP 1'!$B$11:$B$55,'ZLP 1'!$E$11:$E$55,"SPECIAL")</f>
        <v>SPECIAL</v>
      </c>
      <c r="H1553" t="s">
        <v>4888</v>
      </c>
      <c r="I1553" t="str" cm="1">
        <f t="array" ref="I1553:J1553">_xlfn.TEXTSPLIT(H1553,"x")</f>
        <v>22</v>
      </c>
      <c r="J1553" t="str">
        <v>26</v>
      </c>
      <c r="K1553">
        <f t="shared" si="5"/>
        <v>572</v>
      </c>
      <c r="L1553" t="s">
        <v>4903</v>
      </c>
      <c r="M1553" t="str">
        <f>IF(L1553="1",_xlfn.XLOOKUP(K1553,ZLP2!$D$10:$D$20,ZLP2!$H$10:$H$20,ZLP2!$H$10,-1),"FFS")</f>
        <v>FFS</v>
      </c>
      <c r="N1553">
        <f>IF(L1553="2",_xlfn.XLOOKUP(K1553,ZLP2!$N$10:$N$20,ZLP2!$R$10:$R$20,ZLP2!$R$10,-1),"FFS")</f>
        <v>11.2995</v>
      </c>
      <c r="O1553" t="str">
        <f>IF(L1553="4",_xlfn.XLOOKUP(K1553,ZLP2!$W$10:$W$20,ZLP2!$AA$10:$AA$20,ZLP2!$AA$10,-1),"FFS")</f>
        <v>FFS</v>
      </c>
      <c r="P1553">
        <f t="shared" si="4"/>
        <v>11.2995</v>
      </c>
      <c r="Q1553" s="1">
        <v>11.2995</v>
      </c>
    </row>
    <row r="1554" spans="1:17" hidden="1" thickBot="1" x14ac:dyDescent="0.3">
      <c r="A1554">
        <v>29222</v>
      </c>
      <c r="B1554" t="s">
        <v>4618</v>
      </c>
      <c r="C1554" t="s">
        <v>4619</v>
      </c>
      <c r="D1554" s="1">
        <v>10.327500000000001</v>
      </c>
      <c r="E1554">
        <v>0</v>
      </c>
      <c r="F1554" s="54"/>
      <c r="G1554" t="str">
        <f>_xlfn.XLOOKUP(Table1[[#This Row],[part_number]],'ZLP 1'!$B$11:$B$55,'ZLP 1'!$E$11:$E$55,"SPECIAL")</f>
        <v>SPECIAL</v>
      </c>
      <c r="H1554" t="s">
        <v>4889</v>
      </c>
      <c r="I1554" t="str" cm="1">
        <f t="array" ref="I1554:J1554">_xlfn.TEXTSPLIT(H1554,"x")</f>
        <v>22</v>
      </c>
      <c r="J1554" t="str">
        <v>27</v>
      </c>
      <c r="K1554">
        <f t="shared" si="5"/>
        <v>594</v>
      </c>
      <c r="L1554" t="s">
        <v>4901</v>
      </c>
      <c r="M1554">
        <f>IF(L1554="1",_xlfn.XLOOKUP(K1554,ZLP2!$D$10:$D$20,ZLP2!$H$10:$H$20,ZLP2!$H$10,-1),"FFS")</f>
        <v>10.327500000000001</v>
      </c>
      <c r="N1554" t="str">
        <f>IF(L1554="2",_xlfn.XLOOKUP(K1554,ZLP2!$N$10:$N$20,ZLP2!$R$10:$R$20,ZLP2!$R$10,-1),"FFS")</f>
        <v>FFS</v>
      </c>
      <c r="O1554" t="str">
        <f>IF(L1554="4",_xlfn.XLOOKUP(K1554,ZLP2!$W$10:$W$20,ZLP2!$AA$10:$AA$20,ZLP2!$AA$10,-1),"FFS")</f>
        <v>FFS</v>
      </c>
      <c r="P1554">
        <f t="shared" si="4"/>
        <v>10.327500000000001</v>
      </c>
      <c r="Q1554" s="1">
        <v>10.327500000000001</v>
      </c>
    </row>
    <row r="1555" spans="1:17" ht="15.75" thickBot="1" x14ac:dyDescent="0.3">
      <c r="A1555">
        <v>29281</v>
      </c>
      <c r="B1555" t="s">
        <v>4620</v>
      </c>
      <c r="C1555" t="s">
        <v>4621</v>
      </c>
      <c r="D1555" s="75">
        <v>24.304500000000001</v>
      </c>
      <c r="E1555">
        <v>24</v>
      </c>
      <c r="F1555" s="54"/>
      <c r="G1555" t="str">
        <f>_xlfn.XLOOKUP(Table1[[#This Row],[part_number]],'ZLP 1'!$B$11:$B$55,'ZLP 1'!$E$11:$E$55,"SPECIAL")</f>
        <v>SPECIAL</v>
      </c>
      <c r="H1555" t="s">
        <v>4890</v>
      </c>
      <c r="I1555" t="str" cm="1">
        <f t="array" ref="I1555:J1555">_xlfn.TEXTSPLIT(H1555,"x")</f>
        <v>23</v>
      </c>
      <c r="J1555" t="str">
        <v>30</v>
      </c>
      <c r="K1555">
        <f t="shared" si="5"/>
        <v>690</v>
      </c>
      <c r="L1555" t="s">
        <v>4904</v>
      </c>
      <c r="M1555" t="str">
        <f>IF(L1555="1",_xlfn.XLOOKUP(K1555,ZLP2!$D$10:$D$20,ZLP2!$H$10:$H$20,ZLP2!$H$10,-1),"FFS")</f>
        <v>FFS</v>
      </c>
      <c r="N1555" t="str">
        <f>IF(L1555="2",_xlfn.XLOOKUP(K1555,ZLP2!$N$10:$N$20,ZLP2!$R$10:$R$20,ZLP2!$R$10,-1),"FFS")</f>
        <v>FFS</v>
      </c>
      <c r="O1555">
        <f>IF(L1555="4",_xlfn.XLOOKUP(K1555,ZLP2!$W$10:$W$20,ZLP2!$AA$10:$AA$20,ZLP2!$AA$10,-1),"FFS")</f>
        <v>24.304500000000001</v>
      </c>
      <c r="P1555">
        <f t="shared" si="4"/>
        <v>24.304500000000001</v>
      </c>
      <c r="Q1555" s="1">
        <v>24.304500000000001</v>
      </c>
    </row>
    <row r="1556" spans="1:17" ht="15.75" thickBot="1" x14ac:dyDescent="0.3">
      <c r="A1556">
        <v>28262</v>
      </c>
      <c r="B1556" t="s">
        <v>196</v>
      </c>
      <c r="C1556" t="s">
        <v>4622</v>
      </c>
      <c r="D1556" s="75">
        <v>4.12</v>
      </c>
      <c r="E1556">
        <v>253</v>
      </c>
      <c r="F1556" s="54"/>
      <c r="G1556">
        <f>_xlfn.XLOOKUP(Table1[[#This Row],[part_number]],'ZLP 1'!$B$11:$B$55,'ZLP 1'!$E$11:$E$55,"SPECIAL")</f>
        <v>4.12</v>
      </c>
      <c r="H1556" t="s">
        <v>4805</v>
      </c>
      <c r="I1556" t="str" cm="1">
        <f t="array" ref="I1556">_xlfn.TEXTSPLIT(H1556,"x")</f>
        <v>something went wrong or no NA</v>
      </c>
      <c r="K1556" t="e">
        <f t="shared" si="5"/>
        <v>#VALUE!</v>
      </c>
      <c r="L1556" t="s">
        <v>4901</v>
      </c>
      <c r="M1556" t="e">
        <f>IF(L1556="1",_xlfn.XLOOKUP(K1556,ZLP2!$D$10:$D$20,ZLP2!$H$10:$H$20,ZLP2!$H$10,-1),"FFS")</f>
        <v>#VALUE!</v>
      </c>
      <c r="N1556" t="str">
        <f>IF(L1556="2",_xlfn.XLOOKUP(K1556,ZLP2!$N$10:$N$20,ZLP2!$R$10:$R$20,ZLP2!$R$10,-1),"FFS")</f>
        <v>FFS</v>
      </c>
      <c r="O1556" t="str">
        <f>IF(L1556="4",_xlfn.XLOOKUP(K1556,ZLP2!$W$10:$W$20,ZLP2!$AA$10:$AA$20,ZLP2!$AA$10,-1),"FFS")</f>
        <v>FFS</v>
      </c>
      <c r="P1556" t="str">
        <f t="shared" si="4"/>
        <v/>
      </c>
      <c r="Q1556" s="1" t="s">
        <v>4910</v>
      </c>
    </row>
    <row r="1557" spans="1:17" ht="15.75" thickBot="1" x14ac:dyDescent="0.3">
      <c r="A1557">
        <v>28263</v>
      </c>
      <c r="B1557" t="s">
        <v>165</v>
      </c>
      <c r="C1557" t="s">
        <v>4623</v>
      </c>
      <c r="D1557" s="75">
        <v>4.3548</v>
      </c>
      <c r="E1557">
        <v>638</v>
      </c>
      <c r="F1557" s="54"/>
      <c r="G1557" t="str">
        <f>_xlfn.XLOOKUP(Table1[[#This Row],[part_number]],'ZLP 1'!$B$11:$B$55,'ZLP 1'!$E$11:$E$55,"SPECIAL")</f>
        <v>SPECIAL</v>
      </c>
      <c r="H1557" t="s">
        <v>4805</v>
      </c>
      <c r="I1557" t="str" cm="1">
        <f t="array" ref="I1557">_xlfn.TEXTSPLIT(H1557,"x")</f>
        <v>something went wrong or no NA</v>
      </c>
      <c r="K1557" t="e">
        <f t="shared" si="5"/>
        <v>#VALUE!</v>
      </c>
      <c r="L1557" t="s">
        <v>4903</v>
      </c>
      <c r="M1557" t="str">
        <f>IF(L1557="1",_xlfn.XLOOKUP(K1557,ZLP2!$D$10:$D$20,ZLP2!$H$10:$H$20,ZLP2!$H$10,-1),"FFS")</f>
        <v>FFS</v>
      </c>
      <c r="N1557" t="e">
        <f>IF(L1557="2",_xlfn.XLOOKUP(K1557,ZLP2!$N$10:$N$20,ZLP2!$R$10:$R$20,ZLP2!$R$10,-1),"FFS")</f>
        <v>#VALUE!</v>
      </c>
      <c r="O1557" t="str">
        <f>IF(L1557="4",_xlfn.XLOOKUP(K1557,ZLP2!$W$10:$W$20,ZLP2!$AA$10:$AA$20,ZLP2!$AA$10,-1),"FFS")</f>
        <v>FFS</v>
      </c>
      <c r="P1557" t="str">
        <f t="shared" si="4"/>
        <v/>
      </c>
      <c r="Q1557" s="1" t="s">
        <v>4910</v>
      </c>
    </row>
    <row r="1558" spans="1:17" ht="15.75" thickBot="1" x14ac:dyDescent="0.3">
      <c r="A1558">
        <v>28264</v>
      </c>
      <c r="B1558" t="s">
        <v>201</v>
      </c>
      <c r="C1558" t="s">
        <v>4624</v>
      </c>
      <c r="D1558" s="75">
        <v>7.3159999999999998</v>
      </c>
      <c r="E1558">
        <v>908</v>
      </c>
      <c r="F1558" s="54"/>
      <c r="G1558" t="str">
        <f>_xlfn.XLOOKUP(Table1[[#This Row],[part_number]],'ZLP 1'!$B$11:$B$55,'ZLP 1'!$E$11:$E$55,"SPECIAL")</f>
        <v>SPECIAL</v>
      </c>
      <c r="H1558" t="s">
        <v>4805</v>
      </c>
      <c r="I1558" t="str" cm="1">
        <f t="array" ref="I1558">_xlfn.TEXTSPLIT(H1558,"x")</f>
        <v>something went wrong or no NA</v>
      </c>
      <c r="K1558" t="e">
        <f t="shared" si="5"/>
        <v>#VALUE!</v>
      </c>
      <c r="L1558" t="s">
        <v>4904</v>
      </c>
      <c r="M1558" t="str">
        <f>IF(L1558="1",_xlfn.XLOOKUP(K1558,ZLP2!$D$10:$D$20,ZLP2!$H$10:$H$20,ZLP2!$H$10,-1),"FFS")</f>
        <v>FFS</v>
      </c>
      <c r="N1558" t="str">
        <f>IF(L1558="2",_xlfn.XLOOKUP(K1558,ZLP2!$N$10:$N$20,ZLP2!$R$10:$R$20,ZLP2!$R$10,-1),"FFS")</f>
        <v>FFS</v>
      </c>
      <c r="O1558" t="e">
        <f>IF(L1558="4",_xlfn.XLOOKUP(K1558,ZLP2!$W$10:$W$20,ZLP2!$AA$10:$AA$20,ZLP2!$AA$10,-1),"FFS")</f>
        <v>#VALUE!</v>
      </c>
      <c r="P1558" t="str">
        <f t="shared" si="4"/>
        <v/>
      </c>
      <c r="Q1558" s="1" t="s">
        <v>4910</v>
      </c>
    </row>
    <row r="1559" spans="1:17" ht="15.75" thickBot="1" x14ac:dyDescent="0.3">
      <c r="A1559">
        <v>29269</v>
      </c>
      <c r="B1559" t="s">
        <v>4625</v>
      </c>
      <c r="C1559" t="s">
        <v>4626</v>
      </c>
      <c r="D1559" s="75">
        <v>11.124000000000001</v>
      </c>
      <c r="E1559">
        <v>24</v>
      </c>
      <c r="F1559" s="54"/>
      <c r="G1559" t="str">
        <f>_xlfn.XLOOKUP(Table1[[#This Row],[part_number]],'ZLP 1'!$B$11:$B$55,'ZLP 1'!$E$11:$E$55,"SPECIAL")</f>
        <v>SPECIAL</v>
      </c>
      <c r="H1559" t="s">
        <v>4891</v>
      </c>
      <c r="I1559" t="str" cm="1">
        <f t="array" ref="I1559:J1559">_xlfn.TEXTSPLIT(H1559,"x")</f>
        <v>24</v>
      </c>
      <c r="J1559" t="str">
        <v>25</v>
      </c>
      <c r="K1559">
        <f t="shared" si="5"/>
        <v>600</v>
      </c>
      <c r="L1559" t="s">
        <v>4901</v>
      </c>
      <c r="M1559">
        <f>IF(L1559="1",_xlfn.XLOOKUP(K1559,ZLP2!$D$10:$D$20,ZLP2!$H$10:$H$20,ZLP2!$H$10,-1),"FFS")</f>
        <v>11.124000000000001</v>
      </c>
      <c r="N1559" t="str">
        <f>IF(L1559="2",_xlfn.XLOOKUP(K1559,ZLP2!$N$10:$N$20,ZLP2!$R$10:$R$20,ZLP2!$R$10,-1),"FFS")</f>
        <v>FFS</v>
      </c>
      <c r="O1559" t="str">
        <f>IF(L1559="4",_xlfn.XLOOKUP(K1559,ZLP2!$W$10:$W$20,ZLP2!$AA$10:$AA$20,ZLP2!$AA$10,-1),"FFS")</f>
        <v>FFS</v>
      </c>
      <c r="P1559">
        <f t="shared" si="4"/>
        <v>11.124000000000001</v>
      </c>
      <c r="Q1559" s="1">
        <v>11.124000000000001</v>
      </c>
    </row>
    <row r="1560" spans="1:17" hidden="1" thickBot="1" x14ac:dyDescent="0.3">
      <c r="A1560">
        <v>28265</v>
      </c>
      <c r="B1560" t="s">
        <v>4627</v>
      </c>
      <c r="C1560" t="s">
        <v>4628</v>
      </c>
      <c r="D1560" s="1">
        <v>12.159000000000001</v>
      </c>
      <c r="E1560">
        <v>0</v>
      </c>
      <c r="F1560" s="54"/>
      <c r="G1560" t="str">
        <f>_xlfn.XLOOKUP(Table1[[#This Row],[part_number]],'ZLP 1'!$B$11:$B$55,'ZLP 1'!$E$11:$E$55,"SPECIAL")</f>
        <v>SPECIAL</v>
      </c>
      <c r="H1560" t="s">
        <v>4891</v>
      </c>
      <c r="I1560" t="str" cm="1">
        <f t="array" ref="I1560:J1560">_xlfn.TEXTSPLIT(H1560,"x")</f>
        <v>24</v>
      </c>
      <c r="J1560" t="str">
        <v>25</v>
      </c>
      <c r="K1560">
        <f t="shared" si="5"/>
        <v>600</v>
      </c>
      <c r="L1560" t="s">
        <v>4903</v>
      </c>
      <c r="M1560" t="str">
        <f>IF(L1560="1",_xlfn.XLOOKUP(K1560,ZLP2!$D$10:$D$20,ZLP2!$H$10:$H$20,ZLP2!$H$10,-1),"FFS")</f>
        <v>FFS</v>
      </c>
      <c r="N1560">
        <f>IF(L1560="2",_xlfn.XLOOKUP(K1560,ZLP2!$N$10:$N$20,ZLP2!$R$10:$R$20,ZLP2!$R$10,-1),"FFS")</f>
        <v>12.159000000000001</v>
      </c>
      <c r="O1560" t="str">
        <f>IF(L1560="4",_xlfn.XLOOKUP(K1560,ZLP2!$W$10:$W$20,ZLP2!$AA$10:$AA$20,ZLP2!$AA$10,-1),"FFS")</f>
        <v>FFS</v>
      </c>
      <c r="P1560">
        <f t="shared" si="4"/>
        <v>12.159000000000001</v>
      </c>
      <c r="Q1560" s="1">
        <v>12.159000000000001</v>
      </c>
    </row>
    <row r="1561" spans="1:17" hidden="1" thickBot="1" x14ac:dyDescent="0.3">
      <c r="A1561">
        <v>28266</v>
      </c>
      <c r="B1561" t="s">
        <v>4629</v>
      </c>
      <c r="C1561" t="s">
        <v>4630</v>
      </c>
      <c r="D1561" s="1">
        <v>12.159000000000001</v>
      </c>
      <c r="E1561">
        <v>0</v>
      </c>
      <c r="F1561" s="54"/>
      <c r="G1561" t="str">
        <f>_xlfn.XLOOKUP(Table1[[#This Row],[part_number]],'ZLP 1'!$B$11:$B$55,'ZLP 1'!$E$11:$E$55,"SPECIAL")</f>
        <v>SPECIAL</v>
      </c>
      <c r="H1561" t="s">
        <v>4892</v>
      </c>
      <c r="I1561" t="str" cm="1">
        <f t="array" ref="I1561:J1561">_xlfn.TEXTSPLIT(H1561,"x")</f>
        <v>24</v>
      </c>
      <c r="J1561" t="str">
        <v>28</v>
      </c>
      <c r="K1561">
        <f t="shared" si="5"/>
        <v>672</v>
      </c>
      <c r="L1561" t="s">
        <v>4903</v>
      </c>
      <c r="M1561" t="str">
        <f>IF(L1561="1",_xlfn.XLOOKUP(K1561,ZLP2!$D$10:$D$20,ZLP2!$H$10:$H$20,ZLP2!$H$10,-1),"FFS")</f>
        <v>FFS</v>
      </c>
      <c r="N1561">
        <f>IF(L1561="2",_xlfn.XLOOKUP(K1561,ZLP2!$N$10:$N$20,ZLP2!$R$10:$R$20,ZLP2!$R$10,-1),"FFS")</f>
        <v>12.159000000000001</v>
      </c>
      <c r="O1561" t="str">
        <f>IF(L1561="4",_xlfn.XLOOKUP(K1561,ZLP2!$W$10:$W$20,ZLP2!$AA$10:$AA$20,ZLP2!$AA$10,-1),"FFS")</f>
        <v>FFS</v>
      </c>
      <c r="P1561">
        <f t="shared" si="4"/>
        <v>12.159000000000001</v>
      </c>
      <c r="Q1561" s="1">
        <v>12.159000000000001</v>
      </c>
    </row>
    <row r="1562" spans="1:17" ht="15.75" thickBot="1" x14ac:dyDescent="0.3">
      <c r="A1562">
        <v>28267</v>
      </c>
      <c r="B1562" t="s">
        <v>200</v>
      </c>
      <c r="C1562" t="s">
        <v>4631</v>
      </c>
      <c r="D1562" s="75">
        <v>7.7</v>
      </c>
      <c r="E1562">
        <v>78</v>
      </c>
      <c r="F1562" s="54"/>
      <c r="G1562">
        <f>_xlfn.XLOOKUP(Table1[[#This Row],[part_number]],'ZLP 1'!$B$11:$B$55,'ZLP 1'!$E$11:$E$55,"SPECIAL")</f>
        <v>7.7</v>
      </c>
      <c r="H1562" t="s">
        <v>4805</v>
      </c>
      <c r="I1562" t="str" cm="1">
        <f t="array" ref="I1562">_xlfn.TEXTSPLIT(H1562,"x")</f>
        <v>something went wrong or no NA</v>
      </c>
      <c r="K1562" t="e">
        <f t="shared" si="5"/>
        <v>#VALUE!</v>
      </c>
      <c r="L1562" t="s">
        <v>4901</v>
      </c>
      <c r="M1562" t="e">
        <f>IF(L1562="1",_xlfn.XLOOKUP(K1562,ZLP2!$D$10:$D$20,ZLP2!$H$10:$H$20,ZLP2!$H$10,-1),"FFS")</f>
        <v>#VALUE!</v>
      </c>
      <c r="N1562" t="str">
        <f>IF(L1562="2",_xlfn.XLOOKUP(K1562,ZLP2!$N$10:$N$20,ZLP2!$R$10:$R$20,ZLP2!$R$10,-1),"FFS")</f>
        <v>FFS</v>
      </c>
      <c r="O1562" t="str">
        <f>IF(L1562="4",_xlfn.XLOOKUP(K1562,ZLP2!$W$10:$W$20,ZLP2!$AA$10:$AA$20,ZLP2!$AA$10,-1),"FFS")</f>
        <v>FFS</v>
      </c>
      <c r="P1562" t="str">
        <f t="shared" si="4"/>
        <v/>
      </c>
      <c r="Q1562" s="1" t="s">
        <v>4910</v>
      </c>
    </row>
    <row r="1563" spans="1:17" ht="15.75" thickBot="1" x14ac:dyDescent="0.3">
      <c r="A1563">
        <v>28268</v>
      </c>
      <c r="B1563" t="s">
        <v>203</v>
      </c>
      <c r="C1563" t="s">
        <v>4632</v>
      </c>
      <c r="D1563" s="75">
        <v>4.62</v>
      </c>
      <c r="E1563">
        <v>108</v>
      </c>
      <c r="F1563" s="54"/>
      <c r="G1563">
        <f>_xlfn.XLOOKUP(Table1[[#This Row],[part_number]],'ZLP 1'!$B$11:$B$55,'ZLP 1'!$E$11:$E$55,"SPECIAL")</f>
        <v>4.62</v>
      </c>
      <c r="H1563" t="s">
        <v>4805</v>
      </c>
      <c r="I1563" t="str" cm="1">
        <f t="array" ref="I1563">_xlfn.TEXTSPLIT(H1563,"x")</f>
        <v>something went wrong or no NA</v>
      </c>
      <c r="K1563" t="e">
        <f t="shared" si="5"/>
        <v>#VALUE!</v>
      </c>
      <c r="L1563" t="s">
        <v>4901</v>
      </c>
      <c r="M1563" t="e">
        <f>IF(L1563="1",_xlfn.XLOOKUP(K1563,ZLP2!$D$10:$D$20,ZLP2!$H$10:$H$20,ZLP2!$H$10,-1),"FFS")</f>
        <v>#VALUE!</v>
      </c>
      <c r="N1563" t="str">
        <f>IF(L1563="2",_xlfn.XLOOKUP(K1563,ZLP2!$N$10:$N$20,ZLP2!$R$10:$R$20,ZLP2!$R$10,-1),"FFS")</f>
        <v>FFS</v>
      </c>
      <c r="O1563" t="str">
        <f>IF(L1563="4",_xlfn.XLOOKUP(K1563,ZLP2!$W$10:$W$20,ZLP2!$AA$10:$AA$20,ZLP2!$AA$10,-1),"FFS")</f>
        <v>FFS</v>
      </c>
      <c r="P1563" t="str">
        <f t="shared" si="4"/>
        <v/>
      </c>
      <c r="Q1563" s="1" t="s">
        <v>4910</v>
      </c>
    </row>
    <row r="1564" spans="1:17" ht="15.75" thickBot="1" x14ac:dyDescent="0.3">
      <c r="A1564">
        <v>28269</v>
      </c>
      <c r="B1564" t="s">
        <v>167</v>
      </c>
      <c r="C1564" t="s">
        <v>4633</v>
      </c>
      <c r="D1564" s="75">
        <v>5.2667999999999999</v>
      </c>
      <c r="E1564">
        <v>154</v>
      </c>
      <c r="F1564" s="54"/>
      <c r="G1564" t="str">
        <f>_xlfn.XLOOKUP(Table1[[#This Row],[part_number]],'ZLP 1'!$B$11:$B$55,'ZLP 1'!$E$11:$E$55,"SPECIAL")</f>
        <v>SPECIAL</v>
      </c>
      <c r="H1564" t="s">
        <v>4805</v>
      </c>
      <c r="I1564" t="str" cm="1">
        <f t="array" ref="I1564">_xlfn.TEXTSPLIT(H1564,"x")</f>
        <v>something went wrong or no NA</v>
      </c>
      <c r="K1564" t="e">
        <f t="shared" si="5"/>
        <v>#VALUE!</v>
      </c>
      <c r="L1564" t="s">
        <v>4903</v>
      </c>
      <c r="M1564" t="str">
        <f>IF(L1564="1",_xlfn.XLOOKUP(K1564,ZLP2!$D$10:$D$20,ZLP2!$H$10:$H$20,ZLP2!$H$10,-1),"FFS")</f>
        <v>FFS</v>
      </c>
      <c r="N1564" t="e">
        <f>IF(L1564="2",_xlfn.XLOOKUP(K1564,ZLP2!$N$10:$N$20,ZLP2!$R$10:$R$20,ZLP2!$R$10,-1),"FFS")</f>
        <v>#VALUE!</v>
      </c>
      <c r="O1564" t="str">
        <f>IF(L1564="4",_xlfn.XLOOKUP(K1564,ZLP2!$W$10:$W$20,ZLP2!$AA$10:$AA$20,ZLP2!$AA$10,-1),"FFS")</f>
        <v>FFS</v>
      </c>
      <c r="P1564" t="str">
        <f t="shared" si="4"/>
        <v/>
      </c>
      <c r="Q1564" s="1" t="s">
        <v>4910</v>
      </c>
    </row>
    <row r="1565" spans="1:17" ht="15.75" thickBot="1" x14ac:dyDescent="0.3">
      <c r="A1565">
        <v>28270</v>
      </c>
      <c r="B1565" t="s">
        <v>4634</v>
      </c>
      <c r="C1565" t="s">
        <v>4635</v>
      </c>
      <c r="D1565" s="75">
        <v>11.754000000000001</v>
      </c>
      <c r="E1565">
        <v>84</v>
      </c>
      <c r="F1565" s="54"/>
      <c r="G1565" t="str">
        <f>_xlfn.XLOOKUP(Table1[[#This Row],[part_number]],'ZLP 1'!$B$11:$B$55,'ZLP 1'!$E$11:$E$55,"SPECIAL")</f>
        <v>SPECIAL</v>
      </c>
      <c r="H1565" t="s">
        <v>4893</v>
      </c>
      <c r="I1565" t="str" cm="1">
        <f t="array" ref="I1565:J1565">_xlfn.TEXTSPLIT(H1565,"x")</f>
        <v>25</v>
      </c>
      <c r="J1565" t="str">
        <v>30</v>
      </c>
      <c r="K1565">
        <f t="shared" si="5"/>
        <v>750</v>
      </c>
      <c r="L1565" t="s">
        <v>4901</v>
      </c>
      <c r="M1565">
        <f>IF(L1565="1",_xlfn.XLOOKUP(K1565,ZLP2!$D$10:$D$20,ZLP2!$H$10:$H$20,ZLP2!$H$10,-1),"FFS")</f>
        <v>11.754000000000001</v>
      </c>
      <c r="N1565" t="str">
        <f>IF(L1565="2",_xlfn.XLOOKUP(K1565,ZLP2!$N$10:$N$20,ZLP2!$R$10:$R$20,ZLP2!$R$10,-1),"FFS")</f>
        <v>FFS</v>
      </c>
      <c r="O1565" t="str">
        <f>IF(L1565="4",_xlfn.XLOOKUP(K1565,ZLP2!$W$10:$W$20,ZLP2!$AA$10:$AA$20,ZLP2!$AA$10,-1),"FFS")</f>
        <v>FFS</v>
      </c>
      <c r="P1565">
        <f t="shared" si="4"/>
        <v>11.754000000000001</v>
      </c>
      <c r="Q1565" s="1">
        <v>11.754000000000001</v>
      </c>
    </row>
    <row r="1566" spans="1:17" ht="15.75" thickBot="1" x14ac:dyDescent="0.3">
      <c r="A1566">
        <v>28272</v>
      </c>
      <c r="B1566" t="s">
        <v>4636</v>
      </c>
      <c r="C1566" t="s">
        <v>4637</v>
      </c>
      <c r="D1566" s="75">
        <v>30.06</v>
      </c>
      <c r="E1566">
        <v>24</v>
      </c>
      <c r="F1566" s="54"/>
      <c r="G1566" t="str">
        <f>_xlfn.XLOOKUP(Table1[[#This Row],[part_number]],'ZLP 1'!$B$11:$B$55,'ZLP 1'!$E$11:$E$55,"SPECIAL")</f>
        <v>SPECIAL</v>
      </c>
      <c r="H1566" t="s">
        <v>4894</v>
      </c>
      <c r="I1566" t="str" cm="1">
        <f t="array" ref="I1566:J1566">_xlfn.TEXTSPLIT(H1566,"x")</f>
        <v>28.5</v>
      </c>
      <c r="J1566" t="str">
        <v/>
      </c>
      <c r="K1566" t="e">
        <f t="shared" si="5"/>
        <v>#VALUE!</v>
      </c>
      <c r="L1566" t="s">
        <v>4904</v>
      </c>
      <c r="M1566" t="str">
        <f>IF(L1566="1",_xlfn.XLOOKUP(K1566,ZLP2!$D$10:$D$20,ZLP2!$H$10:$H$20,ZLP2!$H$10,-1),"FFS")</f>
        <v>FFS</v>
      </c>
      <c r="N1566" t="str">
        <f>IF(L1566="2",_xlfn.XLOOKUP(K1566,ZLP2!$N$10:$N$20,ZLP2!$R$10:$R$20,ZLP2!$R$10,-1),"FFS")</f>
        <v>FFS</v>
      </c>
      <c r="O1566" t="e">
        <f>IF(L1566="4",_xlfn.XLOOKUP(K1566,ZLP2!$W$10:$W$20,ZLP2!$AA$10:$AA$20,ZLP2!$AA$10,-1),"FFS")</f>
        <v>#VALUE!</v>
      </c>
      <c r="P1566" t="str">
        <f t="shared" si="4"/>
        <v/>
      </c>
      <c r="Q1566" s="1" t="s">
        <v>4910</v>
      </c>
    </row>
    <row r="1567" spans="1:17" hidden="1" thickBot="1" x14ac:dyDescent="0.3">
      <c r="A1567">
        <v>28271</v>
      </c>
      <c r="B1567" t="s">
        <v>4638</v>
      </c>
      <c r="C1567" t="s">
        <v>4639</v>
      </c>
      <c r="D1567" s="1">
        <v>10.52</v>
      </c>
      <c r="E1567">
        <v>0</v>
      </c>
      <c r="F1567" s="54"/>
      <c r="G1567" t="str">
        <f>_xlfn.XLOOKUP(Table1[[#This Row],[part_number]],'ZLP 1'!$B$11:$B$55,'ZLP 1'!$E$11:$E$55,"SPECIAL")</f>
        <v>SPECIAL</v>
      </c>
      <c r="H1567" t="s">
        <v>4895</v>
      </c>
      <c r="I1567" t="str" cm="1">
        <f t="array" ref="I1567:J1567">_xlfn.TEXTSPLIT(H1567,"x")</f>
        <v>29</v>
      </c>
      <c r="J1567" t="str">
        <v>17</v>
      </c>
      <c r="K1567">
        <f t="shared" si="5"/>
        <v>493</v>
      </c>
      <c r="L1567" t="s">
        <v>4902</v>
      </c>
      <c r="M1567" t="str">
        <f>IF(L1567="1",_xlfn.XLOOKUP(K1567,ZLP2!$D$10:$D$20,ZLP2!$H$10:$H$20,ZLP2!$H$10,-1),"FFS")</f>
        <v>FFS</v>
      </c>
      <c r="N1567" t="str">
        <f>IF(L1567="2",_xlfn.XLOOKUP(K1567,ZLP2!$N$10:$N$20,ZLP2!$R$10:$R$20,ZLP2!$R$10,-1),"FFS")</f>
        <v>FFS</v>
      </c>
      <c r="O1567" t="str">
        <f>IF(L1567="4",_xlfn.XLOOKUP(K1567,ZLP2!$W$10:$W$20,ZLP2!$AA$10:$AA$20,ZLP2!$AA$10,-1),"FFS")</f>
        <v>FFS</v>
      </c>
      <c r="P1567" t="str">
        <f t="shared" si="4"/>
        <v/>
      </c>
      <c r="Q1567" s="1" t="s">
        <v>4910</v>
      </c>
    </row>
    <row r="1568" spans="1:17" ht="15.75" thickBot="1" x14ac:dyDescent="0.3">
      <c r="A1568">
        <v>28275</v>
      </c>
      <c r="B1568" t="s">
        <v>4640</v>
      </c>
      <c r="C1568" t="s">
        <v>4641</v>
      </c>
      <c r="D1568" s="75">
        <v>12.92</v>
      </c>
      <c r="E1568">
        <v>60</v>
      </c>
      <c r="F1568" s="54"/>
      <c r="G1568" t="str">
        <f>_xlfn.XLOOKUP(Table1[[#This Row],[part_number]],'ZLP 1'!$B$11:$B$55,'ZLP 1'!$E$11:$E$55,"SPECIAL")</f>
        <v>SPECIAL</v>
      </c>
      <c r="H1568">
        <v>29.5</v>
      </c>
      <c r="I1568" t="str" cm="1">
        <f t="array" ref="I1568">_xlfn.TEXTSPLIT(H1568,"x")</f>
        <v>29.5</v>
      </c>
      <c r="J1568">
        <v>29.5</v>
      </c>
      <c r="K1568">
        <f t="shared" si="5"/>
        <v>870.25</v>
      </c>
      <c r="L1568">
        <v>1</v>
      </c>
      <c r="M1568" t="str">
        <f>IF(L1568="1",_xlfn.XLOOKUP(K1568,ZLP2!$D$10:$D$20,ZLP2!$H$10:$H$20,ZLP2!$H$10,-1),"FFS")</f>
        <v>FFS</v>
      </c>
      <c r="N1568" t="str">
        <f>IF(L1568="2",_xlfn.XLOOKUP(K1568,ZLP2!$N$10:$N$20,ZLP2!$R$10:$R$20,ZLP2!$R$10,-1),"FFS")</f>
        <v>FFS</v>
      </c>
      <c r="O1568" t="str">
        <f>IF(L1568="4",_xlfn.XLOOKUP(K1568,ZLP2!$W$10:$W$20,ZLP2!$AA$10:$AA$20,ZLP2!$AA$10,-1),"FFS")</f>
        <v>FFS</v>
      </c>
      <c r="P1568" t="str">
        <f t="shared" si="4"/>
        <v/>
      </c>
      <c r="Q1568" s="1" t="s">
        <v>4910</v>
      </c>
    </row>
    <row r="1569" spans="1:17" ht="15.75" thickBot="1" x14ac:dyDescent="0.3">
      <c r="A1569">
        <v>29279</v>
      </c>
      <c r="B1569" t="s">
        <v>4642</v>
      </c>
      <c r="C1569" t="s">
        <v>4643</v>
      </c>
      <c r="D1569" s="75">
        <v>14.15</v>
      </c>
      <c r="E1569">
        <v>53</v>
      </c>
      <c r="F1569" s="54"/>
      <c r="G1569" t="str">
        <f>_xlfn.XLOOKUP(Table1[[#This Row],[part_number]],'ZLP 1'!$B$11:$B$55,'ZLP 1'!$E$11:$E$55,"SPECIAL")</f>
        <v>SPECIAL</v>
      </c>
      <c r="H1569">
        <v>29.5</v>
      </c>
      <c r="I1569" t="str" cm="1">
        <f t="array" ref="I1569">_xlfn.TEXTSPLIT(H1569,"x")</f>
        <v>29.5</v>
      </c>
      <c r="J1569">
        <v>29.5</v>
      </c>
      <c r="K1569">
        <f t="shared" si="5"/>
        <v>870.25</v>
      </c>
      <c r="L1569">
        <v>2</v>
      </c>
      <c r="M1569" t="str">
        <f>IF(L1569="1",_xlfn.XLOOKUP(K1569,ZLP2!$D$10:$D$20,ZLP2!$H$10:$H$20,ZLP2!$H$10,-1),"FFS")</f>
        <v>FFS</v>
      </c>
      <c r="N1569" t="str">
        <f>IF(L1569="2",_xlfn.XLOOKUP(K1569,ZLP2!$N$10:$N$20,ZLP2!$R$10:$R$20,ZLP2!$R$10,-1),"FFS")</f>
        <v>FFS</v>
      </c>
      <c r="O1569" t="str">
        <f>IF(L1569="4",_xlfn.XLOOKUP(K1569,ZLP2!$W$10:$W$20,ZLP2!$AA$10:$AA$20,ZLP2!$AA$10,-1),"FFS")</f>
        <v>FFS</v>
      </c>
      <c r="P1569" t="str">
        <f t="shared" si="4"/>
        <v/>
      </c>
      <c r="Q1569" s="1" t="s">
        <v>4910</v>
      </c>
    </row>
    <row r="1570" spans="1:17" ht="15.75" thickBot="1" x14ac:dyDescent="0.3">
      <c r="A1570">
        <v>28274</v>
      </c>
      <c r="B1570" t="s">
        <v>4644</v>
      </c>
      <c r="C1570" t="s">
        <v>4645</v>
      </c>
      <c r="D1570" s="75">
        <v>30.06</v>
      </c>
      <c r="E1570">
        <v>5</v>
      </c>
      <c r="F1570" s="54"/>
      <c r="G1570" t="str">
        <f>_xlfn.XLOOKUP(Table1[[#This Row],[part_number]],'ZLP 1'!$B$11:$B$55,'ZLP 1'!$E$11:$E$55,"SPECIAL")</f>
        <v>SPECIAL</v>
      </c>
      <c r="H1570">
        <v>29.5</v>
      </c>
      <c r="I1570" t="str" cm="1">
        <f t="array" ref="I1570">_xlfn.TEXTSPLIT(H1570,"x")</f>
        <v>29.5</v>
      </c>
      <c r="J1570">
        <v>29.5</v>
      </c>
      <c r="K1570">
        <f t="shared" si="5"/>
        <v>870.25</v>
      </c>
      <c r="L1570">
        <v>4</v>
      </c>
      <c r="M1570" t="str">
        <f>IF(L1570="1",_xlfn.XLOOKUP(K1570,ZLP2!$D$10:$D$20,ZLP2!$H$10:$H$20,ZLP2!$H$10,-1),"FFS")</f>
        <v>FFS</v>
      </c>
      <c r="N1570" t="str">
        <f>IF(L1570="2",_xlfn.XLOOKUP(K1570,ZLP2!$N$10:$N$20,ZLP2!$R$10:$R$20,ZLP2!$R$10,-1),"FFS")</f>
        <v>FFS</v>
      </c>
      <c r="O1570" t="str">
        <f>IF(L1570="4",_xlfn.XLOOKUP(K1570,ZLP2!$W$10:$W$20,ZLP2!$AA$10:$AA$20,ZLP2!$AA$10,-1),"FFS")</f>
        <v>FFS</v>
      </c>
      <c r="P1570" t="str">
        <f t="shared" si="4"/>
        <v/>
      </c>
      <c r="Q1570" s="1" t="s">
        <v>4910</v>
      </c>
    </row>
    <row r="1571" spans="1:17" hidden="1" thickBot="1" x14ac:dyDescent="0.3">
      <c r="A1571">
        <v>28273</v>
      </c>
      <c r="B1571" t="s">
        <v>4646</v>
      </c>
      <c r="C1571" t="s">
        <v>4647</v>
      </c>
      <c r="D1571" s="1">
        <v>14.15</v>
      </c>
      <c r="E1571">
        <v>0</v>
      </c>
      <c r="F1571" s="54"/>
      <c r="G1571" t="str">
        <f>_xlfn.XLOOKUP(Table1[[#This Row],[part_number]],'ZLP 1'!$B$11:$B$55,'ZLP 1'!$E$11:$E$55,"SPECIAL")</f>
        <v>SPECIAL</v>
      </c>
      <c r="H1571" t="s">
        <v>4896</v>
      </c>
      <c r="I1571" t="str" cm="1">
        <f t="array" ref="I1571">_xlfn.TEXTSPLIT(H1571,"x")</f>
        <v>30 1/</v>
      </c>
      <c r="K1571" t="e">
        <f t="shared" si="5"/>
        <v>#VALUE!</v>
      </c>
      <c r="L1571" t="s">
        <v>4902</v>
      </c>
      <c r="M1571" t="str">
        <f>IF(L1571="1",_xlfn.XLOOKUP(K1571,ZLP2!$D$10:$D$20,ZLP2!$H$10:$H$20,ZLP2!$H$10,-1),"FFS")</f>
        <v>FFS</v>
      </c>
      <c r="N1571" t="str">
        <f>IF(L1571="2",_xlfn.XLOOKUP(K1571,ZLP2!$N$10:$N$20,ZLP2!$R$10:$R$20,ZLP2!$R$10,-1),"FFS")</f>
        <v>FFS</v>
      </c>
      <c r="O1571" t="str">
        <f>IF(L1571="4",_xlfn.XLOOKUP(K1571,ZLP2!$W$10:$W$20,ZLP2!$AA$10:$AA$20,ZLP2!$AA$10,-1),"FFS")</f>
        <v>FFS</v>
      </c>
      <c r="P1571" t="str">
        <f t="shared" si="4"/>
        <v/>
      </c>
      <c r="Q1571" s="1" t="s">
        <v>4910</v>
      </c>
    </row>
    <row r="1572" spans="1:17" hidden="1" thickBot="1" x14ac:dyDescent="0.3">
      <c r="A1572">
        <v>28276</v>
      </c>
      <c r="B1572" t="s">
        <v>4648</v>
      </c>
      <c r="C1572" t="s">
        <v>4649</v>
      </c>
      <c r="D1572" s="1">
        <v>15.5745</v>
      </c>
      <c r="E1572">
        <v>0</v>
      </c>
      <c r="F1572" s="54"/>
      <c r="G1572" t="str">
        <f>_xlfn.XLOOKUP(Table1[[#This Row],[part_number]],'ZLP 1'!$B$11:$B$55,'ZLP 1'!$E$11:$E$55,"SPECIAL")</f>
        <v>SPECIAL</v>
      </c>
      <c r="H1572" t="s">
        <v>4897</v>
      </c>
      <c r="I1572" t="str" cm="1">
        <f t="array" ref="I1572:J1572">_xlfn.TEXTSPLIT(H1572,"x")</f>
        <v>30</v>
      </c>
      <c r="J1572" t="str">
        <v>44</v>
      </c>
      <c r="K1572">
        <f t="shared" si="5"/>
        <v>1320</v>
      </c>
      <c r="L1572" t="s">
        <v>4903</v>
      </c>
      <c r="M1572" t="str">
        <f>IF(L1572="1",_xlfn.XLOOKUP(K1572,ZLP2!$D$10:$D$20,ZLP2!$H$10:$H$20,ZLP2!$H$10,-1),"FFS")</f>
        <v>FFS</v>
      </c>
      <c r="N1572">
        <f>IF(L1572="2",_xlfn.XLOOKUP(K1572,ZLP2!$N$10:$N$20,ZLP2!$R$10:$R$20,ZLP2!$R$10,-1),"FFS")</f>
        <v>15.5745</v>
      </c>
      <c r="O1572" t="str">
        <f>IF(L1572="4",_xlfn.XLOOKUP(K1572,ZLP2!$W$10:$W$20,ZLP2!$AA$10:$AA$20,ZLP2!$AA$10,-1),"FFS")</f>
        <v>FFS</v>
      </c>
      <c r="P1572">
        <f t="shared" si="4"/>
        <v>15.5745</v>
      </c>
      <c r="Q1572" s="1">
        <v>15.5745</v>
      </c>
    </row>
    <row r="1573" spans="1:17" hidden="1" thickBot="1" x14ac:dyDescent="0.3">
      <c r="A1573">
        <v>28277</v>
      </c>
      <c r="B1573" t="s">
        <v>4650</v>
      </c>
      <c r="C1573" t="s">
        <v>4651</v>
      </c>
      <c r="D1573" s="1">
        <v>6.96</v>
      </c>
      <c r="E1573">
        <v>0</v>
      </c>
      <c r="F1573" s="54"/>
      <c r="G1573" t="str">
        <f>_xlfn.XLOOKUP(Table1[[#This Row],[part_number]],'ZLP 1'!$B$11:$B$55,'ZLP 1'!$E$11:$E$55,"SPECIAL")</f>
        <v>SPECIAL</v>
      </c>
      <c r="H1573" t="s">
        <v>4898</v>
      </c>
      <c r="I1573" t="str" cm="1">
        <f t="array" ref="I1573">_xlfn.TEXTSPLIT(H1573,"x")</f>
        <v>6 1/4</v>
      </c>
      <c r="K1573">
        <f t="shared" si="5"/>
        <v>0</v>
      </c>
      <c r="L1573" t="s">
        <v>4902</v>
      </c>
      <c r="M1573" t="str">
        <f>IF(L1573="1",_xlfn.XLOOKUP(K1573,ZLP2!$D$10:$D$20,ZLP2!$H$10:$H$20,ZLP2!$H$10,-1),"FFS")</f>
        <v>FFS</v>
      </c>
      <c r="N1573" t="str">
        <f>IF(L1573="2",_xlfn.XLOOKUP(K1573,ZLP2!$N$10:$N$20,ZLP2!$R$10:$R$20,ZLP2!$R$10,-1),"FFS")</f>
        <v>FFS</v>
      </c>
      <c r="O1573" t="str">
        <f>IF(L1573="4",_xlfn.XLOOKUP(K1573,ZLP2!$W$10:$W$20,ZLP2!$AA$10:$AA$20,ZLP2!$AA$10,-1),"FFS")</f>
        <v>FFS</v>
      </c>
      <c r="P1573" t="str">
        <f t="shared" si="4"/>
        <v/>
      </c>
      <c r="Q1573" s="1" t="s">
        <v>4910</v>
      </c>
    </row>
    <row r="1574" spans="1:17" hidden="1" thickBot="1" x14ac:dyDescent="0.3">
      <c r="A1574">
        <v>28278</v>
      </c>
      <c r="B1574" t="s">
        <v>4652</v>
      </c>
      <c r="C1574" t="s">
        <v>4653</v>
      </c>
      <c r="D1574" s="1">
        <v>6.9615</v>
      </c>
      <c r="E1574">
        <v>0</v>
      </c>
      <c r="F1574" s="54"/>
      <c r="G1574" t="str">
        <f>_xlfn.XLOOKUP(Table1[[#This Row],[part_number]],'ZLP 1'!$B$11:$B$55,'ZLP 1'!$E$11:$E$55,"SPECIAL")</f>
        <v>SPECIAL</v>
      </c>
      <c r="H1574" t="s">
        <v>4905</v>
      </c>
      <c r="I1574" t="str" cm="1">
        <f t="array" ref="I1574:J1574">_xlfn.TEXTSPLIT(H1574,"x")</f>
        <v>7</v>
      </c>
      <c r="J1574" t="str">
        <v>30</v>
      </c>
      <c r="K1574">
        <f t="shared" si="5"/>
        <v>210</v>
      </c>
      <c r="L1574" t="s">
        <v>4901</v>
      </c>
      <c r="M1574">
        <f>IF(L1574="1",_xlfn.XLOOKUP(K1574,ZLP2!$D$10:$D$20,ZLP2!$H$10:$H$20,ZLP2!$H$10,-1),"FFS")</f>
        <v>6.9615</v>
      </c>
      <c r="N1574" t="str">
        <f>IF(L1574="2",_xlfn.XLOOKUP(K1574,ZLP2!$N$10:$N$20,ZLP2!$R$10:$R$20,ZLP2!$R$10,-1),"FFS")</f>
        <v>FFS</v>
      </c>
      <c r="O1574" t="str">
        <f>IF(L1574="4",_xlfn.XLOOKUP(K1574,ZLP2!$W$10:$W$20,ZLP2!$AA$10:$AA$20,ZLP2!$AA$10,-1),"FFS")</f>
        <v>FFS</v>
      </c>
      <c r="P1574">
        <f t="shared" si="4"/>
        <v>6.9615</v>
      </c>
      <c r="Q1574" s="1">
        <v>6.9615</v>
      </c>
    </row>
    <row r="1575" spans="1:17" hidden="1" thickBot="1" x14ac:dyDescent="0.3">
      <c r="A1575">
        <v>28280</v>
      </c>
      <c r="B1575" t="s">
        <v>4654</v>
      </c>
      <c r="C1575" t="s">
        <v>4655</v>
      </c>
      <c r="D1575" s="1">
        <v>7.6815000000000007</v>
      </c>
      <c r="E1575">
        <v>0</v>
      </c>
      <c r="F1575" s="54"/>
      <c r="G1575" t="str">
        <f>_xlfn.XLOOKUP(Table1[[#This Row],[part_number]],'ZLP 1'!$B$11:$B$55,'ZLP 1'!$E$11:$E$55,"SPECIAL")</f>
        <v>SPECIAL</v>
      </c>
      <c r="H1575" t="s">
        <v>4906</v>
      </c>
      <c r="I1575" t="str" cm="1">
        <f t="array" ref="I1575:J1575">_xlfn.TEXTSPLIT(H1575,"x")</f>
        <v>7</v>
      </c>
      <c r="J1575" t="str">
        <v>38</v>
      </c>
      <c r="K1575">
        <f t="shared" si="5"/>
        <v>266</v>
      </c>
      <c r="L1575" t="s">
        <v>4901</v>
      </c>
      <c r="M1575">
        <f>IF(L1575="1",_xlfn.XLOOKUP(K1575,ZLP2!$D$10:$D$20,ZLP2!$H$10:$H$20,ZLP2!$H$10,-1),"FFS")</f>
        <v>7.6815000000000007</v>
      </c>
      <c r="N1575" t="str">
        <f>IF(L1575="2",_xlfn.XLOOKUP(K1575,ZLP2!$N$10:$N$20,ZLP2!$R$10:$R$20,ZLP2!$R$10,-1),"FFS")</f>
        <v>FFS</v>
      </c>
      <c r="O1575" t="str">
        <f>IF(L1575="4",_xlfn.XLOOKUP(K1575,ZLP2!$W$10:$W$20,ZLP2!$AA$10:$AA$20,ZLP2!$AA$10,-1),"FFS")</f>
        <v>FFS</v>
      </c>
      <c r="P1575">
        <f t="shared" si="4"/>
        <v>7.6815000000000007</v>
      </c>
      <c r="Q1575" s="1">
        <v>7.6815000000000007</v>
      </c>
    </row>
    <row r="1576" spans="1:17" ht="15.75" thickBot="1" x14ac:dyDescent="0.3">
      <c r="A1576">
        <v>28281</v>
      </c>
      <c r="B1576" t="s">
        <v>4656</v>
      </c>
      <c r="C1576" t="s">
        <v>4657</v>
      </c>
      <c r="D1576" s="75">
        <v>5.2425000000000006</v>
      </c>
      <c r="E1576">
        <v>179</v>
      </c>
      <c r="F1576" s="54"/>
      <c r="G1576" t="str">
        <f>_xlfn.XLOOKUP(Table1[[#This Row],[part_number]],'ZLP 1'!$B$11:$B$55,'ZLP 1'!$E$11:$E$55,"SPECIAL")</f>
        <v>SPECIAL</v>
      </c>
      <c r="H1576" t="s">
        <v>4907</v>
      </c>
      <c r="I1576" t="str" cm="1">
        <f t="array" ref="I1576:J1576">_xlfn.TEXTSPLIT(H1576,"x")</f>
        <v>8</v>
      </c>
      <c r="J1576" t="str">
        <v>16</v>
      </c>
      <c r="K1576">
        <f t="shared" si="5"/>
        <v>128</v>
      </c>
      <c r="L1576" t="s">
        <v>4901</v>
      </c>
      <c r="M1576">
        <f>IF(L1576="1",_xlfn.XLOOKUP(K1576,ZLP2!$D$10:$D$20,ZLP2!$H$10:$H$20,ZLP2!$H$10,-1),"FFS")</f>
        <v>5.2425000000000006</v>
      </c>
      <c r="N1576" t="str">
        <f>IF(L1576="2",_xlfn.XLOOKUP(K1576,ZLP2!$N$10:$N$20,ZLP2!$R$10:$R$20,ZLP2!$R$10,-1),"FFS")</f>
        <v>FFS</v>
      </c>
      <c r="O1576" t="str">
        <f>IF(L1576="4",_xlfn.XLOOKUP(K1576,ZLP2!$W$10:$W$20,ZLP2!$AA$10:$AA$20,ZLP2!$AA$10,-1),"FFS")</f>
        <v>FFS</v>
      </c>
      <c r="P1576">
        <f t="shared" si="4"/>
        <v>5.2425000000000006</v>
      </c>
      <c r="Q1576" s="1">
        <v>5.2425000000000006</v>
      </c>
    </row>
    <row r="1577" spans="1:17" ht="15.75" thickBot="1" x14ac:dyDescent="0.3">
      <c r="A1577">
        <v>28279</v>
      </c>
      <c r="B1577" t="s">
        <v>4658</v>
      </c>
      <c r="C1577" t="s">
        <v>4659</v>
      </c>
      <c r="D1577" s="75">
        <v>6.2054999999999998</v>
      </c>
      <c r="E1577">
        <v>126</v>
      </c>
      <c r="F1577" s="54"/>
      <c r="G1577" t="str">
        <f>_xlfn.XLOOKUP(Table1[[#This Row],[part_number]],'ZLP 1'!$B$11:$B$55,'ZLP 1'!$E$11:$E$55,"SPECIAL")</f>
        <v>SPECIAL</v>
      </c>
      <c r="H1577" t="s">
        <v>4908</v>
      </c>
      <c r="I1577" t="str" cm="1">
        <f t="array" ref="I1577:J1577">_xlfn.TEXTSPLIT(H1577,"x")</f>
        <v>8</v>
      </c>
      <c r="J1577" t="str">
        <v>24</v>
      </c>
      <c r="K1577">
        <f t="shared" si="5"/>
        <v>192</v>
      </c>
      <c r="L1577" t="s">
        <v>4901</v>
      </c>
      <c r="M1577">
        <f>IF(L1577="1",_xlfn.XLOOKUP(K1577,ZLP2!$D$10:$D$20,ZLP2!$H$10:$H$20,ZLP2!$H$10,-1),"FFS")</f>
        <v>6.2054999999999998</v>
      </c>
      <c r="N1577" t="str">
        <f>IF(L1577="2",_xlfn.XLOOKUP(K1577,ZLP2!$N$10:$N$20,ZLP2!$R$10:$R$20,ZLP2!$R$10,-1),"FFS")</f>
        <v>FFS</v>
      </c>
      <c r="O1577" t="str">
        <f>IF(L1577="4",_xlfn.XLOOKUP(K1577,ZLP2!$W$10:$W$20,ZLP2!$AA$10:$AA$20,ZLP2!$AA$10,-1),"FFS")</f>
        <v>FFS</v>
      </c>
      <c r="P1577">
        <f t="shared" si="4"/>
        <v>6.2054999999999998</v>
      </c>
      <c r="Q1577" s="1">
        <v>6.2054999999999998</v>
      </c>
    </row>
    <row r="1578" spans="1:17" hidden="1" thickBot="1" x14ac:dyDescent="0.3">
      <c r="A1578">
        <v>28283</v>
      </c>
      <c r="B1578" t="s">
        <v>4660</v>
      </c>
      <c r="C1578" t="s">
        <v>4661</v>
      </c>
      <c r="D1578" s="1">
        <v>6.2054999999999998</v>
      </c>
      <c r="E1578">
        <v>0</v>
      </c>
      <c r="F1578" s="54"/>
      <c r="G1578" t="str">
        <f>_xlfn.XLOOKUP(Table1[[#This Row],[part_number]],'ZLP 1'!$B$11:$B$55,'ZLP 1'!$E$11:$E$55,"SPECIAL")</f>
        <v>SPECIAL</v>
      </c>
      <c r="H1578" t="s">
        <v>4908</v>
      </c>
      <c r="I1578" t="str" cm="1">
        <f t="array" ref="I1578:J1578">_xlfn.TEXTSPLIT(H1578,"x")</f>
        <v>8</v>
      </c>
      <c r="J1578" t="str">
        <v>24</v>
      </c>
      <c r="K1578">
        <f t="shared" si="5"/>
        <v>192</v>
      </c>
      <c r="L1578" t="s">
        <v>4901</v>
      </c>
      <c r="M1578">
        <f>IF(L1578="1",_xlfn.XLOOKUP(K1578,ZLP2!$D$10:$D$20,ZLP2!$H$10:$H$20,ZLP2!$H$10,-1),"FFS")</f>
        <v>6.2054999999999998</v>
      </c>
      <c r="N1578" t="str">
        <f>IF(L1578="2",_xlfn.XLOOKUP(K1578,ZLP2!$N$10:$N$20,ZLP2!$R$10:$R$20,ZLP2!$R$10,-1),"FFS")</f>
        <v>FFS</v>
      </c>
      <c r="O1578" t="str">
        <f>IF(L1578="4",_xlfn.XLOOKUP(K1578,ZLP2!$W$10:$W$20,ZLP2!$AA$10:$AA$20,ZLP2!$AA$10,-1),"FFS")</f>
        <v>FFS</v>
      </c>
      <c r="P1578">
        <f t="shared" si="4"/>
        <v>6.2054999999999998</v>
      </c>
      <c r="Q1578" s="1">
        <v>6.2054999999999998</v>
      </c>
    </row>
    <row r="1579" spans="1:17" ht="15.75" thickBot="1" x14ac:dyDescent="0.3">
      <c r="A1579">
        <v>28282</v>
      </c>
      <c r="B1579" t="s">
        <v>4662</v>
      </c>
      <c r="C1579" t="s">
        <v>4663</v>
      </c>
      <c r="D1579" s="75">
        <v>7.6815000000000007</v>
      </c>
      <c r="E1579">
        <v>79</v>
      </c>
      <c r="F1579" s="54"/>
      <c r="G1579" t="str">
        <f>_xlfn.XLOOKUP(Table1[[#This Row],[part_number]],'ZLP 1'!$B$11:$B$55,'ZLP 1'!$E$11:$E$55,"SPECIAL")</f>
        <v>SPECIAL</v>
      </c>
      <c r="H1579" t="s">
        <v>4909</v>
      </c>
      <c r="I1579" t="str" cm="1">
        <f t="array" ref="I1579:J1579">_xlfn.TEXTSPLIT(H1579,"x")</f>
        <v>8</v>
      </c>
      <c r="J1579" t="str">
        <v>34</v>
      </c>
      <c r="K1579">
        <f t="shared" si="5"/>
        <v>272</v>
      </c>
      <c r="L1579" t="s">
        <v>4901</v>
      </c>
      <c r="M1579">
        <f>IF(L1579="1",_xlfn.XLOOKUP(K1579,ZLP2!$D$10:$D$20,ZLP2!$H$10:$H$20,ZLP2!$H$10,-1),"FFS")</f>
        <v>7.6815000000000007</v>
      </c>
      <c r="N1579" t="str">
        <f>IF(L1579="2",_xlfn.XLOOKUP(K1579,ZLP2!$N$10:$N$20,ZLP2!$R$10:$R$20,ZLP2!$R$10,-1),"FFS")</f>
        <v>FFS</v>
      </c>
      <c r="O1579" t="str">
        <f>IF(L1579="4",_xlfn.XLOOKUP(K1579,ZLP2!$W$10:$W$20,ZLP2!$AA$10:$AA$20,ZLP2!$AA$10,-1),"FFS")</f>
        <v>FFS</v>
      </c>
      <c r="P1579">
        <f t="shared" si="4"/>
        <v>7.6815000000000007</v>
      </c>
      <c r="Q1579" s="1">
        <v>7.6815000000000007</v>
      </c>
    </row>
    <row r="1580" spans="1:17" hidden="1" thickBot="1" x14ac:dyDescent="0.3">
      <c r="A1580">
        <v>28284</v>
      </c>
      <c r="B1580" t="s">
        <v>4664</v>
      </c>
      <c r="C1580" t="s">
        <v>4665</v>
      </c>
      <c r="D1580" s="1">
        <v>7.6815000000000007</v>
      </c>
      <c r="E1580">
        <v>0</v>
      </c>
      <c r="F1580" s="54"/>
      <c r="G1580" t="str">
        <f>_xlfn.XLOOKUP(Table1[[#This Row],[part_number]],'ZLP 1'!$B$11:$B$55,'ZLP 1'!$E$11:$E$55,"SPECIAL")</f>
        <v>SPECIAL</v>
      </c>
      <c r="H1580" t="s">
        <v>4909</v>
      </c>
      <c r="I1580" t="str" cm="1">
        <f t="array" ref="I1580:J1580">_xlfn.TEXTSPLIT(H1580,"x")</f>
        <v>8</v>
      </c>
      <c r="J1580" t="str">
        <v>34</v>
      </c>
      <c r="K1580">
        <f t="shared" si="5"/>
        <v>272</v>
      </c>
      <c r="L1580" t="s">
        <v>4901</v>
      </c>
      <c r="M1580">
        <f>IF(L1580="1",_xlfn.XLOOKUP(K1580,ZLP2!$D$10:$D$20,ZLP2!$H$10:$H$20,ZLP2!$H$10,-1),"FFS")</f>
        <v>7.6815000000000007</v>
      </c>
      <c r="N1580" t="str">
        <f>IF(L1580="2",_xlfn.XLOOKUP(K1580,ZLP2!$N$10:$N$20,ZLP2!$R$10:$R$20,ZLP2!$R$10,-1),"FFS")</f>
        <v>FFS</v>
      </c>
      <c r="O1580" t="str">
        <f>IF(L1580="4",_xlfn.XLOOKUP(K1580,ZLP2!$W$10:$W$20,ZLP2!$AA$10:$AA$20,ZLP2!$AA$10,-1),"FFS")</f>
        <v>FFS</v>
      </c>
      <c r="P1580">
        <f t="shared" si="4"/>
        <v>7.6815000000000007</v>
      </c>
      <c r="Q1580" s="1">
        <v>7.6815000000000007</v>
      </c>
    </row>
    <row r="1581" spans="1:17" hidden="1" thickBot="1" x14ac:dyDescent="0.3">
      <c r="A1581">
        <v>28285</v>
      </c>
      <c r="B1581" t="s">
        <v>4666</v>
      </c>
      <c r="C1581" t="s">
        <v>4667</v>
      </c>
      <c r="D1581" s="1">
        <v>6.11</v>
      </c>
      <c r="E1581">
        <v>0</v>
      </c>
      <c r="F1581" s="54"/>
      <c r="G1581" t="str">
        <f>_xlfn.XLOOKUP(Table1[[#This Row],[part_number]],'ZLP 1'!$B$11:$B$55,'ZLP 1'!$E$11:$E$55,"SPECIAL")</f>
        <v>SPECIAL</v>
      </c>
      <c r="H1581" t="s">
        <v>4899</v>
      </c>
      <c r="I1581" t="str" cm="1">
        <f t="array" ref="I1581">_xlfn.TEXTSPLIT(H1581,"x")</f>
        <v>9 1/2</v>
      </c>
      <c r="K1581">
        <f t="shared" si="5"/>
        <v>0</v>
      </c>
      <c r="L1581" t="s">
        <v>4902</v>
      </c>
      <c r="M1581" t="str">
        <f>IF(L1581="1",_xlfn.XLOOKUP(K1581,ZLP2!$D$10:$D$20,ZLP2!$H$10:$H$20,ZLP2!$H$10,-1),"FFS")</f>
        <v>FFS</v>
      </c>
      <c r="N1581" t="str">
        <f>IF(L1581="2",_xlfn.XLOOKUP(K1581,ZLP2!$N$10:$N$20,ZLP2!$R$10:$R$20,ZLP2!$R$10,-1),"FFS")</f>
        <v>FFS</v>
      </c>
      <c r="O1581" t="str">
        <f>IF(L1581="4",_xlfn.XLOOKUP(K1581,ZLP2!$W$10:$W$20,ZLP2!$AA$10:$AA$20,ZLP2!$AA$10,-1),"FFS")</f>
        <v>FFS</v>
      </c>
      <c r="P1581" t="str">
        <f t="shared" si="4"/>
        <v/>
      </c>
      <c r="Q1581" s="1" t="s">
        <v>4910</v>
      </c>
    </row>
    <row r="1582" spans="1:17" ht="15.75" thickBot="1" x14ac:dyDescent="0.3">
      <c r="A1582">
        <v>28286</v>
      </c>
      <c r="B1582" t="s">
        <v>4668</v>
      </c>
      <c r="C1582" t="s">
        <v>4578</v>
      </c>
      <c r="D1582" s="75">
        <v>10.520999999999999</v>
      </c>
      <c r="E1582">
        <v>24</v>
      </c>
      <c r="F1582" s="54"/>
      <c r="G1582" t="str">
        <f>_xlfn.XLOOKUP(Table1[[#This Row],[part_number]],'ZLP 1'!$B$11:$B$55,'ZLP 1'!$E$11:$E$55,"SPECIAL")</f>
        <v>SPECIAL</v>
      </c>
      <c r="H1582" t="s">
        <v>4874</v>
      </c>
      <c r="I1582" t="str" cm="1">
        <f t="array" ref="I1582:J1582">_xlfn.TEXTSPLIT(H1582,"x")</f>
        <v>19</v>
      </c>
      <c r="J1582" t="str">
        <v>24</v>
      </c>
      <c r="K1582">
        <f t="shared" si="5"/>
        <v>456</v>
      </c>
      <c r="L1582" t="s">
        <v>4903</v>
      </c>
      <c r="M1582" t="str">
        <f>IF(L1582="1",_xlfn.XLOOKUP(K1582,ZLP2!$D$10:$D$20,ZLP2!$H$10:$H$20,ZLP2!$H$10,-1),"FFS")</f>
        <v>FFS</v>
      </c>
      <c r="N1582">
        <f>IF(L1582="2",_xlfn.XLOOKUP(K1582,ZLP2!$N$10:$N$20,ZLP2!$R$10:$R$20,ZLP2!$R$10,-1),"FFS")</f>
        <v>10.520999999999999</v>
      </c>
      <c r="O1582" t="str">
        <f>IF(L1582="4",_xlfn.XLOOKUP(K1582,ZLP2!$W$10:$W$20,ZLP2!$AA$10:$AA$20,ZLP2!$AA$10,-1),"FFS")</f>
        <v>FFS</v>
      </c>
      <c r="P1582">
        <f t="shared" si="4"/>
        <v>10.520999999999999</v>
      </c>
      <c r="Q1582" s="1">
        <v>10.520999999999999</v>
      </c>
    </row>
    <row r="1583" spans="1:17" hidden="1" thickBot="1" x14ac:dyDescent="0.3">
      <c r="A1583">
        <v>28287</v>
      </c>
      <c r="B1583" t="s">
        <v>4669</v>
      </c>
      <c r="C1583" t="s">
        <v>4670</v>
      </c>
      <c r="D1583" s="1">
        <v>8.41</v>
      </c>
      <c r="E1583">
        <v>0</v>
      </c>
      <c r="F1583" s="54"/>
      <c r="G1583" t="str">
        <f>_xlfn.XLOOKUP(Table1[[#This Row],[part_number]],'ZLP 1'!$B$11:$B$55,'ZLP 1'!$E$11:$E$55,"SPECIAL")</f>
        <v>SPECIAL</v>
      </c>
      <c r="H1583" t="s">
        <v>4899</v>
      </c>
      <c r="I1583" t="str" cm="1">
        <f t="array" ref="I1583">_xlfn.TEXTSPLIT(H1583,"x")</f>
        <v>9 1/2</v>
      </c>
      <c r="K1583">
        <f t="shared" si="5"/>
        <v>0</v>
      </c>
      <c r="L1583" t="s">
        <v>4902</v>
      </c>
      <c r="M1583" t="str">
        <f>IF(L1583="1",_xlfn.XLOOKUP(K1583,ZLP2!$D$10:$D$20,ZLP2!$H$10:$H$20,ZLP2!$H$10,-1),"FFS")</f>
        <v>FFS</v>
      </c>
      <c r="N1583" t="str">
        <f>IF(L1583="2",_xlfn.XLOOKUP(K1583,ZLP2!$N$10:$N$20,ZLP2!$R$10:$R$20,ZLP2!$R$10,-1),"FFS")</f>
        <v>FFS</v>
      </c>
      <c r="O1583" t="str">
        <f>IF(L1583="4",_xlfn.XLOOKUP(K1583,ZLP2!$W$10:$W$20,ZLP2!$AA$10:$AA$20,ZLP2!$AA$10,-1),"FFS")</f>
        <v>FFS</v>
      </c>
      <c r="P1583" t="str">
        <f t="shared" si="4"/>
        <v/>
      </c>
      <c r="Q1583" s="1" t="s">
        <v>4910</v>
      </c>
    </row>
    <row r="1584" spans="1:17" hidden="1" thickBot="1" x14ac:dyDescent="0.3">
      <c r="A1584">
        <v>28293</v>
      </c>
      <c r="B1584" t="s">
        <v>4671</v>
      </c>
      <c r="C1584" t="s">
        <v>4672</v>
      </c>
      <c r="D1584" s="1">
        <v>9.4600000000000009</v>
      </c>
      <c r="E1584">
        <v>0</v>
      </c>
      <c r="F1584" s="54"/>
      <c r="G1584" t="str">
        <f>_xlfn.XLOOKUP(Table1[[#This Row],[part_number]],'ZLP 1'!$B$11:$B$55,'ZLP 1'!$E$11:$E$55,"SPECIAL")</f>
        <v>SPECIAL</v>
      </c>
      <c r="H1584" t="s">
        <v>4900</v>
      </c>
      <c r="I1584" t="str" cm="1">
        <f t="array" ref="I1584">_xlfn.TEXTSPLIT(H1584,"x")</f>
        <v xml:space="preserve">13.5 </v>
      </c>
      <c r="K1584">
        <f t="shared" si="5"/>
        <v>0</v>
      </c>
      <c r="L1584" t="s">
        <v>4902</v>
      </c>
      <c r="M1584" t="str">
        <f>IF(L1584="1",_xlfn.XLOOKUP(K1584,ZLP2!$D$10:$D$20,ZLP2!$H$10:$H$20,ZLP2!$H$10,-1),"FFS")</f>
        <v>FFS</v>
      </c>
      <c r="N1584" t="str">
        <f>IF(L1584="2",_xlfn.XLOOKUP(K1584,ZLP2!$N$10:$N$20,ZLP2!$R$10:$R$20,ZLP2!$R$10,-1),"FFS")</f>
        <v>FFS</v>
      </c>
      <c r="O1584" t="str">
        <f>IF(L1584="4",_xlfn.XLOOKUP(K1584,ZLP2!$W$10:$W$20,ZLP2!$AA$10:$AA$20,ZLP2!$AA$10,-1),"FFS")</f>
        <v>FFS</v>
      </c>
      <c r="P1584" t="str">
        <f t="shared" ref="P1584:P1585" si="6">IF(ISNUMBER(M1584),M1584,IF(ISNUMBER(N1584),N1584,IF(ISNUMBER(O1584),O1584, "")))</f>
        <v/>
      </c>
      <c r="Q1584" s="1" t="s">
        <v>4910</v>
      </c>
    </row>
    <row r="1585" spans="1:17" hidden="1" thickBot="1" x14ac:dyDescent="0.3">
      <c r="A1585">
        <v>28290</v>
      </c>
      <c r="B1585" t="s">
        <v>4673</v>
      </c>
      <c r="C1585" t="s">
        <v>4674</v>
      </c>
      <c r="D1585" s="1">
        <v>9.6255000000000006</v>
      </c>
      <c r="E1585">
        <v>0</v>
      </c>
      <c r="F1585" s="54"/>
      <c r="G1585" t="str">
        <f>_xlfn.XLOOKUP(Table1[[#This Row],[part_number]],'ZLP 1'!$B$11:$B$55,'ZLP 1'!$E$11:$E$55,"SPECIAL")</f>
        <v>SPECIAL</v>
      </c>
      <c r="H1585" t="s">
        <v>4850</v>
      </c>
      <c r="I1585" t="str" cm="1">
        <f t="array" ref="I1585:J1585">_xlfn.TEXTSPLIT(H1585,"x")</f>
        <v>15</v>
      </c>
      <c r="J1585" t="str">
        <v>30</v>
      </c>
      <c r="K1585">
        <f t="shared" ref="K1585" si="7">I1585*J1585</f>
        <v>450</v>
      </c>
      <c r="L1585" t="s">
        <v>4901</v>
      </c>
      <c r="M1585">
        <f>IF(L1585="1",_xlfn.XLOOKUP(K1585,ZLP2!$D$10:$D$20,ZLP2!$H$10:$H$20,ZLP2!$H$10,-1),"FFS")</f>
        <v>9.6255000000000006</v>
      </c>
      <c r="N1585" t="str">
        <f>IF(L1585="2",_xlfn.XLOOKUP(K1585,ZLP2!$N$10:$N$20,ZLP2!$R$10:$R$20,ZLP2!$R$10,-1),"FFS")</f>
        <v>FFS</v>
      </c>
      <c r="O1585" t="str">
        <f>IF(L1585="4",_xlfn.XLOOKUP(K1585,ZLP2!$W$10:$W$20,ZLP2!$AA$10:$AA$20,ZLP2!$AA$10,-1),"FFS")</f>
        <v>FFS</v>
      </c>
      <c r="P1585">
        <f t="shared" si="6"/>
        <v>9.6255000000000006</v>
      </c>
      <c r="Q1585" s="1">
        <v>9.6255000000000006</v>
      </c>
    </row>
    <row r="1586" spans="1:17" ht="15.75" thickBot="1" x14ac:dyDescent="0.3">
      <c r="A1586">
        <v>28291</v>
      </c>
      <c r="B1586" t="s">
        <v>1267</v>
      </c>
      <c r="C1586" t="s">
        <v>4675</v>
      </c>
      <c r="D1586" s="75">
        <v>58.5</v>
      </c>
      <c r="E1586">
        <v>81</v>
      </c>
      <c r="F1586" s="54"/>
    </row>
    <row r="1587" spans="1:17" hidden="1" thickBot="1" x14ac:dyDescent="0.3">
      <c r="A1587">
        <v>28289</v>
      </c>
      <c r="B1587" t="s">
        <v>4676</v>
      </c>
      <c r="C1587" t="s">
        <v>4677</v>
      </c>
      <c r="E1587">
        <v>0</v>
      </c>
      <c r="F1587" s="54"/>
    </row>
    <row r="1588" spans="1:17" ht="15.75" thickBot="1" x14ac:dyDescent="0.3">
      <c r="A1588">
        <v>28288</v>
      </c>
      <c r="B1588" t="s">
        <v>4678</v>
      </c>
      <c r="C1588" t="s">
        <v>4679</v>
      </c>
      <c r="D1588" s="75">
        <v>82.37</v>
      </c>
      <c r="E1588">
        <v>76</v>
      </c>
      <c r="F1588" s="54"/>
    </row>
    <row r="1589" spans="1:17" hidden="1" thickBot="1" x14ac:dyDescent="0.3">
      <c r="A1589">
        <v>29221</v>
      </c>
      <c r="B1589" t="s">
        <v>4680</v>
      </c>
      <c r="C1589" t="s">
        <v>4681</v>
      </c>
      <c r="E1589">
        <v>0</v>
      </c>
      <c r="F1589" s="54"/>
    </row>
    <row r="1590" spans="1:17" hidden="1" thickBot="1" x14ac:dyDescent="0.3">
      <c r="A1590">
        <v>29224</v>
      </c>
      <c r="B1590" t="s">
        <v>4682</v>
      </c>
      <c r="C1590" t="s">
        <v>4683</v>
      </c>
      <c r="D1590" s="1" t="s">
        <v>3082</v>
      </c>
      <c r="E1590">
        <v>0</v>
      </c>
      <c r="F1590" s="54"/>
    </row>
    <row r="1591" spans="1:17" hidden="1" thickBot="1" x14ac:dyDescent="0.3">
      <c r="A1591">
        <v>28292</v>
      </c>
      <c r="B1591" t="s">
        <v>4684</v>
      </c>
      <c r="C1591" t="s">
        <v>4685</v>
      </c>
      <c r="E1591">
        <v>0</v>
      </c>
      <c r="F1591" s="54"/>
    </row>
    <row r="1592" spans="1:17" hidden="1" thickBot="1" x14ac:dyDescent="0.3">
      <c r="A1592">
        <v>28294</v>
      </c>
      <c r="B1592" t="s">
        <v>4686</v>
      </c>
      <c r="C1592" t="s">
        <v>4687</v>
      </c>
      <c r="E1592">
        <v>0</v>
      </c>
      <c r="F1592" s="54"/>
    </row>
    <row r="1593" spans="1:17" ht="15.75" thickBot="1" x14ac:dyDescent="0.3">
      <c r="A1593">
        <v>28297</v>
      </c>
      <c r="B1593" t="s">
        <v>4688</v>
      </c>
      <c r="C1593" t="s">
        <v>4689</v>
      </c>
      <c r="D1593" s="75">
        <v>56.59</v>
      </c>
      <c r="E1593">
        <v>4</v>
      </c>
      <c r="F1593" s="54"/>
    </row>
    <row r="1594" spans="1:17" ht="15.75" thickBot="1" x14ac:dyDescent="0.3">
      <c r="A1594">
        <v>28295</v>
      </c>
      <c r="B1594" t="s">
        <v>4690</v>
      </c>
      <c r="C1594" t="s">
        <v>4691</v>
      </c>
      <c r="D1594" s="75">
        <v>48.02</v>
      </c>
      <c r="E1594">
        <v>4</v>
      </c>
      <c r="F1594" s="54"/>
    </row>
    <row r="1595" spans="1:17" hidden="1" thickBot="1" x14ac:dyDescent="0.3">
      <c r="A1595">
        <v>29223</v>
      </c>
      <c r="B1595" t="s">
        <v>4692</v>
      </c>
      <c r="C1595" t="s">
        <v>4693</v>
      </c>
      <c r="E1595">
        <v>0</v>
      </c>
      <c r="F1595" s="54"/>
    </row>
    <row r="1596" spans="1:17" hidden="1" thickBot="1" x14ac:dyDescent="0.3">
      <c r="A1596">
        <v>28296</v>
      </c>
      <c r="B1596" t="s">
        <v>4694</v>
      </c>
      <c r="C1596" t="s">
        <v>4695</v>
      </c>
      <c r="E1596">
        <v>0</v>
      </c>
      <c r="F1596" s="54"/>
    </row>
    <row r="1597" spans="1:17" hidden="1" thickBot="1" x14ac:dyDescent="0.3">
      <c r="A1597">
        <v>29225</v>
      </c>
      <c r="B1597" t="s">
        <v>4696</v>
      </c>
      <c r="C1597" t="s">
        <v>4697</v>
      </c>
      <c r="E1597">
        <v>0</v>
      </c>
      <c r="F1597" s="54"/>
    </row>
    <row r="1598" spans="1:17" ht="15.75" thickBot="1" x14ac:dyDescent="0.3">
      <c r="A1598">
        <v>28298</v>
      </c>
      <c r="B1598" t="s">
        <v>4698</v>
      </c>
      <c r="C1598" t="s">
        <v>4699</v>
      </c>
      <c r="D1598" s="75">
        <v>50.6</v>
      </c>
      <c r="E1598">
        <v>198</v>
      </c>
      <c r="F1598" s="54"/>
    </row>
    <row r="1599" spans="1:17" hidden="1" thickBot="1" x14ac:dyDescent="0.3">
      <c r="A1599">
        <v>29226</v>
      </c>
      <c r="B1599" t="s">
        <v>4700</v>
      </c>
      <c r="C1599" t="s">
        <v>4701</v>
      </c>
      <c r="E1599">
        <v>0</v>
      </c>
      <c r="F1599" s="54"/>
    </row>
    <row r="1600" spans="1:17" hidden="1" thickBot="1" x14ac:dyDescent="0.3">
      <c r="A1600">
        <v>28299</v>
      </c>
      <c r="B1600" t="s">
        <v>4702</v>
      </c>
      <c r="C1600" t="s">
        <v>4703</v>
      </c>
      <c r="E1600">
        <v>0</v>
      </c>
      <c r="F1600" s="54"/>
    </row>
    <row r="1601" spans="1:6" hidden="1" thickBot="1" x14ac:dyDescent="0.3">
      <c r="A1601">
        <v>29228</v>
      </c>
      <c r="B1601" t="s">
        <v>1208</v>
      </c>
      <c r="C1601" t="s">
        <v>4704</v>
      </c>
      <c r="E1601">
        <v>0</v>
      </c>
      <c r="F1601" s="54"/>
    </row>
    <row r="1602" spans="1:6" hidden="1" thickBot="1" x14ac:dyDescent="0.3">
      <c r="A1602">
        <v>29227</v>
      </c>
      <c r="B1602" t="s">
        <v>1206</v>
      </c>
      <c r="C1602" t="s">
        <v>4705</v>
      </c>
      <c r="E1602">
        <v>0</v>
      </c>
      <c r="F1602" s="54"/>
    </row>
    <row r="1603" spans="1:6" hidden="1" thickBot="1" x14ac:dyDescent="0.3">
      <c r="A1603">
        <v>28300</v>
      </c>
      <c r="B1603" t="s">
        <v>4706</v>
      </c>
      <c r="C1603" t="s">
        <v>4707</v>
      </c>
      <c r="E1603">
        <v>0</v>
      </c>
      <c r="F1603" s="54"/>
    </row>
    <row r="1604" spans="1:6" hidden="1" thickBot="1" x14ac:dyDescent="0.3">
      <c r="A1604">
        <v>28302</v>
      </c>
      <c r="B1604" t="s">
        <v>4708</v>
      </c>
      <c r="C1604" t="s">
        <v>4709</v>
      </c>
      <c r="E1604">
        <v>0</v>
      </c>
      <c r="F1604" s="54"/>
    </row>
    <row r="1605" spans="1:6" ht="15.75" thickBot="1" x14ac:dyDescent="0.3">
      <c r="A1605">
        <v>28301</v>
      </c>
      <c r="B1605" t="s">
        <v>4710</v>
      </c>
      <c r="C1605" t="s">
        <v>4711</v>
      </c>
      <c r="D1605" s="75">
        <v>46.54</v>
      </c>
      <c r="E1605">
        <v>22</v>
      </c>
      <c r="F1605" s="54"/>
    </row>
    <row r="1606" spans="1:6" ht="15.75" thickBot="1" x14ac:dyDescent="0.3">
      <c r="A1606">
        <v>28305</v>
      </c>
      <c r="B1606" t="s">
        <v>4712</v>
      </c>
      <c r="C1606" t="s">
        <v>4713</v>
      </c>
      <c r="D1606" s="75">
        <v>44.29</v>
      </c>
      <c r="E1606">
        <v>26</v>
      </c>
      <c r="F1606" s="54"/>
    </row>
    <row r="1607" spans="1:6" hidden="1" thickBot="1" x14ac:dyDescent="0.3">
      <c r="A1607">
        <v>28306</v>
      </c>
      <c r="B1607" t="s">
        <v>4714</v>
      </c>
      <c r="C1607" t="s">
        <v>4715</v>
      </c>
      <c r="E1607">
        <v>0</v>
      </c>
      <c r="F1607" s="54"/>
    </row>
    <row r="1608" spans="1:6" ht="15.75" thickBot="1" x14ac:dyDescent="0.3">
      <c r="A1608">
        <v>28304</v>
      </c>
      <c r="B1608" t="s">
        <v>4716</v>
      </c>
      <c r="C1608" t="s">
        <v>4717</v>
      </c>
      <c r="D1608" s="75">
        <v>33.29</v>
      </c>
      <c r="E1608">
        <v>19</v>
      </c>
      <c r="F1608" s="54"/>
    </row>
    <row r="1609" spans="1:6" ht="15.75" thickBot="1" x14ac:dyDescent="0.3">
      <c r="A1609">
        <v>28303</v>
      </c>
      <c r="B1609" t="s">
        <v>4718</v>
      </c>
      <c r="C1609" t="s">
        <v>4719</v>
      </c>
      <c r="D1609" s="75">
        <v>82.99</v>
      </c>
      <c r="E1609">
        <v>2</v>
      </c>
      <c r="F1609" s="54"/>
    </row>
    <row r="1610" spans="1:6" ht="15.75" thickBot="1" x14ac:dyDescent="0.3">
      <c r="A1610">
        <v>29230</v>
      </c>
      <c r="B1610" t="s">
        <v>4720</v>
      </c>
      <c r="C1610" t="s">
        <v>4721</v>
      </c>
      <c r="D1610" s="75">
        <v>76.349999999999994</v>
      </c>
      <c r="E1610">
        <v>32</v>
      </c>
      <c r="F1610" s="54"/>
    </row>
    <row r="1611" spans="1:6" ht="15.75" thickBot="1" x14ac:dyDescent="0.3">
      <c r="A1611">
        <v>28307</v>
      </c>
      <c r="B1611" t="s">
        <v>4722</v>
      </c>
      <c r="C1611" t="s">
        <v>4723</v>
      </c>
      <c r="D1611" s="75">
        <v>80.569999999999993</v>
      </c>
      <c r="E1611">
        <v>22</v>
      </c>
      <c r="F1611" s="54"/>
    </row>
    <row r="1612" spans="1:6" hidden="1" thickBot="1" x14ac:dyDescent="0.3">
      <c r="A1612">
        <v>28308</v>
      </c>
      <c r="B1612" t="s">
        <v>4724</v>
      </c>
      <c r="C1612" t="s">
        <v>4725</v>
      </c>
      <c r="E1612">
        <v>0</v>
      </c>
      <c r="F1612" s="54"/>
    </row>
    <row r="1613" spans="1:6" ht="15.75" thickBot="1" x14ac:dyDescent="0.3">
      <c r="A1613">
        <v>28309</v>
      </c>
      <c r="B1613" t="s">
        <v>4726</v>
      </c>
      <c r="C1613" t="s">
        <v>4727</v>
      </c>
      <c r="D1613" s="75">
        <v>51.67</v>
      </c>
      <c r="E1613">
        <v>70</v>
      </c>
      <c r="F1613" s="54"/>
    </row>
    <row r="1614" spans="1:6" ht="15.75" thickBot="1" x14ac:dyDescent="0.3">
      <c r="A1614">
        <v>28311</v>
      </c>
      <c r="B1614" t="s">
        <v>4728</v>
      </c>
      <c r="C1614" t="s">
        <v>4729</v>
      </c>
      <c r="D1614" s="75">
        <v>63.83</v>
      </c>
      <c r="E1614">
        <v>2</v>
      </c>
      <c r="F1614" s="54"/>
    </row>
    <row r="1615" spans="1:6" hidden="1" thickBot="1" x14ac:dyDescent="0.3">
      <c r="A1615">
        <v>28310</v>
      </c>
      <c r="B1615" t="s">
        <v>4730</v>
      </c>
      <c r="C1615" t="s">
        <v>4731</v>
      </c>
      <c r="E1615">
        <v>0</v>
      </c>
      <c r="F1615" s="54"/>
    </row>
    <row r="1616" spans="1:6" ht="15.75" thickBot="1" x14ac:dyDescent="0.3">
      <c r="A1616">
        <v>28313</v>
      </c>
      <c r="B1616" t="s">
        <v>4732</v>
      </c>
      <c r="C1616" t="s">
        <v>4733</v>
      </c>
      <c r="D1616" s="75">
        <v>59.9</v>
      </c>
      <c r="E1616">
        <v>20</v>
      </c>
      <c r="F1616" s="54"/>
    </row>
    <row r="1617" spans="1:6" ht="15.75" thickBot="1" x14ac:dyDescent="0.3">
      <c r="A1617">
        <v>28312</v>
      </c>
      <c r="B1617" t="s">
        <v>4734</v>
      </c>
      <c r="C1617" t="s">
        <v>4735</v>
      </c>
      <c r="D1617" s="75">
        <v>63.83</v>
      </c>
      <c r="E1617">
        <v>2</v>
      </c>
      <c r="F1617" s="54"/>
    </row>
    <row r="1618" spans="1:6" hidden="1" thickBot="1" x14ac:dyDescent="0.3">
      <c r="A1618">
        <v>28315</v>
      </c>
      <c r="B1618" t="s">
        <v>4736</v>
      </c>
      <c r="C1618" t="s">
        <v>4737</v>
      </c>
      <c r="E1618">
        <v>0</v>
      </c>
      <c r="F1618" s="54"/>
    </row>
    <row r="1619" spans="1:6" hidden="1" thickBot="1" x14ac:dyDescent="0.3">
      <c r="A1619">
        <v>28316</v>
      </c>
      <c r="B1619" t="s">
        <v>4738</v>
      </c>
      <c r="C1619" t="s">
        <v>4739</v>
      </c>
      <c r="E1619">
        <v>0</v>
      </c>
      <c r="F1619" s="54"/>
    </row>
    <row r="1620" spans="1:6" hidden="1" thickBot="1" x14ac:dyDescent="0.3">
      <c r="A1620">
        <v>29229</v>
      </c>
      <c r="B1620" t="s">
        <v>4740</v>
      </c>
      <c r="C1620" t="s">
        <v>4741</v>
      </c>
      <c r="E1620">
        <v>0</v>
      </c>
      <c r="F1620" s="54"/>
    </row>
    <row r="1621" spans="1:6" hidden="1" thickBot="1" x14ac:dyDescent="0.3">
      <c r="A1621">
        <v>28314</v>
      </c>
      <c r="B1621" t="s">
        <v>4742</v>
      </c>
      <c r="C1621" t="s">
        <v>4743</v>
      </c>
      <c r="E1621">
        <v>0</v>
      </c>
      <c r="F1621" s="54"/>
    </row>
    <row r="1622" spans="1:6" hidden="1" thickBot="1" x14ac:dyDescent="0.3">
      <c r="A1622">
        <v>28317</v>
      </c>
      <c r="B1622" t="s">
        <v>4744</v>
      </c>
      <c r="C1622" t="s">
        <v>4745</v>
      </c>
      <c r="E1622">
        <v>0</v>
      </c>
      <c r="F1622" s="54"/>
    </row>
    <row r="1623" spans="1:6" ht="15.75" thickBot="1" x14ac:dyDescent="0.3">
      <c r="A1623">
        <v>28318</v>
      </c>
      <c r="B1623" t="s">
        <v>4746</v>
      </c>
      <c r="C1623" t="s">
        <v>4747</v>
      </c>
      <c r="D1623" s="75">
        <v>68.17</v>
      </c>
      <c r="E1623">
        <v>11</v>
      </c>
      <c r="F1623" s="54"/>
    </row>
    <row r="1624" spans="1:6" hidden="1" thickBot="1" x14ac:dyDescent="0.3">
      <c r="A1624">
        <v>28319</v>
      </c>
      <c r="B1624" t="s">
        <v>4748</v>
      </c>
      <c r="C1624" t="s">
        <v>4749</v>
      </c>
      <c r="E1624">
        <v>0</v>
      </c>
      <c r="F1624" s="54"/>
    </row>
    <row r="1625" spans="1:6" hidden="1" thickBot="1" x14ac:dyDescent="0.3">
      <c r="A1625">
        <v>28321</v>
      </c>
      <c r="B1625" t="s">
        <v>4750</v>
      </c>
      <c r="C1625" t="s">
        <v>4751</v>
      </c>
      <c r="E1625">
        <v>0</v>
      </c>
      <c r="F1625" s="54"/>
    </row>
    <row r="1626" spans="1:6" ht="15.75" thickBot="1" x14ac:dyDescent="0.3">
      <c r="A1626">
        <v>28320</v>
      </c>
      <c r="B1626" t="s">
        <v>4752</v>
      </c>
      <c r="C1626" t="s">
        <v>4753</v>
      </c>
      <c r="D1626" s="75">
        <v>66.83</v>
      </c>
      <c r="E1626">
        <v>10</v>
      </c>
      <c r="F1626" s="54"/>
    </row>
    <row r="1627" spans="1:6" ht="15.75" thickBot="1" x14ac:dyDescent="0.3">
      <c r="A1627">
        <v>28323</v>
      </c>
      <c r="B1627" t="s">
        <v>4754</v>
      </c>
      <c r="C1627" t="s">
        <v>4755</v>
      </c>
      <c r="D1627" s="75">
        <v>43.366</v>
      </c>
      <c r="E1627">
        <v>5</v>
      </c>
      <c r="F1627" s="54"/>
    </row>
    <row r="1628" spans="1:6" hidden="1" thickBot="1" x14ac:dyDescent="0.3">
      <c r="A1628">
        <v>28326</v>
      </c>
      <c r="B1628" t="s">
        <v>4756</v>
      </c>
      <c r="C1628" t="s">
        <v>4757</v>
      </c>
      <c r="E1628">
        <v>0</v>
      </c>
      <c r="F1628" s="54"/>
    </row>
    <row r="1629" spans="1:6" hidden="1" thickBot="1" x14ac:dyDescent="0.3">
      <c r="A1629">
        <v>29232</v>
      </c>
      <c r="B1629" t="s">
        <v>4758</v>
      </c>
      <c r="C1629" t="s">
        <v>4759</v>
      </c>
      <c r="E1629">
        <v>0</v>
      </c>
      <c r="F1629" s="54"/>
    </row>
    <row r="1630" spans="1:6" ht="15.75" thickBot="1" x14ac:dyDescent="0.3">
      <c r="A1630">
        <v>28322</v>
      </c>
      <c r="B1630" t="s">
        <v>4760</v>
      </c>
      <c r="C1630" t="s">
        <v>4761</v>
      </c>
      <c r="D1630" s="75">
        <v>69.19</v>
      </c>
      <c r="E1630">
        <v>2</v>
      </c>
      <c r="F1630" s="54"/>
    </row>
    <row r="1631" spans="1:6" hidden="1" thickBot="1" x14ac:dyDescent="0.3">
      <c r="A1631">
        <v>28324</v>
      </c>
      <c r="B1631" t="s">
        <v>4762</v>
      </c>
      <c r="C1631" t="s">
        <v>4763</v>
      </c>
      <c r="E1631">
        <v>0</v>
      </c>
      <c r="F1631" s="54"/>
    </row>
    <row r="1632" spans="1:6" ht="15.75" thickBot="1" x14ac:dyDescent="0.3">
      <c r="A1632">
        <v>28325</v>
      </c>
      <c r="B1632" t="s">
        <v>4764</v>
      </c>
      <c r="C1632" t="s">
        <v>4765</v>
      </c>
      <c r="D1632" s="75">
        <v>71.27</v>
      </c>
      <c r="E1632">
        <v>133</v>
      </c>
      <c r="F1632" s="54"/>
    </row>
    <row r="1633" spans="1:6" hidden="1" thickBot="1" x14ac:dyDescent="0.3">
      <c r="A1633">
        <v>29231</v>
      </c>
      <c r="B1633" t="s">
        <v>4766</v>
      </c>
      <c r="C1633" t="s">
        <v>4767</v>
      </c>
      <c r="E1633">
        <v>0</v>
      </c>
      <c r="F1633" s="54"/>
    </row>
    <row r="1634" spans="1:6" hidden="1" thickBot="1" x14ac:dyDescent="0.3">
      <c r="A1634">
        <v>28328</v>
      </c>
      <c r="B1634" t="s">
        <v>4768</v>
      </c>
      <c r="C1634" t="s">
        <v>4769</v>
      </c>
      <c r="E1634">
        <v>0</v>
      </c>
      <c r="F1634" s="54"/>
    </row>
    <row r="1635" spans="1:6" ht="15.75" thickBot="1" x14ac:dyDescent="0.3">
      <c r="A1635">
        <v>29233</v>
      </c>
      <c r="B1635" t="s">
        <v>1202</v>
      </c>
      <c r="C1635" t="s">
        <v>4770</v>
      </c>
      <c r="D1635" s="75">
        <v>73.41</v>
      </c>
      <c r="E1635">
        <v>6</v>
      </c>
      <c r="F1635" s="54"/>
    </row>
    <row r="1636" spans="1:6" hidden="1" thickBot="1" x14ac:dyDescent="0.3">
      <c r="A1636">
        <v>28327</v>
      </c>
      <c r="B1636" t="s">
        <v>4771</v>
      </c>
      <c r="C1636" t="s">
        <v>4772</v>
      </c>
      <c r="E1636">
        <v>0</v>
      </c>
      <c r="F1636" s="54"/>
    </row>
    <row r="1637" spans="1:6" hidden="1" thickBot="1" x14ac:dyDescent="0.3">
      <c r="A1637">
        <v>28330</v>
      </c>
      <c r="B1637" t="s">
        <v>1173</v>
      </c>
      <c r="C1637" t="s">
        <v>4773</v>
      </c>
      <c r="E1637">
        <v>0</v>
      </c>
      <c r="F1637" s="54"/>
    </row>
    <row r="1638" spans="1:6" hidden="1" thickBot="1" x14ac:dyDescent="0.3">
      <c r="A1638">
        <v>28329</v>
      </c>
      <c r="B1638" t="s">
        <v>4774</v>
      </c>
      <c r="C1638" t="s">
        <v>4775</v>
      </c>
      <c r="E1638">
        <v>0</v>
      </c>
      <c r="F1638" s="54"/>
    </row>
    <row r="1639" spans="1:6" ht="15.75" thickBot="1" x14ac:dyDescent="0.3">
      <c r="A1639">
        <v>28331</v>
      </c>
      <c r="B1639" t="s">
        <v>4776</v>
      </c>
      <c r="C1639" t="s">
        <v>4777</v>
      </c>
      <c r="D1639" s="75">
        <v>96.12</v>
      </c>
      <c r="E1639">
        <v>32</v>
      </c>
      <c r="F1639" s="54"/>
    </row>
    <row r="1640" spans="1:6" ht="15.75" thickBot="1" x14ac:dyDescent="0.3">
      <c r="A1640">
        <v>28332</v>
      </c>
      <c r="B1640" t="s">
        <v>4778</v>
      </c>
      <c r="C1640" t="s">
        <v>4779</v>
      </c>
      <c r="D1640" s="75">
        <v>46.54</v>
      </c>
      <c r="E1640">
        <v>4</v>
      </c>
      <c r="F1640" s="54"/>
    </row>
    <row r="1641" spans="1:6" ht="15.75" thickBot="1" x14ac:dyDescent="0.3">
      <c r="A1641">
        <v>28335</v>
      </c>
      <c r="B1641" t="s">
        <v>4780</v>
      </c>
      <c r="C1641" t="s">
        <v>4781</v>
      </c>
      <c r="D1641" s="75">
        <v>44.29</v>
      </c>
      <c r="E1641">
        <v>5</v>
      </c>
      <c r="F1641" s="54"/>
    </row>
    <row r="1642" spans="1:6" ht="15.75" thickBot="1" x14ac:dyDescent="0.3">
      <c r="A1642">
        <v>28334</v>
      </c>
      <c r="B1642" t="s">
        <v>4782</v>
      </c>
      <c r="C1642" t="s">
        <v>4783</v>
      </c>
      <c r="D1642" s="75">
        <v>50.5</v>
      </c>
      <c r="E1642">
        <v>48</v>
      </c>
      <c r="F1642" s="54"/>
    </row>
    <row r="1643" spans="1:6" ht="15.75" thickBot="1" x14ac:dyDescent="0.3">
      <c r="A1643">
        <v>28333</v>
      </c>
      <c r="B1643" t="s">
        <v>4784</v>
      </c>
      <c r="C1643" t="s">
        <v>4785</v>
      </c>
      <c r="D1643" s="75">
        <v>49.02</v>
      </c>
      <c r="E1643">
        <v>40</v>
      </c>
      <c r="F1643" s="54"/>
    </row>
    <row r="1644" spans="1:6" hidden="1" thickBot="1" x14ac:dyDescent="0.3">
      <c r="A1644">
        <v>28336</v>
      </c>
      <c r="B1644" t="s">
        <v>4786</v>
      </c>
      <c r="C1644" t="s">
        <v>4787</v>
      </c>
      <c r="E1644">
        <v>0</v>
      </c>
      <c r="F1644" s="54"/>
    </row>
    <row r="1645" spans="1:6" hidden="1" thickBot="1" x14ac:dyDescent="0.3">
      <c r="A1645">
        <v>29234</v>
      </c>
      <c r="B1645" t="s">
        <v>4788</v>
      </c>
      <c r="C1645" t="s">
        <v>4789</v>
      </c>
      <c r="E1645">
        <v>0</v>
      </c>
      <c r="F1645" s="54"/>
    </row>
    <row r="1646" spans="1:6" hidden="1" thickBot="1" x14ac:dyDescent="0.3">
      <c r="A1646">
        <v>28695</v>
      </c>
      <c r="B1646" t="s">
        <v>4790</v>
      </c>
      <c r="C1646" t="s">
        <v>4791</v>
      </c>
      <c r="E1646">
        <v>0</v>
      </c>
      <c r="F1646" s="54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777B-8C45-441D-97E8-3AB359F5638B}">
  <sheetPr>
    <tabColor theme="5" tint="-0.499984740745262"/>
  </sheetPr>
  <dimension ref="B1:R60"/>
  <sheetViews>
    <sheetView topLeftCell="A5" workbookViewId="0">
      <selection activeCell="G38" sqref="G38"/>
    </sheetView>
  </sheetViews>
  <sheetFormatPr defaultRowHeight="15" x14ac:dyDescent="0.25"/>
  <cols>
    <col min="3" max="3" width="9.140625" bestFit="1" customWidth="1"/>
    <col min="4" max="4" width="10.28515625" bestFit="1" customWidth="1"/>
    <col min="5" max="5" width="13.42578125" bestFit="1" customWidth="1"/>
    <col min="6" max="6" width="10.28515625" bestFit="1" customWidth="1"/>
    <col min="12" max="12" width="13.42578125" bestFit="1" customWidth="1"/>
  </cols>
  <sheetData>
    <row r="1" spans="2:18" x14ac:dyDescent="0.25">
      <c r="R1" t="s">
        <v>740</v>
      </c>
    </row>
    <row r="2" spans="2:18" x14ac:dyDescent="0.25">
      <c r="C2" s="21"/>
      <c r="D2" s="22"/>
      <c r="E2" s="23"/>
      <c r="F2" s="24"/>
      <c r="M2">
        <v>46143</v>
      </c>
    </row>
    <row r="3" spans="2:18" x14ac:dyDescent="0.25">
      <c r="C3" s="11" t="s">
        <v>1673</v>
      </c>
      <c r="D3" s="11" t="s">
        <v>1378</v>
      </c>
      <c r="E3" s="11" t="s">
        <v>1379</v>
      </c>
      <c r="F3" s="11" t="s">
        <v>1380</v>
      </c>
      <c r="R3" t="s">
        <v>741</v>
      </c>
    </row>
    <row r="4" spans="2:18" x14ac:dyDescent="0.25">
      <c r="R4" t="s">
        <v>742</v>
      </c>
    </row>
    <row r="5" spans="2:18" x14ac:dyDescent="0.25">
      <c r="B5" t="s">
        <v>743</v>
      </c>
    </row>
    <row r="6" spans="2:18" x14ac:dyDescent="0.25">
      <c r="B6" t="s">
        <v>744</v>
      </c>
    </row>
    <row r="8" spans="2:18" x14ac:dyDescent="0.25">
      <c r="B8" t="s">
        <v>84</v>
      </c>
      <c r="C8" t="s">
        <v>745</v>
      </c>
      <c r="E8" t="s">
        <v>746</v>
      </c>
      <c r="L8" t="s">
        <v>747</v>
      </c>
    </row>
    <row r="9" spans="2:18" x14ac:dyDescent="0.25">
      <c r="B9" t="s">
        <v>60</v>
      </c>
      <c r="C9" t="s">
        <v>748</v>
      </c>
      <c r="E9" t="s">
        <v>63</v>
      </c>
      <c r="F9" t="s">
        <v>79</v>
      </c>
      <c r="G9" t="s">
        <v>0</v>
      </c>
      <c r="L9" t="s">
        <v>63</v>
      </c>
      <c r="M9" t="s">
        <v>79</v>
      </c>
      <c r="N9" t="s">
        <v>0</v>
      </c>
      <c r="R9" t="s">
        <v>749</v>
      </c>
    </row>
    <row r="10" spans="2:18" x14ac:dyDescent="0.25">
      <c r="B10" t="s">
        <v>750</v>
      </c>
      <c r="C10" t="s">
        <v>751</v>
      </c>
      <c r="E10" t="s">
        <v>64</v>
      </c>
      <c r="F10" t="s">
        <v>75</v>
      </c>
      <c r="G10">
        <v>0.34</v>
      </c>
      <c r="H10" t="s">
        <v>1378</v>
      </c>
      <c r="I10" t="s">
        <v>1379</v>
      </c>
      <c r="J10" t="s">
        <v>1380</v>
      </c>
      <c r="L10" t="s">
        <v>64</v>
      </c>
      <c r="M10" t="s">
        <v>75</v>
      </c>
      <c r="N10">
        <v>0.34</v>
      </c>
      <c r="O10" t="s">
        <v>1378</v>
      </c>
      <c r="P10" t="s">
        <v>1379</v>
      </c>
      <c r="Q10" t="s">
        <v>1380</v>
      </c>
      <c r="R10" t="s">
        <v>752</v>
      </c>
    </row>
    <row r="11" spans="2:18" x14ac:dyDescent="0.25">
      <c r="B11" t="s">
        <v>753</v>
      </c>
      <c r="C11">
        <v>6</v>
      </c>
      <c r="E11" t="s">
        <v>754</v>
      </c>
      <c r="F11">
        <v>77.14</v>
      </c>
      <c r="G11" s="9">
        <f>F11*$G$10</f>
        <v>26.227600000000002</v>
      </c>
      <c r="H11" s="3">
        <f t="shared" ref="H11:H60" si="0">(G11/0.65)+0.3</f>
        <v>40.650153846153849</v>
      </c>
      <c r="I11" s="5">
        <f t="shared" ref="I11:I60" si="1">(G11/0.7)+0.3</f>
        <v>37.768000000000001</v>
      </c>
      <c r="J11" s="7">
        <f t="shared" ref="J11:J60" si="2">(G11/0.75)+0.3</f>
        <v>35.270133333333334</v>
      </c>
      <c r="K11" s="10"/>
      <c r="L11" t="s">
        <v>755</v>
      </c>
      <c r="M11">
        <v>72.790000000000006</v>
      </c>
      <c r="N11" s="9">
        <f>M11*$N$10</f>
        <v>24.748600000000003</v>
      </c>
      <c r="O11" s="3">
        <f t="shared" ref="O11:O60" si="3">(N11/0.65)+0.3</f>
        <v>38.374769230769232</v>
      </c>
      <c r="P11" s="5">
        <f t="shared" ref="P11:P60" si="4">(N11/0.7)+0.3</f>
        <v>35.655142857142863</v>
      </c>
      <c r="Q11" s="7">
        <f t="shared" ref="Q11:Q60" si="5">(N11/0.75)+0.3</f>
        <v>33.298133333333332</v>
      </c>
      <c r="R11">
        <v>6</v>
      </c>
    </row>
    <row r="12" spans="2:18" x14ac:dyDescent="0.25">
      <c r="B12" t="s">
        <v>753</v>
      </c>
      <c r="C12">
        <v>7</v>
      </c>
      <c r="E12" t="s">
        <v>756</v>
      </c>
      <c r="F12">
        <v>86.67</v>
      </c>
      <c r="G12" s="9">
        <f t="shared" ref="G12:G60" si="6">F12*$G$10</f>
        <v>29.467800000000004</v>
      </c>
      <c r="H12" s="3">
        <f t="shared" si="0"/>
        <v>45.635076923076923</v>
      </c>
      <c r="I12" s="5">
        <f t="shared" si="1"/>
        <v>42.396857142857151</v>
      </c>
      <c r="J12" s="7">
        <f t="shared" si="2"/>
        <v>39.590400000000002</v>
      </c>
      <c r="K12" s="10"/>
      <c r="L12" t="s">
        <v>757</v>
      </c>
      <c r="M12">
        <v>81.55</v>
      </c>
      <c r="N12" s="9">
        <f t="shared" ref="N12:N60" si="7">M12*$N$10</f>
        <v>27.727</v>
      </c>
      <c r="O12" s="3">
        <f t="shared" si="3"/>
        <v>42.956923076923076</v>
      </c>
      <c r="P12" s="5">
        <f t="shared" si="4"/>
        <v>39.909999999999997</v>
      </c>
      <c r="Q12" s="7">
        <f t="shared" si="5"/>
        <v>37.269333333333329</v>
      </c>
      <c r="R12">
        <v>4</v>
      </c>
    </row>
    <row r="13" spans="2:18" x14ac:dyDescent="0.25">
      <c r="B13" t="s">
        <v>753</v>
      </c>
      <c r="C13">
        <v>8</v>
      </c>
      <c r="E13" t="s">
        <v>758</v>
      </c>
      <c r="F13">
        <v>95.87</v>
      </c>
      <c r="G13" s="9">
        <f t="shared" si="6"/>
        <v>32.595800000000004</v>
      </c>
      <c r="H13" s="3">
        <f t="shared" si="0"/>
        <v>50.447384615384614</v>
      </c>
      <c r="I13" s="5">
        <f t="shared" si="1"/>
        <v>46.865428571428581</v>
      </c>
      <c r="J13" s="7">
        <f t="shared" si="2"/>
        <v>43.761066666666672</v>
      </c>
      <c r="K13" s="10"/>
      <c r="L13" t="s">
        <v>759</v>
      </c>
      <c r="M13">
        <v>90.04</v>
      </c>
      <c r="N13" s="9">
        <f t="shared" si="7"/>
        <v>30.613600000000005</v>
      </c>
      <c r="O13" s="3">
        <f t="shared" si="3"/>
        <v>47.39784615384616</v>
      </c>
      <c r="P13" s="5">
        <f t="shared" si="4"/>
        <v>44.033714285714296</v>
      </c>
      <c r="Q13" s="7">
        <f t="shared" si="5"/>
        <v>41.11813333333334</v>
      </c>
      <c r="R13">
        <v>4</v>
      </c>
    </row>
    <row r="14" spans="2:18" x14ac:dyDescent="0.25">
      <c r="B14" t="s">
        <v>753</v>
      </c>
      <c r="C14">
        <v>10</v>
      </c>
      <c r="E14" t="s">
        <v>760</v>
      </c>
      <c r="F14">
        <v>115.79</v>
      </c>
      <c r="G14" s="9">
        <f t="shared" si="6"/>
        <v>39.368600000000008</v>
      </c>
      <c r="H14" s="3">
        <f t="shared" si="0"/>
        <v>60.86707692307693</v>
      </c>
      <c r="I14" s="5">
        <f t="shared" si="1"/>
        <v>56.540857142857156</v>
      </c>
      <c r="J14" s="7">
        <f t="shared" si="2"/>
        <v>52.791466666666672</v>
      </c>
      <c r="K14" s="10"/>
      <c r="L14" t="s">
        <v>761</v>
      </c>
      <c r="M14">
        <v>108.56</v>
      </c>
      <c r="N14" s="9">
        <f t="shared" si="7"/>
        <v>36.910400000000003</v>
      </c>
      <c r="O14" s="3">
        <f t="shared" si="3"/>
        <v>57.085230769230769</v>
      </c>
      <c r="P14" s="5">
        <f t="shared" si="4"/>
        <v>53.029142857142858</v>
      </c>
      <c r="Q14" s="7">
        <f t="shared" si="5"/>
        <v>49.513866666666665</v>
      </c>
      <c r="R14">
        <v>4</v>
      </c>
    </row>
    <row r="15" spans="2:18" x14ac:dyDescent="0.25">
      <c r="B15" t="s">
        <v>753</v>
      </c>
      <c r="C15">
        <v>12</v>
      </c>
      <c r="E15" t="s">
        <v>762</v>
      </c>
      <c r="F15">
        <v>132.80000000000001</v>
      </c>
      <c r="G15" s="9">
        <f t="shared" si="6"/>
        <v>45.152000000000008</v>
      </c>
      <c r="H15" s="3">
        <f t="shared" si="0"/>
        <v>69.764615384615396</v>
      </c>
      <c r="I15" s="5">
        <f t="shared" si="1"/>
        <v>64.80285714285715</v>
      </c>
      <c r="J15" s="7">
        <f t="shared" si="2"/>
        <v>60.502666666666677</v>
      </c>
      <c r="K15" s="10"/>
      <c r="L15" t="s">
        <v>763</v>
      </c>
      <c r="M15">
        <v>123.96</v>
      </c>
      <c r="N15" s="9">
        <f t="shared" si="7"/>
        <v>42.1464</v>
      </c>
      <c r="O15" s="3">
        <f t="shared" si="3"/>
        <v>65.140615384615373</v>
      </c>
      <c r="P15" s="5">
        <f t="shared" si="4"/>
        <v>60.509142857142855</v>
      </c>
      <c r="Q15" s="7">
        <f t="shared" si="5"/>
        <v>56.495199999999997</v>
      </c>
      <c r="R15">
        <v>3</v>
      </c>
    </row>
    <row r="16" spans="2:18" x14ac:dyDescent="0.25">
      <c r="B16" t="s">
        <v>764</v>
      </c>
      <c r="C16">
        <v>6</v>
      </c>
      <c r="E16" t="s">
        <v>765</v>
      </c>
      <c r="F16">
        <v>89.41</v>
      </c>
      <c r="G16" s="9">
        <f t="shared" si="6"/>
        <v>30.3994</v>
      </c>
      <c r="H16" s="3">
        <f t="shared" si="0"/>
        <v>47.068307692307691</v>
      </c>
      <c r="I16" s="5">
        <f t="shared" si="1"/>
        <v>43.727714285714285</v>
      </c>
      <c r="J16" s="7">
        <f t="shared" si="2"/>
        <v>40.83253333333333</v>
      </c>
      <c r="K16" s="10"/>
      <c r="L16" t="s">
        <v>766</v>
      </c>
      <c r="M16">
        <v>84.49</v>
      </c>
      <c r="N16" s="9">
        <f t="shared" si="7"/>
        <v>28.726600000000001</v>
      </c>
      <c r="O16" s="3">
        <f t="shared" si="3"/>
        <v>44.494769230769229</v>
      </c>
      <c r="P16" s="5">
        <f t="shared" si="4"/>
        <v>41.338000000000001</v>
      </c>
      <c r="Q16" s="7">
        <f t="shared" si="5"/>
        <v>38.602133333333335</v>
      </c>
      <c r="R16">
        <v>5</v>
      </c>
    </row>
    <row r="17" spans="2:18" x14ac:dyDescent="0.25">
      <c r="B17" t="s">
        <v>764</v>
      </c>
      <c r="C17">
        <v>8</v>
      </c>
      <c r="E17" t="s">
        <v>767</v>
      </c>
      <c r="F17">
        <v>112.8</v>
      </c>
      <c r="G17" s="9">
        <f t="shared" si="6"/>
        <v>38.352000000000004</v>
      </c>
      <c r="H17" s="3">
        <f t="shared" si="0"/>
        <v>59.303076923076922</v>
      </c>
      <c r="I17" s="5">
        <f t="shared" si="1"/>
        <v>55.088571428571434</v>
      </c>
      <c r="J17" s="7">
        <f t="shared" si="2"/>
        <v>51.436</v>
      </c>
      <c r="K17" s="10"/>
      <c r="L17" t="s">
        <v>768</v>
      </c>
      <c r="M17">
        <v>106.41</v>
      </c>
      <c r="N17" s="9">
        <f t="shared" si="7"/>
        <v>36.179400000000001</v>
      </c>
      <c r="O17" s="3">
        <f t="shared" si="3"/>
        <v>55.96061538461538</v>
      </c>
      <c r="P17" s="5">
        <f t="shared" si="4"/>
        <v>51.984857142857145</v>
      </c>
      <c r="Q17" s="7">
        <f t="shared" si="5"/>
        <v>48.539200000000001</v>
      </c>
      <c r="R17">
        <v>4</v>
      </c>
    </row>
    <row r="18" spans="2:18" x14ac:dyDescent="0.25">
      <c r="B18" t="s">
        <v>764</v>
      </c>
      <c r="C18">
        <v>10</v>
      </c>
      <c r="E18" t="s">
        <v>769</v>
      </c>
      <c r="F18">
        <v>142.29</v>
      </c>
      <c r="G18" s="9">
        <f t="shared" si="6"/>
        <v>48.378599999999999</v>
      </c>
      <c r="H18" s="3">
        <f t="shared" si="0"/>
        <v>74.728615384615381</v>
      </c>
      <c r="I18" s="5">
        <f t="shared" si="1"/>
        <v>69.412285714285716</v>
      </c>
      <c r="J18" s="7">
        <f t="shared" si="2"/>
        <v>64.8048</v>
      </c>
      <c r="K18" s="10"/>
      <c r="L18" t="s">
        <v>770</v>
      </c>
      <c r="M18">
        <v>132.57</v>
      </c>
      <c r="N18" s="9">
        <f t="shared" si="7"/>
        <v>45.073799999999999</v>
      </c>
      <c r="O18" s="3">
        <f t="shared" si="3"/>
        <v>69.644307692307692</v>
      </c>
      <c r="P18" s="5">
        <f t="shared" si="4"/>
        <v>64.69114285714285</v>
      </c>
      <c r="Q18" s="7">
        <f t="shared" si="5"/>
        <v>60.398399999999995</v>
      </c>
      <c r="R18">
        <v>4</v>
      </c>
    </row>
    <row r="19" spans="2:18" x14ac:dyDescent="0.25">
      <c r="B19" t="s">
        <v>771</v>
      </c>
      <c r="C19">
        <v>6</v>
      </c>
      <c r="E19" t="s">
        <v>772</v>
      </c>
      <c r="F19">
        <v>96.54</v>
      </c>
      <c r="G19" s="9">
        <f t="shared" si="6"/>
        <v>32.823600000000006</v>
      </c>
      <c r="H19" s="3">
        <f t="shared" si="0"/>
        <v>50.797846153846159</v>
      </c>
      <c r="I19" s="5">
        <f t="shared" si="1"/>
        <v>47.190857142857155</v>
      </c>
      <c r="J19" s="7">
        <f t="shared" si="2"/>
        <v>44.064800000000005</v>
      </c>
      <c r="K19" s="10"/>
      <c r="L19" t="s">
        <v>773</v>
      </c>
      <c r="M19">
        <v>90.37</v>
      </c>
      <c r="N19" s="9">
        <f t="shared" si="7"/>
        <v>30.725800000000003</v>
      </c>
      <c r="O19" s="3">
        <f t="shared" si="3"/>
        <v>47.570461538461537</v>
      </c>
      <c r="P19" s="5">
        <f t="shared" si="4"/>
        <v>44.194000000000003</v>
      </c>
      <c r="Q19" s="7">
        <f t="shared" si="5"/>
        <v>41.267733333333332</v>
      </c>
      <c r="R19">
        <v>4</v>
      </c>
    </row>
    <row r="20" spans="2:18" x14ac:dyDescent="0.25">
      <c r="B20" t="s">
        <v>771</v>
      </c>
      <c r="C20">
        <v>8</v>
      </c>
      <c r="E20" t="s">
        <v>774</v>
      </c>
      <c r="F20">
        <v>122.27</v>
      </c>
      <c r="G20" s="9">
        <f t="shared" si="6"/>
        <v>41.571800000000003</v>
      </c>
      <c r="H20" s="3">
        <f t="shared" si="0"/>
        <v>64.256615384615387</v>
      </c>
      <c r="I20" s="5">
        <f t="shared" si="1"/>
        <v>59.688285714285719</v>
      </c>
      <c r="J20" s="7">
        <f t="shared" si="2"/>
        <v>55.729066666666668</v>
      </c>
      <c r="K20" s="10"/>
      <c r="L20" t="s">
        <v>775</v>
      </c>
      <c r="M20">
        <v>113.26</v>
      </c>
      <c r="N20" s="9">
        <f t="shared" si="7"/>
        <v>38.508400000000002</v>
      </c>
      <c r="O20" s="3">
        <f t="shared" si="3"/>
        <v>59.543692307692304</v>
      </c>
      <c r="P20" s="5">
        <f t="shared" si="4"/>
        <v>55.312000000000005</v>
      </c>
      <c r="Q20" s="7">
        <f t="shared" si="5"/>
        <v>51.644533333333335</v>
      </c>
      <c r="R20">
        <v>3</v>
      </c>
    </row>
    <row r="21" spans="2:18" x14ac:dyDescent="0.25">
      <c r="B21" t="s">
        <v>771</v>
      </c>
      <c r="C21">
        <v>10</v>
      </c>
      <c r="E21" t="s">
        <v>776</v>
      </c>
      <c r="F21">
        <v>152.41999999999999</v>
      </c>
      <c r="G21" s="9">
        <f t="shared" si="6"/>
        <v>51.822800000000001</v>
      </c>
      <c r="H21" s="3">
        <f t="shared" si="0"/>
        <v>80.027384615384605</v>
      </c>
      <c r="I21" s="5">
        <f t="shared" si="1"/>
        <v>74.332571428571427</v>
      </c>
      <c r="J21" s="7">
        <f t="shared" si="2"/>
        <v>69.39706666666666</v>
      </c>
      <c r="K21" s="10"/>
      <c r="L21" t="s">
        <v>777</v>
      </c>
      <c r="M21">
        <v>139.68</v>
      </c>
      <c r="N21" s="9">
        <f t="shared" si="7"/>
        <v>47.491200000000006</v>
      </c>
      <c r="O21" s="3">
        <f t="shared" si="3"/>
        <v>73.363384615384618</v>
      </c>
      <c r="P21" s="5">
        <f t="shared" si="4"/>
        <v>68.144571428571439</v>
      </c>
      <c r="Q21" s="7">
        <f t="shared" si="5"/>
        <v>63.621600000000008</v>
      </c>
      <c r="R21">
        <v>3</v>
      </c>
    </row>
    <row r="22" spans="2:18" x14ac:dyDescent="0.25">
      <c r="B22" t="s">
        <v>778</v>
      </c>
      <c r="C22">
        <v>6</v>
      </c>
      <c r="E22" t="s">
        <v>779</v>
      </c>
      <c r="F22">
        <v>108.28</v>
      </c>
      <c r="G22" s="9">
        <f t="shared" si="6"/>
        <v>36.815200000000004</v>
      </c>
      <c r="H22" s="3">
        <f t="shared" si="0"/>
        <v>56.938769230769232</v>
      </c>
      <c r="I22" s="5">
        <f t="shared" si="1"/>
        <v>52.893142857142863</v>
      </c>
      <c r="J22" s="7">
        <f t="shared" si="2"/>
        <v>49.386933333333339</v>
      </c>
      <c r="K22" s="10"/>
      <c r="L22" t="s">
        <v>780</v>
      </c>
      <c r="M22">
        <v>101.01</v>
      </c>
      <c r="N22" s="9">
        <f t="shared" si="7"/>
        <v>34.343400000000003</v>
      </c>
      <c r="O22" s="3">
        <f t="shared" si="3"/>
        <v>53.136000000000003</v>
      </c>
      <c r="P22" s="5">
        <f t="shared" si="4"/>
        <v>49.362000000000002</v>
      </c>
      <c r="Q22" s="7">
        <f t="shared" si="5"/>
        <v>46.091200000000001</v>
      </c>
      <c r="R22">
        <v>4</v>
      </c>
    </row>
    <row r="23" spans="2:18" x14ac:dyDescent="0.25">
      <c r="B23" t="s">
        <v>778</v>
      </c>
      <c r="C23">
        <v>8</v>
      </c>
      <c r="E23" t="s">
        <v>781</v>
      </c>
      <c r="F23">
        <v>138.27000000000001</v>
      </c>
      <c r="G23" s="9">
        <f t="shared" si="6"/>
        <v>47.011800000000008</v>
      </c>
      <c r="H23" s="3">
        <f t="shared" si="0"/>
        <v>72.625846153846155</v>
      </c>
      <c r="I23" s="5">
        <f t="shared" si="1"/>
        <v>67.459714285714298</v>
      </c>
      <c r="J23" s="7">
        <f t="shared" si="2"/>
        <v>62.982400000000005</v>
      </c>
      <c r="K23" s="10"/>
      <c r="L23" t="s">
        <v>782</v>
      </c>
      <c r="M23">
        <v>127.64</v>
      </c>
      <c r="N23" s="9">
        <f t="shared" si="7"/>
        <v>43.397600000000004</v>
      </c>
      <c r="O23" s="3">
        <f t="shared" si="3"/>
        <v>67.065538461538466</v>
      </c>
      <c r="P23" s="5">
        <f t="shared" si="4"/>
        <v>62.296571428571433</v>
      </c>
      <c r="Q23" s="7">
        <f t="shared" si="5"/>
        <v>58.163466666666672</v>
      </c>
      <c r="R23">
        <v>3</v>
      </c>
    </row>
    <row r="24" spans="2:18" x14ac:dyDescent="0.25">
      <c r="B24" t="s">
        <v>778</v>
      </c>
      <c r="C24">
        <v>10</v>
      </c>
      <c r="E24" t="s">
        <v>783</v>
      </c>
      <c r="F24">
        <v>171.76</v>
      </c>
      <c r="G24" s="9">
        <f t="shared" si="6"/>
        <v>58.398400000000002</v>
      </c>
      <c r="H24" s="3">
        <f t="shared" si="0"/>
        <v>90.143692307692305</v>
      </c>
      <c r="I24" s="5">
        <f t="shared" si="1"/>
        <v>83.726285714285723</v>
      </c>
      <c r="J24" s="7">
        <f t="shared" si="2"/>
        <v>78.164533333333338</v>
      </c>
      <c r="K24" s="10"/>
      <c r="L24" t="s">
        <v>784</v>
      </c>
      <c r="M24">
        <v>157.1</v>
      </c>
      <c r="N24" s="9">
        <f t="shared" si="7"/>
        <v>53.414000000000001</v>
      </c>
      <c r="O24" s="3">
        <f t="shared" si="3"/>
        <v>82.475384615384613</v>
      </c>
      <c r="P24" s="5">
        <f t="shared" si="4"/>
        <v>76.605714285714285</v>
      </c>
      <c r="Q24" s="7">
        <f t="shared" si="5"/>
        <v>71.518666666666661</v>
      </c>
      <c r="R24">
        <v>2</v>
      </c>
    </row>
    <row r="25" spans="2:18" x14ac:dyDescent="0.25">
      <c r="B25" t="s">
        <v>785</v>
      </c>
      <c r="C25">
        <v>6</v>
      </c>
      <c r="E25" t="s">
        <v>786</v>
      </c>
      <c r="F25">
        <v>117.74</v>
      </c>
      <c r="G25" s="9">
        <f t="shared" si="6"/>
        <v>40.031600000000005</v>
      </c>
      <c r="H25" s="3">
        <f t="shared" si="0"/>
        <v>61.887076923076926</v>
      </c>
      <c r="I25" s="5">
        <f t="shared" si="1"/>
        <v>57.488000000000007</v>
      </c>
      <c r="J25" s="7">
        <f t="shared" si="2"/>
        <v>53.675466666666672</v>
      </c>
      <c r="K25" s="10"/>
      <c r="L25" t="s">
        <v>787</v>
      </c>
      <c r="M25">
        <v>112.31</v>
      </c>
      <c r="N25" s="9">
        <f t="shared" si="7"/>
        <v>38.185400000000001</v>
      </c>
      <c r="O25" s="3">
        <f t="shared" si="3"/>
        <v>59.046769230769229</v>
      </c>
      <c r="P25" s="5">
        <f t="shared" si="4"/>
        <v>54.850571428571428</v>
      </c>
      <c r="Q25" s="7">
        <f t="shared" si="5"/>
        <v>51.213866666666668</v>
      </c>
      <c r="R25">
        <v>3</v>
      </c>
    </row>
    <row r="26" spans="2:18" x14ac:dyDescent="0.25">
      <c r="B26" t="s">
        <v>785</v>
      </c>
      <c r="C26">
        <v>8</v>
      </c>
      <c r="E26" t="s">
        <v>788</v>
      </c>
      <c r="F26">
        <v>148.38999999999999</v>
      </c>
      <c r="G26" s="9">
        <f t="shared" si="6"/>
        <v>50.452599999999997</v>
      </c>
      <c r="H26" s="3">
        <f t="shared" si="0"/>
        <v>77.919384615384601</v>
      </c>
      <c r="I26" s="5">
        <f t="shared" si="1"/>
        <v>72.375142857142848</v>
      </c>
      <c r="J26" s="7">
        <f t="shared" si="2"/>
        <v>67.570133333333331</v>
      </c>
      <c r="K26" s="10"/>
      <c r="L26" t="s">
        <v>789</v>
      </c>
      <c r="M26">
        <v>142.53</v>
      </c>
      <c r="N26" s="9">
        <f t="shared" si="7"/>
        <v>48.4602</v>
      </c>
      <c r="O26" s="3">
        <f t="shared" si="3"/>
        <v>74.854153846153835</v>
      </c>
      <c r="P26" s="5">
        <f t="shared" si="4"/>
        <v>69.528857142857149</v>
      </c>
      <c r="Q26" s="7">
        <f t="shared" si="5"/>
        <v>64.913600000000002</v>
      </c>
      <c r="R26">
        <v>3</v>
      </c>
    </row>
    <row r="27" spans="2:18" x14ac:dyDescent="0.25">
      <c r="B27" t="s">
        <v>785</v>
      </c>
      <c r="C27">
        <v>10</v>
      </c>
      <c r="E27" t="s">
        <v>790</v>
      </c>
      <c r="F27">
        <v>184.26</v>
      </c>
      <c r="G27" s="9">
        <f t="shared" si="6"/>
        <v>62.648400000000002</v>
      </c>
      <c r="H27" s="3">
        <f t="shared" si="0"/>
        <v>96.682153846153838</v>
      </c>
      <c r="I27" s="5">
        <f t="shared" si="1"/>
        <v>89.797714285714292</v>
      </c>
      <c r="J27" s="7">
        <f t="shared" si="2"/>
        <v>83.831199999999995</v>
      </c>
      <c r="K27" s="10"/>
      <c r="L27" t="s">
        <v>791</v>
      </c>
      <c r="M27">
        <v>175.78</v>
      </c>
      <c r="N27" s="9">
        <f t="shared" si="7"/>
        <v>59.765200000000007</v>
      </c>
      <c r="O27" s="3">
        <f t="shared" si="3"/>
        <v>92.246461538461546</v>
      </c>
      <c r="P27" s="5">
        <f t="shared" si="4"/>
        <v>85.678857142857154</v>
      </c>
      <c r="Q27" s="7">
        <f t="shared" si="5"/>
        <v>79.98693333333334</v>
      </c>
      <c r="R27">
        <v>2</v>
      </c>
    </row>
    <row r="28" spans="2:18" x14ac:dyDescent="0.25">
      <c r="G28" s="9"/>
      <c r="H28" s="3"/>
      <c r="I28" s="5"/>
      <c r="J28" s="7"/>
      <c r="K28" s="10"/>
      <c r="N28" s="9"/>
      <c r="O28" s="3"/>
      <c r="P28" s="5"/>
      <c r="Q28" s="7"/>
    </row>
    <row r="29" spans="2:18" x14ac:dyDescent="0.25">
      <c r="B29" t="s">
        <v>792</v>
      </c>
      <c r="C29">
        <v>6</v>
      </c>
      <c r="E29" t="s">
        <v>793</v>
      </c>
      <c r="F29">
        <v>82.44</v>
      </c>
      <c r="G29" s="9">
        <f t="shared" si="6"/>
        <v>28.029600000000002</v>
      </c>
      <c r="H29" s="3">
        <f t="shared" si="0"/>
        <v>43.42246153846154</v>
      </c>
      <c r="I29" s="5">
        <f t="shared" si="1"/>
        <v>40.342285714285715</v>
      </c>
      <c r="J29" s="7">
        <f t="shared" si="2"/>
        <v>37.672800000000002</v>
      </c>
      <c r="K29" s="10"/>
      <c r="L29" t="s">
        <v>794</v>
      </c>
      <c r="M29">
        <v>77.81</v>
      </c>
      <c r="N29" s="9">
        <f t="shared" si="7"/>
        <v>26.455400000000001</v>
      </c>
      <c r="O29" s="3">
        <f t="shared" si="3"/>
        <v>41.000615384615379</v>
      </c>
      <c r="P29" s="5">
        <f t="shared" si="4"/>
        <v>38.093428571428575</v>
      </c>
      <c r="Q29" s="7">
        <f t="shared" si="5"/>
        <v>35.573866666666667</v>
      </c>
      <c r="R29">
        <v>6</v>
      </c>
    </row>
    <row r="30" spans="2:18" x14ac:dyDescent="0.25">
      <c r="B30" t="s">
        <v>792</v>
      </c>
      <c r="C30">
        <v>8</v>
      </c>
      <c r="E30" t="s">
        <v>795</v>
      </c>
      <c r="F30">
        <v>102.49</v>
      </c>
      <c r="G30" s="9">
        <f t="shared" si="6"/>
        <v>34.846600000000002</v>
      </c>
      <c r="H30" s="3">
        <f t="shared" si="0"/>
        <v>53.910153846153847</v>
      </c>
      <c r="I30" s="5">
        <f t="shared" si="1"/>
        <v>50.080857142857148</v>
      </c>
      <c r="J30" s="7">
        <f t="shared" si="2"/>
        <v>46.762133333333331</v>
      </c>
      <c r="K30" s="10"/>
      <c r="L30" t="s">
        <v>796</v>
      </c>
      <c r="M30">
        <v>96.22</v>
      </c>
      <c r="N30" s="9">
        <f t="shared" si="7"/>
        <v>32.714800000000004</v>
      </c>
      <c r="O30" s="3">
        <f t="shared" si="3"/>
        <v>50.630461538461539</v>
      </c>
      <c r="P30" s="5">
        <f t="shared" si="4"/>
        <v>47.035428571428575</v>
      </c>
      <c r="Q30" s="7">
        <f t="shared" si="5"/>
        <v>43.919733333333333</v>
      </c>
      <c r="R30">
        <v>4</v>
      </c>
    </row>
    <row r="31" spans="2:18" x14ac:dyDescent="0.25">
      <c r="B31" t="s">
        <v>792</v>
      </c>
      <c r="C31">
        <v>10</v>
      </c>
      <c r="E31" t="s">
        <v>797</v>
      </c>
      <c r="F31">
        <v>123.79</v>
      </c>
      <c r="G31" s="9">
        <f t="shared" si="6"/>
        <v>42.088600000000007</v>
      </c>
      <c r="H31" s="3">
        <f t="shared" si="0"/>
        <v>65.051692307692306</v>
      </c>
      <c r="I31" s="5">
        <f t="shared" si="1"/>
        <v>60.426571428571442</v>
      </c>
      <c r="J31" s="7">
        <f t="shared" si="2"/>
        <v>56.418133333333337</v>
      </c>
      <c r="K31" s="10"/>
      <c r="L31" t="s">
        <v>798</v>
      </c>
      <c r="M31">
        <v>115.97</v>
      </c>
      <c r="N31" s="9">
        <f t="shared" si="7"/>
        <v>39.4298</v>
      </c>
      <c r="O31" s="3">
        <f t="shared" si="3"/>
        <v>60.961230769230767</v>
      </c>
      <c r="P31" s="5">
        <f t="shared" si="4"/>
        <v>56.628285714285717</v>
      </c>
      <c r="Q31" s="7">
        <f t="shared" si="5"/>
        <v>52.873066666666666</v>
      </c>
      <c r="R31">
        <v>4</v>
      </c>
    </row>
    <row r="32" spans="2:18" x14ac:dyDescent="0.25">
      <c r="B32" t="s">
        <v>799</v>
      </c>
      <c r="C32">
        <v>6</v>
      </c>
      <c r="E32" t="s">
        <v>800</v>
      </c>
      <c r="F32">
        <v>95.58</v>
      </c>
      <c r="G32" s="9">
        <f t="shared" si="6"/>
        <v>32.497199999999999</v>
      </c>
      <c r="H32" s="3">
        <f t="shared" si="0"/>
        <v>50.295692307692299</v>
      </c>
      <c r="I32" s="5">
        <f t="shared" si="1"/>
        <v>46.72457142857143</v>
      </c>
      <c r="J32" s="7">
        <f t="shared" si="2"/>
        <v>43.629599999999996</v>
      </c>
      <c r="K32" s="10"/>
      <c r="L32" t="s">
        <v>801</v>
      </c>
      <c r="M32">
        <v>90.27</v>
      </c>
      <c r="N32" s="9">
        <f t="shared" si="7"/>
        <v>30.691800000000001</v>
      </c>
      <c r="O32" s="3">
        <f t="shared" si="3"/>
        <v>47.518153846153844</v>
      </c>
      <c r="P32" s="5">
        <f t="shared" si="4"/>
        <v>44.145428571428575</v>
      </c>
      <c r="Q32" s="7">
        <f t="shared" si="5"/>
        <v>41.2224</v>
      </c>
      <c r="R32">
        <v>5</v>
      </c>
    </row>
    <row r="33" spans="2:18" x14ac:dyDescent="0.25">
      <c r="B33" t="s">
        <v>799</v>
      </c>
      <c r="C33">
        <v>8</v>
      </c>
      <c r="E33" t="s">
        <v>802</v>
      </c>
      <c r="F33">
        <v>120.48</v>
      </c>
      <c r="G33" s="9">
        <f t="shared" si="6"/>
        <v>40.963200000000008</v>
      </c>
      <c r="H33" s="3">
        <f t="shared" si="0"/>
        <v>63.320307692307701</v>
      </c>
      <c r="I33" s="5">
        <f t="shared" si="1"/>
        <v>58.818857142857155</v>
      </c>
      <c r="J33" s="7">
        <f t="shared" si="2"/>
        <v>54.917600000000007</v>
      </c>
      <c r="K33" s="10"/>
      <c r="L33" t="s">
        <v>803</v>
      </c>
      <c r="M33">
        <v>113.73</v>
      </c>
      <c r="N33" s="9">
        <f t="shared" si="7"/>
        <v>38.668200000000006</v>
      </c>
      <c r="O33" s="3">
        <f t="shared" si="3"/>
        <v>59.789538461538463</v>
      </c>
      <c r="P33" s="5">
        <f t="shared" si="4"/>
        <v>55.540285714285723</v>
      </c>
      <c r="Q33" s="7">
        <f t="shared" si="5"/>
        <v>51.857600000000005</v>
      </c>
      <c r="R33">
        <v>4</v>
      </c>
    </row>
    <row r="34" spans="2:18" x14ac:dyDescent="0.25">
      <c r="B34" t="s">
        <v>799</v>
      </c>
      <c r="C34">
        <v>10</v>
      </c>
      <c r="E34" t="s">
        <v>804</v>
      </c>
      <c r="F34">
        <v>152.08000000000001</v>
      </c>
      <c r="G34" s="9">
        <f t="shared" si="6"/>
        <v>51.707200000000007</v>
      </c>
      <c r="H34" s="3">
        <f t="shared" si="0"/>
        <v>79.849538461538472</v>
      </c>
      <c r="I34" s="5">
        <f t="shared" si="1"/>
        <v>74.167428571428587</v>
      </c>
      <c r="J34" s="7">
        <f t="shared" si="2"/>
        <v>69.24293333333334</v>
      </c>
      <c r="K34" s="10"/>
      <c r="L34" t="s">
        <v>805</v>
      </c>
      <c r="M34">
        <v>141.72</v>
      </c>
      <c r="N34" s="9">
        <f t="shared" si="7"/>
        <v>48.184800000000003</v>
      </c>
      <c r="O34" s="3">
        <f t="shared" si="3"/>
        <v>74.430461538461543</v>
      </c>
      <c r="P34" s="5">
        <f t="shared" si="4"/>
        <v>69.135428571428577</v>
      </c>
      <c r="Q34" s="7">
        <f t="shared" si="5"/>
        <v>64.546400000000006</v>
      </c>
      <c r="R34">
        <v>4</v>
      </c>
    </row>
    <row r="35" spans="2:18" x14ac:dyDescent="0.25">
      <c r="B35" t="s">
        <v>806</v>
      </c>
      <c r="C35">
        <v>6</v>
      </c>
      <c r="E35" t="s">
        <v>807</v>
      </c>
      <c r="F35">
        <v>103.13</v>
      </c>
      <c r="G35" s="9">
        <f t="shared" si="6"/>
        <v>35.0642</v>
      </c>
      <c r="H35" s="3">
        <f t="shared" si="0"/>
        <v>54.244923076923072</v>
      </c>
      <c r="I35" s="5">
        <f t="shared" si="1"/>
        <v>50.391714285714286</v>
      </c>
      <c r="J35" s="7">
        <f t="shared" si="2"/>
        <v>47.052266666666661</v>
      </c>
      <c r="K35" s="10"/>
      <c r="L35" t="s">
        <v>808</v>
      </c>
      <c r="M35">
        <v>96.57</v>
      </c>
      <c r="N35" s="9">
        <f t="shared" si="7"/>
        <v>32.833799999999997</v>
      </c>
      <c r="O35" s="3">
        <f t="shared" si="3"/>
        <v>50.81353846153845</v>
      </c>
      <c r="P35" s="5">
        <f t="shared" si="4"/>
        <v>47.20542857142857</v>
      </c>
      <c r="Q35" s="7">
        <f t="shared" si="5"/>
        <v>44.078399999999995</v>
      </c>
      <c r="R35">
        <v>4</v>
      </c>
    </row>
    <row r="36" spans="2:18" x14ac:dyDescent="0.25">
      <c r="B36" t="s">
        <v>806</v>
      </c>
      <c r="C36">
        <v>8</v>
      </c>
      <c r="E36" t="s">
        <v>809</v>
      </c>
      <c r="F36">
        <v>130.59</v>
      </c>
      <c r="G36" s="9">
        <f t="shared" si="6"/>
        <v>44.400600000000004</v>
      </c>
      <c r="H36" s="3">
        <f t="shared" si="0"/>
        <v>68.608615384615391</v>
      </c>
      <c r="I36" s="5">
        <f t="shared" si="1"/>
        <v>63.729428571428578</v>
      </c>
      <c r="J36" s="7">
        <f t="shared" si="2"/>
        <v>59.500800000000005</v>
      </c>
      <c r="K36" s="10"/>
      <c r="L36" t="s">
        <v>810</v>
      </c>
      <c r="M36">
        <v>121.02</v>
      </c>
      <c r="N36" s="9">
        <f t="shared" si="7"/>
        <v>41.146799999999999</v>
      </c>
      <c r="O36" s="3">
        <f t="shared" si="3"/>
        <v>63.602769230769226</v>
      </c>
      <c r="P36" s="5">
        <f t="shared" si="4"/>
        <v>59.081142857142858</v>
      </c>
      <c r="Q36" s="7">
        <f t="shared" si="5"/>
        <v>55.162399999999998</v>
      </c>
      <c r="R36">
        <v>3</v>
      </c>
    </row>
    <row r="37" spans="2:18" x14ac:dyDescent="0.25">
      <c r="B37" t="s">
        <v>806</v>
      </c>
      <c r="C37">
        <v>10</v>
      </c>
      <c r="E37" t="s">
        <v>811</v>
      </c>
      <c r="F37">
        <v>162.86000000000001</v>
      </c>
      <c r="G37" s="9">
        <f t="shared" si="6"/>
        <v>55.372400000000006</v>
      </c>
      <c r="H37" s="3">
        <f t="shared" si="0"/>
        <v>85.4883076923077</v>
      </c>
      <c r="I37" s="5">
        <f t="shared" si="1"/>
        <v>79.403428571428577</v>
      </c>
      <c r="J37" s="7">
        <f t="shared" si="2"/>
        <v>74.129866666666672</v>
      </c>
      <c r="K37" s="10"/>
      <c r="L37" t="s">
        <v>812</v>
      </c>
      <c r="M37">
        <v>149.27000000000001</v>
      </c>
      <c r="N37" s="9">
        <f t="shared" si="7"/>
        <v>50.75180000000001</v>
      </c>
      <c r="O37" s="3">
        <f t="shared" si="3"/>
        <v>78.379692307692324</v>
      </c>
      <c r="P37" s="5">
        <f t="shared" si="4"/>
        <v>72.80257142857144</v>
      </c>
      <c r="Q37" s="7">
        <f t="shared" si="5"/>
        <v>67.969066666666677</v>
      </c>
      <c r="R37">
        <v>3</v>
      </c>
    </row>
    <row r="38" spans="2:18" x14ac:dyDescent="0.25">
      <c r="B38" t="s">
        <v>813</v>
      </c>
      <c r="C38">
        <v>6</v>
      </c>
      <c r="E38" t="s">
        <v>814</v>
      </c>
      <c r="F38">
        <v>115.73</v>
      </c>
      <c r="G38" s="9">
        <f t="shared" si="6"/>
        <v>39.348200000000006</v>
      </c>
      <c r="H38" s="3">
        <f t="shared" si="0"/>
        <v>60.835692307692312</v>
      </c>
      <c r="I38" s="5">
        <f t="shared" si="1"/>
        <v>56.511714285714298</v>
      </c>
      <c r="J38" s="7">
        <f t="shared" si="2"/>
        <v>52.764266666666671</v>
      </c>
      <c r="K38" s="10"/>
      <c r="L38" t="s">
        <v>815</v>
      </c>
      <c r="M38">
        <v>107.91</v>
      </c>
      <c r="N38" s="9">
        <f t="shared" si="7"/>
        <v>36.689399999999999</v>
      </c>
      <c r="O38" s="3">
        <f t="shared" si="3"/>
        <v>56.745230769230766</v>
      </c>
      <c r="P38" s="5">
        <f t="shared" si="4"/>
        <v>52.713428571428572</v>
      </c>
      <c r="Q38" s="7">
        <f t="shared" si="5"/>
        <v>49.219199999999994</v>
      </c>
      <c r="R38">
        <v>4</v>
      </c>
    </row>
    <row r="39" spans="2:18" x14ac:dyDescent="0.25">
      <c r="B39" t="s">
        <v>813</v>
      </c>
      <c r="C39">
        <v>8</v>
      </c>
      <c r="E39" t="s">
        <v>816</v>
      </c>
      <c r="F39">
        <v>147.77000000000001</v>
      </c>
      <c r="G39" s="9">
        <f t="shared" si="6"/>
        <v>50.241800000000005</v>
      </c>
      <c r="H39" s="3">
        <f t="shared" si="0"/>
        <v>77.595076923076931</v>
      </c>
      <c r="I39" s="5">
        <f t="shared" si="1"/>
        <v>72.074000000000012</v>
      </c>
      <c r="J39" s="7">
        <f t="shared" si="2"/>
        <v>67.28906666666667</v>
      </c>
      <c r="K39" s="10"/>
      <c r="L39" t="s">
        <v>817</v>
      </c>
      <c r="M39">
        <v>136.44</v>
      </c>
      <c r="N39" s="9">
        <f t="shared" si="7"/>
        <v>46.389600000000002</v>
      </c>
      <c r="O39" s="3">
        <f t="shared" si="3"/>
        <v>71.668615384615379</v>
      </c>
      <c r="P39" s="5">
        <f t="shared" si="4"/>
        <v>66.57085714285715</v>
      </c>
      <c r="Q39" s="7">
        <f t="shared" si="5"/>
        <v>62.152799999999999</v>
      </c>
      <c r="R39">
        <v>3</v>
      </c>
    </row>
    <row r="40" spans="2:18" x14ac:dyDescent="0.25">
      <c r="B40" t="s">
        <v>813</v>
      </c>
      <c r="C40">
        <v>10</v>
      </c>
      <c r="E40" t="s">
        <v>818</v>
      </c>
      <c r="F40">
        <v>183.53</v>
      </c>
      <c r="G40" s="9">
        <f t="shared" si="6"/>
        <v>62.400200000000005</v>
      </c>
      <c r="H40" s="3">
        <f t="shared" si="0"/>
        <v>96.300307692307697</v>
      </c>
      <c r="I40" s="5">
        <f t="shared" si="1"/>
        <v>89.443142857142874</v>
      </c>
      <c r="J40" s="7">
        <f t="shared" si="2"/>
        <v>83.500266666666676</v>
      </c>
      <c r="K40" s="10"/>
      <c r="L40" t="s">
        <v>819</v>
      </c>
      <c r="M40">
        <v>167.91</v>
      </c>
      <c r="N40" s="9">
        <f t="shared" si="7"/>
        <v>57.089400000000005</v>
      </c>
      <c r="O40" s="3">
        <f t="shared" si="3"/>
        <v>88.129846153846159</v>
      </c>
      <c r="P40" s="5">
        <f t="shared" si="4"/>
        <v>81.856285714285718</v>
      </c>
      <c r="Q40" s="7">
        <f t="shared" si="5"/>
        <v>76.419200000000004</v>
      </c>
      <c r="R40">
        <v>2</v>
      </c>
    </row>
    <row r="41" spans="2:18" x14ac:dyDescent="0.25">
      <c r="B41" t="s">
        <v>820</v>
      </c>
      <c r="C41">
        <v>6</v>
      </c>
      <c r="E41" t="s">
        <v>821</v>
      </c>
      <c r="F41">
        <v>125.83</v>
      </c>
      <c r="G41" s="9">
        <f t="shared" si="6"/>
        <v>42.782200000000003</v>
      </c>
      <c r="H41" s="3">
        <f t="shared" si="0"/>
        <v>66.118769230769232</v>
      </c>
      <c r="I41" s="5">
        <f t="shared" si="1"/>
        <v>61.41742857142858</v>
      </c>
      <c r="J41" s="7">
        <f t="shared" si="2"/>
        <v>57.342933333333335</v>
      </c>
      <c r="K41" s="10"/>
      <c r="L41" t="s">
        <v>822</v>
      </c>
      <c r="M41">
        <v>120.03</v>
      </c>
      <c r="N41" s="9">
        <f t="shared" si="7"/>
        <v>40.810200000000002</v>
      </c>
      <c r="O41" s="3">
        <f t="shared" si="3"/>
        <v>63.084923076923076</v>
      </c>
      <c r="P41" s="5">
        <f t="shared" si="4"/>
        <v>58.600285714285718</v>
      </c>
      <c r="Q41" s="7">
        <f t="shared" si="5"/>
        <v>54.7136</v>
      </c>
      <c r="R41">
        <v>3</v>
      </c>
    </row>
    <row r="42" spans="2:18" x14ac:dyDescent="0.25">
      <c r="B42" t="s">
        <v>820</v>
      </c>
      <c r="C42">
        <v>8</v>
      </c>
      <c r="E42" t="s">
        <v>823</v>
      </c>
      <c r="F42">
        <v>158.62</v>
      </c>
      <c r="G42" s="9">
        <f t="shared" si="6"/>
        <v>53.930800000000005</v>
      </c>
      <c r="H42" s="3">
        <f t="shared" si="0"/>
        <v>83.270461538461547</v>
      </c>
      <c r="I42" s="5">
        <f t="shared" si="1"/>
        <v>77.344000000000008</v>
      </c>
      <c r="J42" s="7">
        <f t="shared" si="2"/>
        <v>72.207733333333337</v>
      </c>
      <c r="K42" s="10"/>
      <c r="L42" t="s">
        <v>824</v>
      </c>
      <c r="M42">
        <v>152.32</v>
      </c>
      <c r="N42" s="9">
        <f t="shared" si="7"/>
        <v>51.788800000000002</v>
      </c>
      <c r="O42" s="3">
        <f t="shared" si="3"/>
        <v>79.975076923076927</v>
      </c>
      <c r="P42" s="5">
        <f t="shared" si="4"/>
        <v>74.284000000000006</v>
      </c>
      <c r="Q42" s="7">
        <f t="shared" si="5"/>
        <v>69.351733333333328</v>
      </c>
      <c r="R42">
        <v>2</v>
      </c>
    </row>
    <row r="43" spans="2:18" x14ac:dyDescent="0.25">
      <c r="B43" t="s">
        <v>820</v>
      </c>
      <c r="C43">
        <v>10</v>
      </c>
      <c r="E43" t="s">
        <v>825</v>
      </c>
      <c r="F43">
        <v>196.93</v>
      </c>
      <c r="G43" s="9">
        <f t="shared" si="6"/>
        <v>66.95620000000001</v>
      </c>
      <c r="H43" s="3">
        <f t="shared" si="0"/>
        <v>103.30953846153847</v>
      </c>
      <c r="I43" s="5">
        <f t="shared" si="1"/>
        <v>95.951714285714303</v>
      </c>
      <c r="J43" s="7">
        <f t="shared" si="2"/>
        <v>89.574933333333348</v>
      </c>
      <c r="K43" s="10"/>
      <c r="L43" t="s">
        <v>826</v>
      </c>
      <c r="M43">
        <v>187.84</v>
      </c>
      <c r="N43" s="9">
        <f t="shared" si="7"/>
        <v>63.865600000000008</v>
      </c>
      <c r="O43" s="3">
        <f t="shared" si="3"/>
        <v>98.554769230769239</v>
      </c>
      <c r="P43" s="5">
        <f t="shared" si="4"/>
        <v>91.536571428571449</v>
      </c>
      <c r="Q43" s="7">
        <f t="shared" si="5"/>
        <v>85.454133333333345</v>
      </c>
      <c r="R43">
        <v>2</v>
      </c>
    </row>
    <row r="44" spans="2:18" x14ac:dyDescent="0.25">
      <c r="G44" s="10"/>
      <c r="H44" s="10"/>
      <c r="I44" s="10"/>
      <c r="J44" s="10"/>
      <c r="K44" s="10"/>
      <c r="N44" s="10"/>
      <c r="O44" s="10"/>
      <c r="P44" s="10"/>
      <c r="Q44" s="10"/>
    </row>
    <row r="45" spans="2:18" x14ac:dyDescent="0.25">
      <c r="B45" t="s">
        <v>827</v>
      </c>
      <c r="C45">
        <v>3</v>
      </c>
      <c r="E45" t="s">
        <v>828</v>
      </c>
      <c r="F45">
        <v>52.02</v>
      </c>
      <c r="G45" s="9">
        <f t="shared" si="6"/>
        <v>17.686800000000002</v>
      </c>
      <c r="H45" s="3">
        <f t="shared" si="0"/>
        <v>27.510461538461541</v>
      </c>
      <c r="I45" s="5">
        <f t="shared" si="1"/>
        <v>25.566857142857149</v>
      </c>
      <c r="J45" s="7">
        <f t="shared" si="2"/>
        <v>23.882400000000004</v>
      </c>
      <c r="K45" s="10"/>
      <c r="L45" t="s">
        <v>829</v>
      </c>
      <c r="M45">
        <v>49.86</v>
      </c>
      <c r="N45" s="9">
        <f t="shared" si="7"/>
        <v>16.952400000000001</v>
      </c>
      <c r="O45" s="3">
        <f t="shared" si="3"/>
        <v>26.380615384615385</v>
      </c>
      <c r="P45" s="5">
        <f t="shared" si="4"/>
        <v>24.517714285714288</v>
      </c>
      <c r="Q45" s="7">
        <f t="shared" si="5"/>
        <v>22.903200000000002</v>
      </c>
      <c r="R45">
        <v>10</v>
      </c>
    </row>
    <row r="46" spans="2:18" x14ac:dyDescent="0.25">
      <c r="B46" t="s">
        <v>827</v>
      </c>
      <c r="C46">
        <v>4</v>
      </c>
      <c r="E46" t="s">
        <v>830</v>
      </c>
      <c r="F46">
        <v>60.54</v>
      </c>
      <c r="G46" s="9">
        <f t="shared" si="6"/>
        <v>20.583600000000001</v>
      </c>
      <c r="H46" s="3">
        <f t="shared" si="0"/>
        <v>31.967076923076924</v>
      </c>
      <c r="I46" s="5">
        <f t="shared" si="1"/>
        <v>29.70514285714286</v>
      </c>
      <c r="J46" s="7">
        <f t="shared" si="2"/>
        <v>27.744800000000001</v>
      </c>
      <c r="K46" s="10"/>
      <c r="L46" t="s">
        <v>831</v>
      </c>
      <c r="M46">
        <v>57.66</v>
      </c>
      <c r="N46" s="9">
        <f t="shared" si="7"/>
        <v>19.604400000000002</v>
      </c>
      <c r="O46" s="3">
        <f t="shared" si="3"/>
        <v>30.460615384615387</v>
      </c>
      <c r="P46" s="5">
        <f t="shared" si="4"/>
        <v>28.306285714285718</v>
      </c>
      <c r="Q46" s="7">
        <f t="shared" si="5"/>
        <v>26.439200000000003</v>
      </c>
      <c r="R46">
        <v>8</v>
      </c>
    </row>
    <row r="47" spans="2:18" x14ac:dyDescent="0.25">
      <c r="B47" t="s">
        <v>827</v>
      </c>
      <c r="C47">
        <v>5</v>
      </c>
      <c r="E47" t="s">
        <v>832</v>
      </c>
      <c r="F47">
        <v>69.17</v>
      </c>
      <c r="G47" s="9">
        <f t="shared" si="6"/>
        <v>23.517800000000001</v>
      </c>
      <c r="H47" s="3">
        <f t="shared" si="0"/>
        <v>36.48123076923077</v>
      </c>
      <c r="I47" s="5">
        <f t="shared" si="1"/>
        <v>33.896857142857144</v>
      </c>
      <c r="J47" s="7">
        <f t="shared" si="2"/>
        <v>31.657066666666669</v>
      </c>
      <c r="K47" s="10"/>
      <c r="L47" t="s">
        <v>833</v>
      </c>
      <c r="M47">
        <v>65.44</v>
      </c>
      <c r="N47" s="9">
        <f t="shared" si="7"/>
        <v>22.249600000000001</v>
      </c>
      <c r="O47" s="3">
        <f t="shared" si="3"/>
        <v>34.530153846153844</v>
      </c>
      <c r="P47" s="5">
        <f t="shared" si="4"/>
        <v>32.085142857142863</v>
      </c>
      <c r="Q47" s="7">
        <f t="shared" si="5"/>
        <v>29.966133333333335</v>
      </c>
      <c r="R47">
        <v>7</v>
      </c>
    </row>
    <row r="48" spans="2:18" x14ac:dyDescent="0.25">
      <c r="B48" t="s">
        <v>827</v>
      </c>
      <c r="C48">
        <v>6</v>
      </c>
      <c r="E48" t="s">
        <v>834</v>
      </c>
      <c r="F48">
        <v>77.14</v>
      </c>
      <c r="G48" s="9">
        <f t="shared" si="6"/>
        <v>26.227600000000002</v>
      </c>
      <c r="H48" s="3">
        <f t="shared" si="0"/>
        <v>40.650153846153849</v>
      </c>
      <c r="I48" s="5">
        <f t="shared" si="1"/>
        <v>37.768000000000001</v>
      </c>
      <c r="J48" s="7">
        <f t="shared" si="2"/>
        <v>35.270133333333334</v>
      </c>
      <c r="K48" s="10"/>
      <c r="L48" t="s">
        <v>835</v>
      </c>
      <c r="M48">
        <v>72.790000000000006</v>
      </c>
      <c r="N48" s="9">
        <f t="shared" si="7"/>
        <v>24.748600000000003</v>
      </c>
      <c r="O48" s="3">
        <f t="shared" si="3"/>
        <v>38.374769230769232</v>
      </c>
      <c r="P48" s="5">
        <f t="shared" si="4"/>
        <v>35.655142857142863</v>
      </c>
      <c r="Q48" s="7">
        <f t="shared" si="5"/>
        <v>33.298133333333332</v>
      </c>
      <c r="R48">
        <v>6</v>
      </c>
    </row>
    <row r="49" spans="2:18" x14ac:dyDescent="0.25">
      <c r="B49" t="s">
        <v>836</v>
      </c>
      <c r="C49">
        <v>3</v>
      </c>
      <c r="E49" t="s">
        <v>837</v>
      </c>
      <c r="F49">
        <v>59.23</v>
      </c>
      <c r="G49" s="9">
        <f t="shared" si="6"/>
        <v>20.138200000000001</v>
      </c>
      <c r="H49" s="3">
        <f t="shared" si="0"/>
        <v>31.281846153846157</v>
      </c>
      <c r="I49" s="5">
        <f t="shared" si="1"/>
        <v>29.068857142857148</v>
      </c>
      <c r="J49" s="7">
        <f t="shared" si="2"/>
        <v>27.150933333333334</v>
      </c>
      <c r="K49" s="10"/>
      <c r="L49" t="s">
        <v>838</v>
      </c>
      <c r="M49">
        <v>56.87</v>
      </c>
      <c r="N49" s="9">
        <f t="shared" si="7"/>
        <v>19.335799999999999</v>
      </c>
      <c r="O49" s="3">
        <f t="shared" si="3"/>
        <v>30.047384615384612</v>
      </c>
      <c r="P49" s="5">
        <f t="shared" si="4"/>
        <v>27.92257142857143</v>
      </c>
      <c r="Q49" s="7">
        <f t="shared" si="5"/>
        <v>26.081066666666665</v>
      </c>
      <c r="R49">
        <v>9</v>
      </c>
    </row>
    <row r="50" spans="2:18" x14ac:dyDescent="0.25">
      <c r="B50" t="s">
        <v>836</v>
      </c>
      <c r="C50">
        <v>4</v>
      </c>
      <c r="E50" t="s">
        <v>839</v>
      </c>
      <c r="F50">
        <v>69.36</v>
      </c>
      <c r="G50" s="9">
        <f t="shared" si="6"/>
        <v>23.5824</v>
      </c>
      <c r="H50" s="3">
        <f t="shared" si="0"/>
        <v>36.580615384615378</v>
      </c>
      <c r="I50" s="5">
        <f t="shared" si="1"/>
        <v>33.989142857142859</v>
      </c>
      <c r="J50" s="7">
        <f t="shared" si="2"/>
        <v>31.743200000000002</v>
      </c>
      <c r="K50" s="10"/>
      <c r="L50" t="s">
        <v>840</v>
      </c>
      <c r="M50">
        <v>65.95</v>
      </c>
      <c r="N50" s="9">
        <f t="shared" si="7"/>
        <v>22.423000000000002</v>
      </c>
      <c r="O50" s="3">
        <f t="shared" si="3"/>
        <v>34.796923076923079</v>
      </c>
      <c r="P50" s="5">
        <f t="shared" si="4"/>
        <v>32.332857142857144</v>
      </c>
      <c r="Q50" s="7">
        <f t="shared" si="5"/>
        <v>30.197333333333336</v>
      </c>
      <c r="R50">
        <v>7</v>
      </c>
    </row>
    <row r="51" spans="2:18" x14ac:dyDescent="0.25">
      <c r="B51" t="s">
        <v>836</v>
      </c>
      <c r="C51">
        <v>5</v>
      </c>
      <c r="E51" t="s">
        <v>841</v>
      </c>
      <c r="F51">
        <v>80.459999999999994</v>
      </c>
      <c r="G51" s="9">
        <f t="shared" si="6"/>
        <v>27.356400000000001</v>
      </c>
      <c r="H51" s="3">
        <f t="shared" si="0"/>
        <v>42.386769230769225</v>
      </c>
      <c r="I51" s="5">
        <f t="shared" si="1"/>
        <v>39.380571428571429</v>
      </c>
      <c r="J51" s="7">
        <f t="shared" si="2"/>
        <v>36.775199999999998</v>
      </c>
      <c r="K51" s="10"/>
      <c r="L51" t="s">
        <v>842</v>
      </c>
      <c r="M51">
        <v>76.45</v>
      </c>
      <c r="N51" s="9">
        <f t="shared" si="7"/>
        <v>25.993000000000002</v>
      </c>
      <c r="O51" s="3">
        <f t="shared" si="3"/>
        <v>40.28923076923077</v>
      </c>
      <c r="P51" s="5">
        <f t="shared" si="4"/>
        <v>37.432857142857145</v>
      </c>
      <c r="Q51" s="7">
        <f t="shared" si="5"/>
        <v>34.957333333333331</v>
      </c>
      <c r="R51">
        <v>6</v>
      </c>
    </row>
    <row r="52" spans="2:18" x14ac:dyDescent="0.25">
      <c r="B52" t="s">
        <v>843</v>
      </c>
      <c r="C52">
        <v>3</v>
      </c>
      <c r="E52" t="s">
        <v>844</v>
      </c>
      <c r="F52">
        <v>62.77</v>
      </c>
      <c r="G52" s="9">
        <f t="shared" si="6"/>
        <v>21.341800000000003</v>
      </c>
      <c r="H52" s="3">
        <f t="shared" si="0"/>
        <v>33.133538461538464</v>
      </c>
      <c r="I52" s="5">
        <f t="shared" si="1"/>
        <v>30.78828571428572</v>
      </c>
      <c r="J52" s="7">
        <f t="shared" si="2"/>
        <v>28.755733333333339</v>
      </c>
      <c r="K52" s="10"/>
      <c r="L52" t="s">
        <v>845</v>
      </c>
      <c r="M52">
        <v>59.91</v>
      </c>
      <c r="N52" s="9">
        <f t="shared" si="7"/>
        <v>20.369399999999999</v>
      </c>
      <c r="O52" s="3">
        <f t="shared" si="3"/>
        <v>31.637538461538458</v>
      </c>
      <c r="P52" s="5">
        <f t="shared" si="4"/>
        <v>29.399142857142859</v>
      </c>
      <c r="Q52" s="7">
        <f t="shared" si="5"/>
        <v>27.459199999999999</v>
      </c>
      <c r="R52">
        <v>8</v>
      </c>
    </row>
    <row r="53" spans="2:18" x14ac:dyDescent="0.25">
      <c r="B53" t="s">
        <v>843</v>
      </c>
      <c r="C53">
        <v>4</v>
      </c>
      <c r="E53" t="s">
        <v>846</v>
      </c>
      <c r="F53">
        <v>73.87</v>
      </c>
      <c r="G53" s="9">
        <f t="shared" si="6"/>
        <v>25.115800000000004</v>
      </c>
      <c r="H53" s="3">
        <f t="shared" si="0"/>
        <v>38.939692307692312</v>
      </c>
      <c r="I53" s="5">
        <f t="shared" si="1"/>
        <v>36.17971428571429</v>
      </c>
      <c r="J53" s="7">
        <f t="shared" si="2"/>
        <v>33.787733333333335</v>
      </c>
      <c r="K53" s="10"/>
      <c r="L53" t="s">
        <v>847</v>
      </c>
      <c r="M53">
        <v>69.86</v>
      </c>
      <c r="N53" s="9">
        <f t="shared" si="7"/>
        <v>23.752400000000002</v>
      </c>
      <c r="O53" s="3">
        <f t="shared" si="3"/>
        <v>36.842153846153842</v>
      </c>
      <c r="P53" s="5">
        <f t="shared" si="4"/>
        <v>34.231999999999999</v>
      </c>
      <c r="Q53" s="7">
        <f t="shared" si="5"/>
        <v>31.969866666666668</v>
      </c>
      <c r="R53">
        <v>7</v>
      </c>
    </row>
    <row r="54" spans="2:18" x14ac:dyDescent="0.25">
      <c r="B54" t="s">
        <v>843</v>
      </c>
      <c r="C54">
        <v>5</v>
      </c>
      <c r="E54" t="s">
        <v>848</v>
      </c>
      <c r="F54">
        <v>86.12</v>
      </c>
      <c r="G54" s="9">
        <f t="shared" si="6"/>
        <v>29.280800000000003</v>
      </c>
      <c r="H54" s="3">
        <f t="shared" si="0"/>
        <v>45.347384615384613</v>
      </c>
      <c r="I54" s="5">
        <f t="shared" si="1"/>
        <v>42.129714285714293</v>
      </c>
      <c r="J54" s="7">
        <f t="shared" si="2"/>
        <v>39.34106666666667</v>
      </c>
      <c r="K54" s="10"/>
      <c r="L54" t="s">
        <v>849</v>
      </c>
      <c r="M54">
        <v>80.94</v>
      </c>
      <c r="N54" s="9">
        <f t="shared" si="7"/>
        <v>27.519600000000001</v>
      </c>
      <c r="O54" s="3">
        <f t="shared" si="3"/>
        <v>42.637846153846148</v>
      </c>
      <c r="P54" s="5">
        <f t="shared" si="4"/>
        <v>39.613714285714288</v>
      </c>
      <c r="Q54" s="7">
        <f t="shared" si="5"/>
        <v>36.992799999999995</v>
      </c>
      <c r="R54">
        <v>5</v>
      </c>
    </row>
    <row r="55" spans="2:18" x14ac:dyDescent="0.25">
      <c r="B55" t="s">
        <v>850</v>
      </c>
      <c r="C55">
        <v>3</v>
      </c>
      <c r="E55" t="s">
        <v>851</v>
      </c>
      <c r="F55">
        <v>68.430000000000007</v>
      </c>
      <c r="G55" s="9">
        <f t="shared" si="6"/>
        <v>23.266200000000005</v>
      </c>
      <c r="H55" s="3">
        <f t="shared" si="0"/>
        <v>36.094153846153851</v>
      </c>
      <c r="I55" s="5">
        <f t="shared" si="1"/>
        <v>33.537428571428578</v>
      </c>
      <c r="J55" s="7">
        <f t="shared" si="2"/>
        <v>31.321600000000007</v>
      </c>
      <c r="K55" s="10"/>
      <c r="L55" t="s">
        <v>852</v>
      </c>
      <c r="M55">
        <v>65.38</v>
      </c>
      <c r="N55" s="9">
        <f t="shared" si="7"/>
        <v>22.229199999999999</v>
      </c>
      <c r="O55" s="3">
        <f t="shared" si="3"/>
        <v>34.498769230769227</v>
      </c>
      <c r="P55" s="5">
        <f t="shared" si="4"/>
        <v>32.055999999999997</v>
      </c>
      <c r="Q55" s="7">
        <f t="shared" si="5"/>
        <v>29.938933333333331</v>
      </c>
      <c r="R55">
        <v>8</v>
      </c>
    </row>
    <row r="56" spans="2:18" x14ac:dyDescent="0.25">
      <c r="B56" t="s">
        <v>850</v>
      </c>
      <c r="C56">
        <v>4</v>
      </c>
      <c r="E56" t="s">
        <v>853</v>
      </c>
      <c r="F56">
        <v>81.67</v>
      </c>
      <c r="G56" s="9">
        <f t="shared" si="6"/>
        <v>27.767800000000001</v>
      </c>
      <c r="H56" s="3">
        <f t="shared" si="0"/>
        <v>43.019692307692303</v>
      </c>
      <c r="I56" s="5">
        <f t="shared" si="1"/>
        <v>39.968285714285713</v>
      </c>
      <c r="J56" s="7">
        <f t="shared" si="2"/>
        <v>37.32373333333333</v>
      </c>
      <c r="K56" s="10"/>
      <c r="L56" t="s">
        <v>854</v>
      </c>
      <c r="M56">
        <v>76.900000000000006</v>
      </c>
      <c r="N56" s="9">
        <f t="shared" si="7"/>
        <v>26.146000000000004</v>
      </c>
      <c r="O56" s="3">
        <f t="shared" si="3"/>
        <v>40.524615384615387</v>
      </c>
      <c r="P56" s="5">
        <f t="shared" si="4"/>
        <v>37.651428571428575</v>
      </c>
      <c r="Q56" s="7">
        <f t="shared" si="5"/>
        <v>35.161333333333339</v>
      </c>
      <c r="R56">
        <v>8</v>
      </c>
    </row>
    <row r="57" spans="2:18" x14ac:dyDescent="0.25">
      <c r="B57" t="s">
        <v>850</v>
      </c>
      <c r="C57">
        <v>5</v>
      </c>
      <c r="E57" t="s">
        <v>855</v>
      </c>
      <c r="F57">
        <v>95.78</v>
      </c>
      <c r="G57" s="9">
        <f t="shared" si="6"/>
        <v>32.565200000000004</v>
      </c>
      <c r="H57" s="3">
        <f t="shared" si="0"/>
        <v>50.400307692307692</v>
      </c>
      <c r="I57" s="5">
        <f t="shared" si="1"/>
        <v>46.821714285714293</v>
      </c>
      <c r="J57" s="7">
        <f t="shared" si="2"/>
        <v>43.720266666666667</v>
      </c>
      <c r="K57" s="10"/>
      <c r="L57" t="s">
        <v>856</v>
      </c>
      <c r="M57">
        <v>89.63</v>
      </c>
      <c r="N57" s="9">
        <f t="shared" si="7"/>
        <v>30.4742</v>
      </c>
      <c r="O57" s="3">
        <f t="shared" si="3"/>
        <v>47.183384615384611</v>
      </c>
      <c r="P57" s="5">
        <f t="shared" si="4"/>
        <v>43.834571428571429</v>
      </c>
      <c r="Q57" s="7">
        <f t="shared" si="5"/>
        <v>40.932266666666663</v>
      </c>
      <c r="R57">
        <v>7</v>
      </c>
    </row>
    <row r="58" spans="2:18" x14ac:dyDescent="0.25">
      <c r="B58" t="s">
        <v>857</v>
      </c>
      <c r="C58">
        <v>3</v>
      </c>
      <c r="E58" t="s">
        <v>858</v>
      </c>
      <c r="F58">
        <v>72.41</v>
      </c>
      <c r="G58" s="9">
        <f t="shared" si="6"/>
        <v>24.619399999999999</v>
      </c>
      <c r="H58" s="3">
        <f t="shared" si="0"/>
        <v>38.175999999999995</v>
      </c>
      <c r="I58" s="5">
        <f t="shared" si="1"/>
        <v>35.470571428571425</v>
      </c>
      <c r="J58" s="7">
        <f t="shared" si="2"/>
        <v>33.12586666666666</v>
      </c>
      <c r="K58" s="10"/>
      <c r="L58" t="s">
        <v>859</v>
      </c>
      <c r="M58">
        <v>70.8</v>
      </c>
      <c r="N58" s="9">
        <f t="shared" si="7"/>
        <v>24.071999999999999</v>
      </c>
      <c r="O58" s="3">
        <f t="shared" si="3"/>
        <v>37.333846153846146</v>
      </c>
      <c r="P58" s="5">
        <f t="shared" si="4"/>
        <v>34.688571428571429</v>
      </c>
      <c r="Q58" s="7">
        <f t="shared" si="5"/>
        <v>32.395999999999994</v>
      </c>
      <c r="R58">
        <v>8</v>
      </c>
    </row>
    <row r="59" spans="2:18" x14ac:dyDescent="0.25">
      <c r="B59" t="s">
        <v>857</v>
      </c>
      <c r="C59">
        <v>4</v>
      </c>
      <c r="E59" t="s">
        <v>860</v>
      </c>
      <c r="F59">
        <v>86.62</v>
      </c>
      <c r="G59" s="9">
        <f t="shared" si="6"/>
        <v>29.450800000000005</v>
      </c>
      <c r="H59" s="3">
        <f t="shared" si="0"/>
        <v>45.608923076923077</v>
      </c>
      <c r="I59" s="5">
        <f t="shared" si="1"/>
        <v>42.372571428571433</v>
      </c>
      <c r="J59" s="7">
        <f t="shared" si="2"/>
        <v>39.567733333333337</v>
      </c>
      <c r="K59" s="10"/>
      <c r="L59" t="s">
        <v>861</v>
      </c>
      <c r="M59">
        <v>84.49</v>
      </c>
      <c r="N59" s="9">
        <f t="shared" si="7"/>
        <v>28.726600000000001</v>
      </c>
      <c r="O59" s="3">
        <f t="shared" si="3"/>
        <v>44.494769230769229</v>
      </c>
      <c r="P59" s="5">
        <f t="shared" si="4"/>
        <v>41.338000000000001</v>
      </c>
      <c r="Q59" s="7">
        <f t="shared" si="5"/>
        <v>38.602133333333335</v>
      </c>
      <c r="R59">
        <v>7</v>
      </c>
    </row>
    <row r="60" spans="2:18" x14ac:dyDescent="0.25">
      <c r="B60" t="s">
        <v>857</v>
      </c>
      <c r="C60">
        <v>5</v>
      </c>
      <c r="E60" t="s">
        <v>862</v>
      </c>
      <c r="F60">
        <v>102.19</v>
      </c>
      <c r="G60" s="9">
        <f t="shared" si="6"/>
        <v>34.744599999999998</v>
      </c>
      <c r="H60" s="3">
        <f t="shared" si="0"/>
        <v>53.753230769230761</v>
      </c>
      <c r="I60" s="5">
        <f t="shared" si="1"/>
        <v>49.935142857142857</v>
      </c>
      <c r="J60" s="7">
        <f t="shared" si="2"/>
        <v>46.626133333333328</v>
      </c>
      <c r="K60" s="10"/>
      <c r="L60" t="s">
        <v>863</v>
      </c>
      <c r="M60">
        <v>98.87</v>
      </c>
      <c r="N60" s="9">
        <f t="shared" si="7"/>
        <v>33.615800000000007</v>
      </c>
      <c r="O60" s="3">
        <f t="shared" si="3"/>
        <v>52.016615384615392</v>
      </c>
      <c r="P60" s="5">
        <f t="shared" si="4"/>
        <v>48.322571428571436</v>
      </c>
      <c r="Q60" s="7">
        <f t="shared" si="5"/>
        <v>45.121066666666671</v>
      </c>
      <c r="R60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76DA-D6CB-4089-BB5B-E9B03548D5C1}">
  <sheetPr>
    <tabColor theme="5" tint="-0.499984740745262"/>
  </sheetPr>
  <dimension ref="A1:X72"/>
  <sheetViews>
    <sheetView topLeftCell="A16" workbookViewId="0">
      <selection activeCell="E60" sqref="E60"/>
    </sheetView>
  </sheetViews>
  <sheetFormatPr defaultRowHeight="15" x14ac:dyDescent="0.25"/>
  <cols>
    <col min="3" max="3" width="9.140625" bestFit="1" customWidth="1"/>
    <col min="4" max="4" width="11.85546875" customWidth="1"/>
    <col min="5" max="6" width="10.28515625" bestFit="1" customWidth="1"/>
  </cols>
  <sheetData>
    <row r="1" spans="1:24" x14ac:dyDescent="0.25">
      <c r="X1" t="s">
        <v>969</v>
      </c>
    </row>
    <row r="2" spans="1:24" x14ac:dyDescent="0.25">
      <c r="C2" s="21"/>
      <c r="D2" s="22"/>
      <c r="E2" s="23"/>
      <c r="F2" s="24"/>
      <c r="T2">
        <v>46143</v>
      </c>
    </row>
    <row r="3" spans="1:24" x14ac:dyDescent="0.25">
      <c r="C3" s="11" t="s">
        <v>1673</v>
      </c>
      <c r="D3" s="11" t="s">
        <v>1378</v>
      </c>
      <c r="E3" s="11" t="s">
        <v>1379</v>
      </c>
      <c r="F3" s="11" t="s">
        <v>1380</v>
      </c>
      <c r="X3" t="s">
        <v>741</v>
      </c>
    </row>
    <row r="4" spans="1:24" x14ac:dyDescent="0.25">
      <c r="X4" t="s">
        <v>742</v>
      </c>
    </row>
    <row r="6" spans="1:24" x14ac:dyDescent="0.25">
      <c r="A6" t="s">
        <v>970</v>
      </c>
    </row>
    <row r="7" spans="1:24" x14ac:dyDescent="0.25">
      <c r="A7" t="s">
        <v>971</v>
      </c>
    </row>
    <row r="9" spans="1:24" x14ac:dyDescent="0.25">
      <c r="A9" t="s">
        <v>84</v>
      </c>
      <c r="B9" t="s">
        <v>745</v>
      </c>
      <c r="D9" t="s">
        <v>972</v>
      </c>
      <c r="J9" t="s">
        <v>973</v>
      </c>
      <c r="P9" t="s">
        <v>974</v>
      </c>
      <c r="R9" t="s">
        <v>975</v>
      </c>
      <c r="X9" t="s">
        <v>976</v>
      </c>
    </row>
    <row r="10" spans="1:24" x14ac:dyDescent="0.25">
      <c r="A10" t="s">
        <v>60</v>
      </c>
      <c r="B10" t="s">
        <v>748</v>
      </c>
      <c r="D10" t="s">
        <v>63</v>
      </c>
      <c r="E10" t="s">
        <v>79</v>
      </c>
      <c r="F10" t="s">
        <v>0</v>
      </c>
      <c r="J10" t="s">
        <v>63</v>
      </c>
      <c r="K10" t="s">
        <v>79</v>
      </c>
      <c r="L10" t="s">
        <v>0</v>
      </c>
      <c r="P10" t="s">
        <v>749</v>
      </c>
      <c r="R10" t="s">
        <v>63</v>
      </c>
      <c r="S10" t="s">
        <v>79</v>
      </c>
      <c r="T10" t="s">
        <v>0</v>
      </c>
      <c r="X10" t="s">
        <v>749</v>
      </c>
    </row>
    <row r="11" spans="1:24" x14ac:dyDescent="0.25">
      <c r="A11" t="s">
        <v>750</v>
      </c>
      <c r="B11" t="s">
        <v>751</v>
      </c>
      <c r="D11" t="s">
        <v>64</v>
      </c>
      <c r="E11" t="s">
        <v>75</v>
      </c>
      <c r="F11">
        <v>0.36</v>
      </c>
      <c r="J11" t="s">
        <v>64</v>
      </c>
      <c r="K11" t="s">
        <v>75</v>
      </c>
      <c r="L11">
        <v>0.36</v>
      </c>
      <c r="P11" t="s">
        <v>752</v>
      </c>
      <c r="R11" t="s">
        <v>64</v>
      </c>
      <c r="S11" t="s">
        <v>75</v>
      </c>
      <c r="T11">
        <v>0.36</v>
      </c>
      <c r="X11" t="s">
        <v>752</v>
      </c>
    </row>
    <row r="12" spans="1:24" x14ac:dyDescent="0.25">
      <c r="A12" t="s">
        <v>753</v>
      </c>
      <c r="B12">
        <v>6</v>
      </c>
      <c r="D12" t="s">
        <v>977</v>
      </c>
      <c r="E12">
        <v>89.54</v>
      </c>
      <c r="F12" s="9">
        <f>E12*$F$11</f>
        <v>32.234400000000001</v>
      </c>
      <c r="G12" s="3">
        <f t="shared" ref="G12:G61" si="0">(F12/0.65)+0.3</f>
        <v>49.891384615384609</v>
      </c>
      <c r="H12" s="5">
        <f t="shared" ref="H12" si="1">(F12/0.7)+0.3</f>
        <v>46.349142857142859</v>
      </c>
      <c r="I12" s="7">
        <f t="shared" ref="I12" si="2">(F12/0.75)+0.3</f>
        <v>43.279199999999996</v>
      </c>
      <c r="J12" t="s">
        <v>978</v>
      </c>
      <c r="K12">
        <v>84.6</v>
      </c>
      <c r="L12" s="9">
        <f>K12*$L$11</f>
        <v>30.455999999999996</v>
      </c>
      <c r="M12" s="3">
        <f t="shared" ref="M12:M61" si="3">(L12/0.65)+0.3</f>
        <v>47.155384615384605</v>
      </c>
      <c r="N12" s="5">
        <f t="shared" ref="N12" si="4">(L12/0.7)+0.3</f>
        <v>43.808571428571426</v>
      </c>
      <c r="O12" s="7">
        <f t="shared" ref="O12" si="5">(L12/0.75)+0.3</f>
        <v>40.907999999999994</v>
      </c>
      <c r="P12">
        <v>6</v>
      </c>
      <c r="R12" t="s">
        <v>979</v>
      </c>
      <c r="S12">
        <v>80.010000000000005</v>
      </c>
      <c r="T12" s="9">
        <f>S12*$T$11</f>
        <v>28.803599999999999</v>
      </c>
      <c r="U12" s="3">
        <f t="shared" ref="U12:U61" si="6">(T12/0.65)+0.3</f>
        <v>44.613230769230761</v>
      </c>
      <c r="V12" s="5">
        <f t="shared" ref="V12" si="7">(T12/0.7)+0.3</f>
        <v>41.448</v>
      </c>
      <c r="W12" s="7">
        <f t="shared" ref="W12" si="8">(T12/0.75)+0.3</f>
        <v>38.704799999999999</v>
      </c>
      <c r="X12">
        <v>6</v>
      </c>
    </row>
    <row r="13" spans="1:24" x14ac:dyDescent="0.25">
      <c r="A13" t="s">
        <v>753</v>
      </c>
      <c r="B13">
        <v>7</v>
      </c>
      <c r="D13" t="s">
        <v>980</v>
      </c>
      <c r="E13">
        <v>100.63</v>
      </c>
      <c r="F13" s="9">
        <f t="shared" ref="F13:F61" si="9">E13*$F$11</f>
        <v>36.226799999999997</v>
      </c>
      <c r="G13" s="3">
        <f t="shared" si="0"/>
        <v>56.033538461538456</v>
      </c>
      <c r="H13" s="5">
        <f t="shared" ref="H13:H61" si="10">(F13/0.7)+0.3</f>
        <v>52.052571428571426</v>
      </c>
      <c r="I13" s="7">
        <f t="shared" ref="I13:I61" si="11">(F13/0.75)+0.3</f>
        <v>48.602399999999996</v>
      </c>
      <c r="J13" t="s">
        <v>981</v>
      </c>
      <c r="K13">
        <v>94.75</v>
      </c>
      <c r="L13" s="9">
        <f t="shared" ref="L13:L61" si="12">K13*$L$11</f>
        <v>34.11</v>
      </c>
      <c r="M13" s="3">
        <f t="shared" si="3"/>
        <v>52.776923076923069</v>
      </c>
      <c r="N13" s="5">
        <f t="shared" ref="N13:N61" si="13">(L13/0.7)+0.3</f>
        <v>49.028571428571425</v>
      </c>
      <c r="O13" s="7">
        <f t="shared" ref="O13:O61" si="14">(L13/0.75)+0.3</f>
        <v>45.779999999999994</v>
      </c>
      <c r="P13">
        <v>4</v>
      </c>
      <c r="R13" t="s">
        <v>982</v>
      </c>
      <c r="S13">
        <v>89.51</v>
      </c>
      <c r="T13" s="9">
        <f t="shared" ref="T13:T61" si="15">S13*$T$11</f>
        <v>32.223599999999998</v>
      </c>
      <c r="U13" s="3">
        <f t="shared" si="6"/>
        <v>49.874769230769225</v>
      </c>
      <c r="V13" s="5">
        <f t="shared" ref="V13:V61" si="16">(T13/0.7)+0.3</f>
        <v>46.333714285714279</v>
      </c>
      <c r="W13" s="7">
        <f t="shared" ref="W13:W61" si="17">(T13/0.75)+0.3</f>
        <v>43.264799999999994</v>
      </c>
      <c r="X13">
        <v>4</v>
      </c>
    </row>
    <row r="14" spans="1:24" x14ac:dyDescent="0.25">
      <c r="A14" t="s">
        <v>753</v>
      </c>
      <c r="B14">
        <v>8</v>
      </c>
      <c r="D14" t="s">
        <v>983</v>
      </c>
      <c r="E14">
        <v>111.38</v>
      </c>
      <c r="F14" s="9">
        <f t="shared" si="9"/>
        <v>40.096799999999995</v>
      </c>
      <c r="G14" s="3">
        <f t="shared" si="0"/>
        <v>61.987384615384599</v>
      </c>
      <c r="H14" s="5">
        <f t="shared" si="10"/>
        <v>57.581142857142851</v>
      </c>
      <c r="I14" s="7">
        <f t="shared" si="11"/>
        <v>53.762399999999992</v>
      </c>
      <c r="J14" t="s">
        <v>984</v>
      </c>
      <c r="K14">
        <v>104.58</v>
      </c>
      <c r="L14" s="9">
        <f t="shared" si="12"/>
        <v>37.648800000000001</v>
      </c>
      <c r="M14" s="3">
        <f t="shared" si="3"/>
        <v>58.221230769230765</v>
      </c>
      <c r="N14" s="5">
        <f t="shared" si="13"/>
        <v>54.084000000000003</v>
      </c>
      <c r="O14" s="7">
        <f t="shared" si="14"/>
        <v>50.498399999999997</v>
      </c>
      <c r="P14">
        <v>4</v>
      </c>
      <c r="R14" t="s">
        <v>985</v>
      </c>
      <c r="S14">
        <v>98.59</v>
      </c>
      <c r="T14" s="9">
        <f t="shared" si="15"/>
        <v>35.492399999999996</v>
      </c>
      <c r="U14" s="3">
        <f t="shared" si="6"/>
        <v>54.903692307692296</v>
      </c>
      <c r="V14" s="5">
        <f t="shared" si="16"/>
        <v>51.003428571428564</v>
      </c>
      <c r="W14" s="7">
        <f t="shared" si="17"/>
        <v>47.62319999999999</v>
      </c>
      <c r="X14">
        <v>4</v>
      </c>
    </row>
    <row r="15" spans="1:24" x14ac:dyDescent="0.25">
      <c r="A15" t="s">
        <v>753</v>
      </c>
      <c r="B15">
        <v>10</v>
      </c>
      <c r="D15" t="s">
        <v>986</v>
      </c>
      <c r="E15">
        <v>134.53</v>
      </c>
      <c r="F15" s="9">
        <f t="shared" si="9"/>
        <v>48.430799999999998</v>
      </c>
      <c r="G15" s="3">
        <f t="shared" si="0"/>
        <v>74.808923076923065</v>
      </c>
      <c r="H15" s="5">
        <f t="shared" si="10"/>
        <v>69.486857142857147</v>
      </c>
      <c r="I15" s="7">
        <f t="shared" si="11"/>
        <v>64.874399999999994</v>
      </c>
      <c r="J15" t="s">
        <v>987</v>
      </c>
      <c r="K15">
        <v>126.05</v>
      </c>
      <c r="L15" s="9">
        <f t="shared" si="12"/>
        <v>45.378</v>
      </c>
      <c r="M15" s="3">
        <f t="shared" si="3"/>
        <v>70.112307692307681</v>
      </c>
      <c r="N15" s="5">
        <f t="shared" si="13"/>
        <v>65.125714285714281</v>
      </c>
      <c r="O15" s="7">
        <f t="shared" si="14"/>
        <v>60.803999999999995</v>
      </c>
      <c r="P15">
        <v>3</v>
      </c>
      <c r="R15" t="s">
        <v>988</v>
      </c>
      <c r="S15">
        <v>114.95</v>
      </c>
      <c r="T15" s="9">
        <f t="shared" si="15"/>
        <v>41.381999999999998</v>
      </c>
      <c r="U15" s="3">
        <f t="shared" si="6"/>
        <v>63.964615384615378</v>
      </c>
      <c r="V15" s="5">
        <f t="shared" si="16"/>
        <v>59.417142857142856</v>
      </c>
      <c r="W15" s="7">
        <f t="shared" si="17"/>
        <v>55.475999999999992</v>
      </c>
      <c r="X15">
        <v>3</v>
      </c>
    </row>
    <row r="16" spans="1:24" x14ac:dyDescent="0.25">
      <c r="A16" t="s">
        <v>753</v>
      </c>
      <c r="B16">
        <v>12</v>
      </c>
      <c r="D16" t="s">
        <v>989</v>
      </c>
      <c r="E16">
        <v>154.18</v>
      </c>
      <c r="F16" s="9">
        <f t="shared" si="9"/>
        <v>55.504800000000003</v>
      </c>
      <c r="G16" s="3">
        <f t="shared" si="0"/>
        <v>85.691999999999993</v>
      </c>
      <c r="H16" s="5">
        <f t="shared" si="10"/>
        <v>79.592571428571432</v>
      </c>
      <c r="I16" s="7">
        <f t="shared" si="11"/>
        <v>74.306399999999996</v>
      </c>
      <c r="J16" t="s">
        <v>990</v>
      </c>
      <c r="K16">
        <v>143.94999999999999</v>
      </c>
      <c r="L16" s="9">
        <f t="shared" si="12"/>
        <v>51.821999999999996</v>
      </c>
      <c r="M16" s="3">
        <f t="shared" si="3"/>
        <v>80.026153846153832</v>
      </c>
      <c r="N16" s="5">
        <f t="shared" si="13"/>
        <v>74.33142857142856</v>
      </c>
      <c r="O16" s="7">
        <f t="shared" si="14"/>
        <v>69.395999999999987</v>
      </c>
      <c r="P16">
        <v>2</v>
      </c>
      <c r="R16" t="s">
        <v>991</v>
      </c>
      <c r="S16">
        <v>135.04</v>
      </c>
      <c r="T16" s="9">
        <f t="shared" si="15"/>
        <v>48.614399999999996</v>
      </c>
      <c r="U16" s="3">
        <f t="shared" si="6"/>
        <v>75.091384615384598</v>
      </c>
      <c r="V16" s="5">
        <f t="shared" si="16"/>
        <v>69.749142857142857</v>
      </c>
      <c r="W16" s="7">
        <f t="shared" si="17"/>
        <v>65.119199999999992</v>
      </c>
      <c r="X16">
        <v>2</v>
      </c>
    </row>
    <row r="17" spans="1:24" x14ac:dyDescent="0.25">
      <c r="A17" t="s">
        <v>764</v>
      </c>
      <c r="B17">
        <v>6</v>
      </c>
      <c r="D17" t="s">
        <v>992</v>
      </c>
      <c r="E17">
        <v>103.9</v>
      </c>
      <c r="F17" s="9">
        <f t="shared" si="9"/>
        <v>37.404000000000003</v>
      </c>
      <c r="G17" s="3">
        <f t="shared" si="0"/>
        <v>57.844615384615388</v>
      </c>
      <c r="H17" s="5">
        <f t="shared" si="10"/>
        <v>53.734285714285718</v>
      </c>
      <c r="I17" s="7">
        <f t="shared" si="11"/>
        <v>50.172000000000004</v>
      </c>
      <c r="J17" t="s">
        <v>993</v>
      </c>
      <c r="K17">
        <v>98.12</v>
      </c>
      <c r="L17" s="9">
        <f t="shared" si="12"/>
        <v>35.3232</v>
      </c>
      <c r="M17" s="3">
        <f t="shared" si="3"/>
        <v>54.643384615384612</v>
      </c>
      <c r="N17" s="5">
        <f t="shared" si="13"/>
        <v>50.761714285714284</v>
      </c>
      <c r="O17" s="7">
        <f t="shared" si="14"/>
        <v>47.397599999999997</v>
      </c>
      <c r="P17">
        <v>4</v>
      </c>
      <c r="R17" t="s">
        <v>994</v>
      </c>
      <c r="S17">
        <v>91.45</v>
      </c>
      <c r="T17" s="9">
        <f t="shared" si="15"/>
        <v>32.921999999999997</v>
      </c>
      <c r="U17" s="3">
        <f t="shared" si="6"/>
        <v>50.949230769230759</v>
      </c>
      <c r="V17" s="5">
        <f t="shared" si="16"/>
        <v>47.331428571428567</v>
      </c>
      <c r="W17" s="7">
        <f t="shared" si="17"/>
        <v>44.195999999999991</v>
      </c>
      <c r="X17">
        <v>4</v>
      </c>
    </row>
    <row r="18" spans="1:24" x14ac:dyDescent="0.25">
      <c r="A18" t="s">
        <v>764</v>
      </c>
      <c r="B18">
        <v>8</v>
      </c>
      <c r="D18" t="s">
        <v>995</v>
      </c>
      <c r="E18">
        <v>130.97999999999999</v>
      </c>
      <c r="F18" s="9">
        <f t="shared" si="9"/>
        <v>47.152799999999992</v>
      </c>
      <c r="G18" s="3">
        <f t="shared" si="0"/>
        <v>72.842769230769207</v>
      </c>
      <c r="H18" s="5">
        <f t="shared" si="10"/>
        <v>67.661142857142849</v>
      </c>
      <c r="I18" s="7">
        <f t="shared" si="11"/>
        <v>63.170399999999987</v>
      </c>
      <c r="J18" t="s">
        <v>996</v>
      </c>
      <c r="K18">
        <v>123.56</v>
      </c>
      <c r="L18" s="9">
        <f t="shared" si="12"/>
        <v>44.4816</v>
      </c>
      <c r="M18" s="3">
        <f t="shared" si="3"/>
        <v>68.733230769230758</v>
      </c>
      <c r="N18" s="5">
        <f t="shared" si="13"/>
        <v>63.845142857142861</v>
      </c>
      <c r="O18" s="7">
        <f t="shared" si="14"/>
        <v>59.608799999999995</v>
      </c>
      <c r="P18">
        <v>3</v>
      </c>
      <c r="R18" t="s">
        <v>997</v>
      </c>
      <c r="S18">
        <v>108.36</v>
      </c>
      <c r="T18" s="9">
        <f t="shared" si="15"/>
        <v>39.009599999999999</v>
      </c>
      <c r="U18" s="3">
        <f t="shared" si="6"/>
        <v>60.314769230769222</v>
      </c>
      <c r="V18" s="5">
        <f t="shared" si="16"/>
        <v>56.027999999999999</v>
      </c>
      <c r="W18" s="7">
        <f t="shared" si="17"/>
        <v>52.312799999999996</v>
      </c>
      <c r="X18">
        <v>3</v>
      </c>
    </row>
    <row r="19" spans="1:24" x14ac:dyDescent="0.25">
      <c r="A19" t="s">
        <v>764</v>
      </c>
      <c r="B19">
        <v>10</v>
      </c>
      <c r="D19" t="s">
        <v>998</v>
      </c>
      <c r="E19">
        <v>165.23</v>
      </c>
      <c r="F19" s="9">
        <f t="shared" si="9"/>
        <v>59.482799999999997</v>
      </c>
      <c r="G19" s="3">
        <f t="shared" si="0"/>
        <v>91.811999999999983</v>
      </c>
      <c r="H19" s="5">
        <f t="shared" si="10"/>
        <v>85.275428571428577</v>
      </c>
      <c r="I19" s="7">
        <f t="shared" si="11"/>
        <v>79.610399999999998</v>
      </c>
      <c r="J19" t="s">
        <v>999</v>
      </c>
      <c r="K19">
        <v>154</v>
      </c>
      <c r="L19" s="9">
        <f t="shared" si="12"/>
        <v>55.44</v>
      </c>
      <c r="M19" s="3">
        <f t="shared" si="3"/>
        <v>85.592307692307685</v>
      </c>
      <c r="N19" s="5">
        <f t="shared" si="13"/>
        <v>79.5</v>
      </c>
      <c r="O19" s="7">
        <f t="shared" si="14"/>
        <v>74.22</v>
      </c>
      <c r="P19">
        <v>3</v>
      </c>
      <c r="R19" t="s">
        <v>1000</v>
      </c>
      <c r="S19">
        <v>118.5</v>
      </c>
      <c r="T19" s="9">
        <f t="shared" si="15"/>
        <v>42.66</v>
      </c>
      <c r="U19" s="3">
        <f t="shared" si="6"/>
        <v>65.930769230769215</v>
      </c>
      <c r="V19" s="5">
        <f t="shared" si="16"/>
        <v>61.24285714285714</v>
      </c>
      <c r="W19" s="7">
        <f t="shared" si="17"/>
        <v>57.179999999999993</v>
      </c>
      <c r="X19">
        <v>3</v>
      </c>
    </row>
    <row r="20" spans="1:24" x14ac:dyDescent="0.25">
      <c r="A20" t="s">
        <v>771</v>
      </c>
      <c r="B20">
        <v>6</v>
      </c>
      <c r="D20" t="s">
        <v>1001</v>
      </c>
      <c r="E20">
        <v>112.08</v>
      </c>
      <c r="F20" s="9">
        <f t="shared" si="9"/>
        <v>40.348799999999997</v>
      </c>
      <c r="G20" s="3">
        <f t="shared" si="0"/>
        <v>62.375076923076911</v>
      </c>
      <c r="H20" s="5">
        <f t="shared" si="10"/>
        <v>57.941142857142857</v>
      </c>
      <c r="I20" s="7">
        <f t="shared" si="11"/>
        <v>54.098399999999991</v>
      </c>
      <c r="J20" t="s">
        <v>1002</v>
      </c>
      <c r="K20">
        <v>104.96</v>
      </c>
      <c r="L20" s="9">
        <f t="shared" si="12"/>
        <v>37.785599999999995</v>
      </c>
      <c r="M20" s="3">
        <f t="shared" si="3"/>
        <v>58.431692307692295</v>
      </c>
      <c r="N20" s="5">
        <f t="shared" si="13"/>
        <v>54.279428571428568</v>
      </c>
      <c r="O20" s="7">
        <f t="shared" si="14"/>
        <v>50.680799999999991</v>
      </c>
      <c r="P20">
        <v>4</v>
      </c>
      <c r="R20" t="s">
        <v>1003</v>
      </c>
      <c r="S20">
        <v>99.1</v>
      </c>
      <c r="T20" s="9">
        <f t="shared" si="15"/>
        <v>35.675999999999995</v>
      </c>
      <c r="U20" s="3">
        <f t="shared" si="6"/>
        <v>55.186153846153836</v>
      </c>
      <c r="V20" s="5">
        <f t="shared" si="16"/>
        <v>51.265714285714282</v>
      </c>
      <c r="W20" s="7">
        <f t="shared" si="17"/>
        <v>47.867999999999988</v>
      </c>
      <c r="X20">
        <v>4</v>
      </c>
    </row>
    <row r="21" spans="1:24" x14ac:dyDescent="0.25">
      <c r="A21" t="s">
        <v>771</v>
      </c>
      <c r="B21">
        <v>8</v>
      </c>
      <c r="D21" t="s">
        <v>1004</v>
      </c>
      <c r="E21">
        <v>141.93</v>
      </c>
      <c r="F21" s="9">
        <f t="shared" si="9"/>
        <v>51.094799999999999</v>
      </c>
      <c r="G21" s="3">
        <f t="shared" si="0"/>
        <v>78.907384615384615</v>
      </c>
      <c r="H21" s="5">
        <f t="shared" si="10"/>
        <v>73.292571428571435</v>
      </c>
      <c r="I21" s="7">
        <f t="shared" si="11"/>
        <v>68.426400000000001</v>
      </c>
      <c r="J21" t="s">
        <v>1005</v>
      </c>
      <c r="K21">
        <v>131.55000000000001</v>
      </c>
      <c r="L21" s="9">
        <f t="shared" si="12"/>
        <v>47.358000000000004</v>
      </c>
      <c r="M21" s="3">
        <f t="shared" si="3"/>
        <v>73.158461538461538</v>
      </c>
      <c r="N21" s="5">
        <f t="shared" si="13"/>
        <v>67.954285714285717</v>
      </c>
      <c r="O21" s="7">
        <f t="shared" si="14"/>
        <v>63.444000000000003</v>
      </c>
      <c r="P21">
        <v>3</v>
      </c>
      <c r="R21" t="s">
        <v>1006</v>
      </c>
      <c r="S21">
        <v>124.91</v>
      </c>
      <c r="T21" s="9">
        <f t="shared" si="15"/>
        <v>44.967599999999997</v>
      </c>
      <c r="U21" s="3">
        <f t="shared" si="6"/>
        <v>69.480923076923062</v>
      </c>
      <c r="V21" s="5">
        <f t="shared" si="16"/>
        <v>64.539428571428573</v>
      </c>
      <c r="W21" s="7">
        <f t="shared" si="17"/>
        <v>60.256799999999991</v>
      </c>
      <c r="X21">
        <v>3</v>
      </c>
    </row>
    <row r="22" spans="1:24" x14ac:dyDescent="0.25">
      <c r="A22" t="s">
        <v>771</v>
      </c>
      <c r="B22">
        <v>10</v>
      </c>
      <c r="D22" t="s">
        <v>1007</v>
      </c>
      <c r="E22">
        <v>176.95</v>
      </c>
      <c r="F22" s="9">
        <f t="shared" si="9"/>
        <v>63.701999999999991</v>
      </c>
      <c r="G22" s="3">
        <f t="shared" si="0"/>
        <v>98.303076923076901</v>
      </c>
      <c r="H22" s="5">
        <f t="shared" si="10"/>
        <v>91.302857142857135</v>
      </c>
      <c r="I22" s="7">
        <f t="shared" si="11"/>
        <v>85.23599999999999</v>
      </c>
      <c r="J22" t="s">
        <v>1008</v>
      </c>
      <c r="K22">
        <v>162.21</v>
      </c>
      <c r="L22" s="9">
        <f t="shared" si="12"/>
        <v>58.395600000000002</v>
      </c>
      <c r="M22" s="3">
        <f t="shared" si="3"/>
        <v>90.139384615384614</v>
      </c>
      <c r="N22" s="5">
        <f t="shared" si="13"/>
        <v>83.722285714285718</v>
      </c>
      <c r="O22" s="7">
        <f t="shared" si="14"/>
        <v>78.160799999999995</v>
      </c>
      <c r="P22">
        <v>3</v>
      </c>
      <c r="R22" t="s">
        <v>1009</v>
      </c>
      <c r="S22">
        <v>150.97</v>
      </c>
      <c r="T22" s="9">
        <f t="shared" si="15"/>
        <v>54.349199999999996</v>
      </c>
      <c r="U22" s="3">
        <f t="shared" si="6"/>
        <v>83.914153846153837</v>
      </c>
      <c r="V22" s="5">
        <f t="shared" si="16"/>
        <v>77.941714285714284</v>
      </c>
      <c r="W22" s="7">
        <f t="shared" si="17"/>
        <v>72.765599999999992</v>
      </c>
      <c r="X22">
        <v>3</v>
      </c>
    </row>
    <row r="23" spans="1:24" x14ac:dyDescent="0.25">
      <c r="A23" t="s">
        <v>778</v>
      </c>
      <c r="B23">
        <v>6</v>
      </c>
      <c r="D23" t="s">
        <v>1010</v>
      </c>
      <c r="E23">
        <v>125.81</v>
      </c>
      <c r="F23" s="9">
        <f t="shared" si="9"/>
        <v>45.291600000000003</v>
      </c>
      <c r="G23" s="3">
        <f t="shared" si="0"/>
        <v>69.979384615384618</v>
      </c>
      <c r="H23" s="5">
        <f t="shared" si="10"/>
        <v>65.002285714285719</v>
      </c>
      <c r="I23" s="7">
        <f t="shared" si="11"/>
        <v>60.688800000000001</v>
      </c>
      <c r="J23" t="s">
        <v>1011</v>
      </c>
      <c r="K23">
        <v>117.29</v>
      </c>
      <c r="L23" s="9">
        <f t="shared" si="12"/>
        <v>42.224400000000003</v>
      </c>
      <c r="M23" s="3">
        <f t="shared" si="3"/>
        <v>65.260615384615377</v>
      </c>
      <c r="N23" s="5">
        <f t="shared" si="13"/>
        <v>60.620571428571431</v>
      </c>
      <c r="O23" s="7">
        <f t="shared" si="14"/>
        <v>56.599200000000003</v>
      </c>
      <c r="P23">
        <v>3</v>
      </c>
      <c r="R23" t="s">
        <v>1012</v>
      </c>
      <c r="S23">
        <v>106.58</v>
      </c>
      <c r="T23" s="9">
        <f t="shared" si="15"/>
        <v>38.3688</v>
      </c>
      <c r="U23" s="3">
        <f t="shared" si="6"/>
        <v>59.328923076923076</v>
      </c>
      <c r="V23" s="5">
        <f t="shared" si="16"/>
        <v>55.112571428571428</v>
      </c>
      <c r="W23" s="7">
        <f t="shared" si="17"/>
        <v>51.458399999999997</v>
      </c>
      <c r="X23">
        <v>3</v>
      </c>
    </row>
    <row r="24" spans="1:24" x14ac:dyDescent="0.25">
      <c r="A24" t="s">
        <v>778</v>
      </c>
      <c r="B24">
        <v>8</v>
      </c>
      <c r="D24" t="s">
        <v>1013</v>
      </c>
      <c r="E24">
        <v>160.54</v>
      </c>
      <c r="F24" s="9">
        <f t="shared" si="9"/>
        <v>57.794399999999996</v>
      </c>
      <c r="G24" s="3">
        <f t="shared" si="0"/>
        <v>89.214461538461521</v>
      </c>
      <c r="H24" s="5">
        <f t="shared" si="10"/>
        <v>82.863428571428571</v>
      </c>
      <c r="I24" s="7">
        <f t="shared" si="11"/>
        <v>77.359199999999987</v>
      </c>
      <c r="J24" t="s">
        <v>1014</v>
      </c>
      <c r="K24">
        <v>148.25</v>
      </c>
      <c r="L24" s="9">
        <f t="shared" si="12"/>
        <v>53.37</v>
      </c>
      <c r="M24" s="3">
        <f t="shared" si="3"/>
        <v>82.407692307692301</v>
      </c>
      <c r="N24" s="5">
        <f t="shared" si="13"/>
        <v>76.542857142857144</v>
      </c>
      <c r="O24" s="7">
        <f t="shared" si="14"/>
        <v>71.459999999999994</v>
      </c>
      <c r="P24">
        <v>3</v>
      </c>
      <c r="R24" t="s">
        <v>1015</v>
      </c>
      <c r="S24">
        <v>129.97</v>
      </c>
      <c r="T24" s="9">
        <f t="shared" si="15"/>
        <v>46.789200000000001</v>
      </c>
      <c r="U24" s="3">
        <f t="shared" si="6"/>
        <v>72.283384615384605</v>
      </c>
      <c r="V24" s="5">
        <f t="shared" si="16"/>
        <v>67.141714285714286</v>
      </c>
      <c r="W24" s="7">
        <f t="shared" si="17"/>
        <v>62.685600000000001</v>
      </c>
      <c r="X24">
        <v>3</v>
      </c>
    </row>
    <row r="25" spans="1:24" x14ac:dyDescent="0.25">
      <c r="A25" t="s">
        <v>778</v>
      </c>
      <c r="B25">
        <v>10</v>
      </c>
      <c r="D25" t="s">
        <v>1016</v>
      </c>
      <c r="E25">
        <v>199.52</v>
      </c>
      <c r="F25" s="9">
        <f t="shared" si="9"/>
        <v>71.827200000000005</v>
      </c>
      <c r="G25" s="3">
        <f t="shared" si="0"/>
        <v>110.80338461538462</v>
      </c>
      <c r="H25" s="5">
        <f t="shared" si="10"/>
        <v>102.91028571428572</v>
      </c>
      <c r="I25" s="7">
        <f t="shared" si="11"/>
        <v>96.069600000000008</v>
      </c>
      <c r="J25" t="s">
        <v>1017</v>
      </c>
      <c r="K25">
        <v>182.5</v>
      </c>
      <c r="L25" s="9">
        <f t="shared" si="12"/>
        <v>65.7</v>
      </c>
      <c r="M25" s="3">
        <f t="shared" si="3"/>
        <v>101.37692307692308</v>
      </c>
      <c r="N25" s="5">
        <f t="shared" si="13"/>
        <v>94.157142857142858</v>
      </c>
      <c r="O25" s="7">
        <f t="shared" si="14"/>
        <v>87.9</v>
      </c>
      <c r="P25">
        <v>2</v>
      </c>
      <c r="R25" t="s">
        <v>1018</v>
      </c>
      <c r="S25">
        <v>147.93</v>
      </c>
      <c r="T25" s="9">
        <f t="shared" si="15"/>
        <v>53.254800000000003</v>
      </c>
      <c r="U25" s="3">
        <f t="shared" si="6"/>
        <v>82.23046153846154</v>
      </c>
      <c r="V25" s="5">
        <f t="shared" si="16"/>
        <v>76.378285714285724</v>
      </c>
      <c r="W25" s="7">
        <f t="shared" si="17"/>
        <v>71.306399999999996</v>
      </c>
      <c r="X25">
        <v>2</v>
      </c>
    </row>
    <row r="26" spans="1:24" x14ac:dyDescent="0.25">
      <c r="A26" t="s">
        <v>785</v>
      </c>
      <c r="B26">
        <v>6</v>
      </c>
      <c r="D26" t="s">
        <v>1019</v>
      </c>
      <c r="E26">
        <v>136.78</v>
      </c>
      <c r="F26" s="9">
        <f t="shared" si="9"/>
        <v>49.2408</v>
      </c>
      <c r="G26" s="3">
        <f t="shared" si="0"/>
        <v>76.055076923076925</v>
      </c>
      <c r="H26" s="5">
        <f t="shared" si="10"/>
        <v>70.644000000000005</v>
      </c>
      <c r="I26" s="7">
        <f t="shared" si="11"/>
        <v>65.954399999999993</v>
      </c>
      <c r="J26" t="s">
        <v>1020</v>
      </c>
      <c r="K26">
        <v>130.43</v>
      </c>
      <c r="L26" s="9">
        <f t="shared" si="12"/>
        <v>46.954799999999999</v>
      </c>
      <c r="M26" s="3">
        <f t="shared" si="3"/>
        <v>72.538153846153833</v>
      </c>
      <c r="N26" s="5">
        <f t="shared" si="13"/>
        <v>67.37828571428571</v>
      </c>
      <c r="O26" s="7">
        <f t="shared" si="14"/>
        <v>62.906399999999998</v>
      </c>
      <c r="P26">
        <v>3</v>
      </c>
      <c r="R26" t="s">
        <v>1021</v>
      </c>
      <c r="S26">
        <v>119.79</v>
      </c>
      <c r="T26" s="9">
        <f t="shared" si="15"/>
        <v>43.124400000000001</v>
      </c>
      <c r="U26" s="3">
        <f t="shared" si="6"/>
        <v>66.645230769230764</v>
      </c>
      <c r="V26" s="5">
        <f t="shared" si="16"/>
        <v>61.906285714285715</v>
      </c>
      <c r="W26" s="7">
        <f t="shared" si="17"/>
        <v>57.799199999999999</v>
      </c>
      <c r="X26">
        <v>3</v>
      </c>
    </row>
    <row r="27" spans="1:24" x14ac:dyDescent="0.25">
      <c r="A27" t="s">
        <v>785</v>
      </c>
      <c r="B27">
        <v>8</v>
      </c>
      <c r="D27" t="s">
        <v>1022</v>
      </c>
      <c r="E27">
        <v>172.34</v>
      </c>
      <c r="F27" s="9">
        <f t="shared" si="9"/>
        <v>62.042400000000001</v>
      </c>
      <c r="G27" s="3">
        <f t="shared" si="0"/>
        <v>95.74984615384615</v>
      </c>
      <c r="H27" s="5">
        <f t="shared" si="10"/>
        <v>88.932000000000002</v>
      </c>
      <c r="I27" s="7">
        <f t="shared" si="11"/>
        <v>83.023200000000003</v>
      </c>
      <c r="J27" t="s">
        <v>1023</v>
      </c>
      <c r="K27">
        <v>165.53</v>
      </c>
      <c r="L27" s="9">
        <f t="shared" si="12"/>
        <v>59.590800000000002</v>
      </c>
      <c r="M27" s="3">
        <f t="shared" si="3"/>
        <v>91.978153846153845</v>
      </c>
      <c r="N27" s="5">
        <f t="shared" si="13"/>
        <v>85.429714285714297</v>
      </c>
      <c r="O27" s="7">
        <f t="shared" si="14"/>
        <v>79.754400000000004</v>
      </c>
      <c r="P27">
        <v>2</v>
      </c>
      <c r="R27" t="s">
        <v>1024</v>
      </c>
      <c r="S27">
        <v>147.85</v>
      </c>
      <c r="T27" s="9">
        <f t="shared" si="15"/>
        <v>53.225999999999999</v>
      </c>
      <c r="U27" s="3">
        <f t="shared" si="6"/>
        <v>82.186153846153843</v>
      </c>
      <c r="V27" s="5">
        <f t="shared" si="16"/>
        <v>76.337142857142851</v>
      </c>
      <c r="W27" s="7">
        <f t="shared" si="17"/>
        <v>71.268000000000001</v>
      </c>
      <c r="X27">
        <v>2</v>
      </c>
    </row>
    <row r="28" spans="1:24" x14ac:dyDescent="0.25">
      <c r="A28" t="s">
        <v>785</v>
      </c>
      <c r="B28">
        <v>10</v>
      </c>
      <c r="D28" t="s">
        <v>1025</v>
      </c>
      <c r="E28">
        <v>214.01</v>
      </c>
      <c r="F28" s="9">
        <f t="shared" si="9"/>
        <v>77.043599999999998</v>
      </c>
      <c r="G28" s="3">
        <f t="shared" si="0"/>
        <v>118.82861538461538</v>
      </c>
      <c r="H28" s="5">
        <f t="shared" si="10"/>
        <v>110.36228571428572</v>
      </c>
      <c r="I28" s="7">
        <f t="shared" si="11"/>
        <v>103.0248</v>
      </c>
      <c r="J28" t="s">
        <v>1026</v>
      </c>
      <c r="K28">
        <v>204.11</v>
      </c>
      <c r="L28" s="9">
        <f t="shared" si="12"/>
        <v>73.479600000000005</v>
      </c>
      <c r="M28" s="3">
        <f t="shared" si="3"/>
        <v>113.34553846153847</v>
      </c>
      <c r="N28" s="5">
        <f t="shared" si="13"/>
        <v>105.27085714285715</v>
      </c>
      <c r="O28" s="7">
        <f t="shared" si="14"/>
        <v>98.272800000000004</v>
      </c>
      <c r="P28">
        <v>2</v>
      </c>
      <c r="R28" t="s">
        <v>1027</v>
      </c>
      <c r="S28">
        <v>169.08</v>
      </c>
      <c r="T28" s="9">
        <f t="shared" si="15"/>
        <v>60.8688</v>
      </c>
      <c r="U28" s="3">
        <f t="shared" si="6"/>
        <v>93.944307692307689</v>
      </c>
      <c r="V28" s="5">
        <f t="shared" si="16"/>
        <v>87.255428571428581</v>
      </c>
      <c r="W28" s="7">
        <f t="shared" si="17"/>
        <v>81.458399999999997</v>
      </c>
      <c r="X28">
        <v>2</v>
      </c>
    </row>
    <row r="29" spans="1:24" x14ac:dyDescent="0.25">
      <c r="F29" s="10"/>
      <c r="G29" s="10"/>
      <c r="H29" s="10"/>
      <c r="I29" s="10"/>
      <c r="L29" s="10"/>
      <c r="M29" s="10"/>
      <c r="N29" s="10"/>
      <c r="O29" s="10"/>
      <c r="T29" s="10"/>
      <c r="U29" s="10"/>
      <c r="V29" s="10"/>
      <c r="W29" s="10"/>
    </row>
    <row r="30" spans="1:24" x14ac:dyDescent="0.25">
      <c r="A30" t="s">
        <v>792</v>
      </c>
      <c r="B30">
        <v>6</v>
      </c>
      <c r="D30" t="s">
        <v>1028</v>
      </c>
      <c r="E30">
        <v>95.73</v>
      </c>
      <c r="F30" s="9">
        <f t="shared" si="9"/>
        <v>34.462800000000001</v>
      </c>
      <c r="G30" s="3">
        <f t="shared" si="0"/>
        <v>53.319692307692307</v>
      </c>
      <c r="H30" s="5">
        <f t="shared" si="10"/>
        <v>49.53257142857143</v>
      </c>
      <c r="I30" s="7">
        <f t="shared" si="11"/>
        <v>46.250399999999999</v>
      </c>
      <c r="J30" t="s">
        <v>1029</v>
      </c>
      <c r="K30">
        <v>90.32</v>
      </c>
      <c r="L30" s="9">
        <f t="shared" si="12"/>
        <v>32.515199999999993</v>
      </c>
      <c r="M30" s="3">
        <f t="shared" si="3"/>
        <v>50.323384615384597</v>
      </c>
      <c r="N30" s="5">
        <f t="shared" si="13"/>
        <v>46.750285714285702</v>
      </c>
      <c r="O30" s="7">
        <f t="shared" si="14"/>
        <v>43.65359999999999</v>
      </c>
      <c r="P30">
        <v>6</v>
      </c>
      <c r="R30" t="s">
        <v>1030</v>
      </c>
      <c r="S30">
        <v>85.47</v>
      </c>
      <c r="T30" s="9">
        <f t="shared" si="15"/>
        <v>30.769199999999998</v>
      </c>
      <c r="U30" s="3">
        <f t="shared" si="6"/>
        <v>47.637230769230761</v>
      </c>
      <c r="V30" s="5">
        <f t="shared" si="16"/>
        <v>44.256</v>
      </c>
      <c r="W30" s="7">
        <f t="shared" si="17"/>
        <v>41.325599999999994</v>
      </c>
      <c r="X30">
        <v>6</v>
      </c>
    </row>
    <row r="31" spans="1:24" x14ac:dyDescent="0.25">
      <c r="A31" t="s">
        <v>792</v>
      </c>
      <c r="B31">
        <v>8</v>
      </c>
      <c r="D31" t="s">
        <v>1031</v>
      </c>
      <c r="E31">
        <v>119.05</v>
      </c>
      <c r="F31" s="9">
        <f t="shared" si="9"/>
        <v>42.857999999999997</v>
      </c>
      <c r="G31" s="3">
        <f t="shared" si="0"/>
        <v>66.235384615384604</v>
      </c>
      <c r="H31" s="5">
        <f t="shared" si="10"/>
        <v>61.52571428571428</v>
      </c>
      <c r="I31" s="7">
        <f t="shared" si="11"/>
        <v>57.443999999999996</v>
      </c>
      <c r="J31" t="s">
        <v>1032</v>
      </c>
      <c r="K31">
        <v>111.69</v>
      </c>
      <c r="L31" s="9">
        <f t="shared" si="12"/>
        <v>40.208399999999997</v>
      </c>
      <c r="M31" s="3">
        <f t="shared" si="3"/>
        <v>62.159076923076917</v>
      </c>
      <c r="N31" s="5">
        <f t="shared" si="13"/>
        <v>57.740571428571428</v>
      </c>
      <c r="O31" s="7">
        <f t="shared" si="14"/>
        <v>53.911199999999994</v>
      </c>
      <c r="P31">
        <v>4</v>
      </c>
      <c r="R31" t="s">
        <v>1033</v>
      </c>
      <c r="S31">
        <v>105.32</v>
      </c>
      <c r="T31" s="9">
        <f t="shared" si="15"/>
        <v>37.915199999999999</v>
      </c>
      <c r="U31" s="3">
        <f t="shared" si="6"/>
        <v>58.631076923076918</v>
      </c>
      <c r="V31" s="5">
        <f t="shared" si="16"/>
        <v>54.464571428571425</v>
      </c>
      <c r="W31" s="7">
        <f t="shared" si="17"/>
        <v>50.853599999999993</v>
      </c>
      <c r="X31">
        <v>4</v>
      </c>
    </row>
    <row r="32" spans="1:24" x14ac:dyDescent="0.25">
      <c r="A32" t="s">
        <v>792</v>
      </c>
      <c r="B32">
        <v>10</v>
      </c>
      <c r="D32" t="s">
        <v>1034</v>
      </c>
      <c r="E32">
        <v>143.72999999999999</v>
      </c>
      <c r="F32" s="9">
        <f t="shared" si="9"/>
        <v>51.742799999999995</v>
      </c>
      <c r="G32" s="3">
        <f t="shared" si="0"/>
        <v>79.904307692307682</v>
      </c>
      <c r="H32" s="5">
        <f t="shared" si="10"/>
        <v>74.218285714285713</v>
      </c>
      <c r="I32" s="7">
        <f t="shared" si="11"/>
        <v>69.290399999999991</v>
      </c>
      <c r="J32" t="s">
        <v>1035</v>
      </c>
      <c r="K32">
        <v>134.69999999999999</v>
      </c>
      <c r="L32" s="9">
        <f t="shared" si="12"/>
        <v>48.491999999999997</v>
      </c>
      <c r="M32" s="3">
        <f t="shared" si="3"/>
        <v>74.90307692307691</v>
      </c>
      <c r="N32" s="5">
        <f t="shared" si="13"/>
        <v>69.574285714285708</v>
      </c>
      <c r="O32" s="7">
        <f t="shared" si="14"/>
        <v>64.955999999999989</v>
      </c>
      <c r="P32">
        <v>3</v>
      </c>
      <c r="R32" t="s">
        <v>1036</v>
      </c>
      <c r="S32">
        <v>122.83</v>
      </c>
      <c r="T32" s="9">
        <f t="shared" si="15"/>
        <v>44.218799999999995</v>
      </c>
      <c r="U32" s="3">
        <f t="shared" si="6"/>
        <v>68.328923076923061</v>
      </c>
      <c r="V32" s="5">
        <f t="shared" si="16"/>
        <v>63.469714285714282</v>
      </c>
      <c r="W32" s="7">
        <f t="shared" si="17"/>
        <v>59.258399999999988</v>
      </c>
      <c r="X32">
        <v>3</v>
      </c>
    </row>
    <row r="33" spans="1:24" x14ac:dyDescent="0.25">
      <c r="A33" t="s">
        <v>799</v>
      </c>
      <c r="B33">
        <v>6</v>
      </c>
      <c r="D33" t="s">
        <v>1037</v>
      </c>
      <c r="E33">
        <v>110.99</v>
      </c>
      <c r="F33" s="9">
        <f t="shared" si="9"/>
        <v>39.956399999999995</v>
      </c>
      <c r="G33" s="3">
        <f t="shared" si="0"/>
        <v>61.771384615384605</v>
      </c>
      <c r="H33" s="5">
        <f t="shared" si="10"/>
        <v>57.380571428571422</v>
      </c>
      <c r="I33" s="7">
        <f t="shared" si="11"/>
        <v>53.575199999999988</v>
      </c>
      <c r="J33" t="s">
        <v>1038</v>
      </c>
      <c r="K33">
        <v>104.81</v>
      </c>
      <c r="L33" s="9">
        <f t="shared" si="12"/>
        <v>37.7316</v>
      </c>
      <c r="M33" s="3">
        <f t="shared" si="3"/>
        <v>58.348615384615378</v>
      </c>
      <c r="N33" s="5">
        <f t="shared" si="13"/>
        <v>54.202285714285715</v>
      </c>
      <c r="O33" s="7">
        <f t="shared" si="14"/>
        <v>50.608799999999995</v>
      </c>
      <c r="P33">
        <v>4</v>
      </c>
      <c r="R33" t="s">
        <v>1039</v>
      </c>
      <c r="S33">
        <v>97.69</v>
      </c>
      <c r="T33" s="9">
        <f t="shared" si="15"/>
        <v>35.168399999999998</v>
      </c>
      <c r="U33" s="3">
        <f t="shared" si="6"/>
        <v>54.405230769230762</v>
      </c>
      <c r="V33" s="5">
        <f t="shared" si="16"/>
        <v>50.540571428571425</v>
      </c>
      <c r="W33" s="7">
        <f t="shared" si="17"/>
        <v>47.191199999999995</v>
      </c>
      <c r="X33">
        <v>4</v>
      </c>
    </row>
    <row r="34" spans="1:24" x14ac:dyDescent="0.25">
      <c r="A34" t="s">
        <v>799</v>
      </c>
      <c r="B34">
        <v>8</v>
      </c>
      <c r="D34" t="s">
        <v>1040</v>
      </c>
      <c r="E34">
        <v>139.97999999999999</v>
      </c>
      <c r="F34" s="9">
        <f t="shared" si="9"/>
        <v>50.392799999999994</v>
      </c>
      <c r="G34" s="3">
        <f t="shared" si="0"/>
        <v>77.827384615384602</v>
      </c>
      <c r="H34" s="5">
        <f t="shared" si="10"/>
        <v>72.289714285714282</v>
      </c>
      <c r="I34" s="7">
        <f t="shared" si="11"/>
        <v>67.490399999999994</v>
      </c>
      <c r="J34" t="s">
        <v>1041</v>
      </c>
      <c r="K34">
        <v>132.07</v>
      </c>
      <c r="L34" s="9">
        <f t="shared" si="12"/>
        <v>47.545199999999994</v>
      </c>
      <c r="M34" s="3">
        <f t="shared" si="3"/>
        <v>73.44646153846152</v>
      </c>
      <c r="N34" s="5">
        <f t="shared" si="13"/>
        <v>68.221714285714285</v>
      </c>
      <c r="O34" s="7">
        <f t="shared" si="14"/>
        <v>63.693599999999989</v>
      </c>
      <c r="P34">
        <v>3</v>
      </c>
      <c r="R34" t="s">
        <v>1042</v>
      </c>
      <c r="S34">
        <v>115.81</v>
      </c>
      <c r="T34" s="9">
        <f t="shared" si="15"/>
        <v>41.691600000000001</v>
      </c>
      <c r="U34" s="3">
        <f t="shared" si="6"/>
        <v>64.44092307692307</v>
      </c>
      <c r="V34" s="5">
        <f t="shared" si="16"/>
        <v>59.859428571428573</v>
      </c>
      <c r="W34" s="7">
        <f t="shared" si="17"/>
        <v>55.888799999999996</v>
      </c>
      <c r="X34">
        <v>3</v>
      </c>
    </row>
    <row r="35" spans="1:24" x14ac:dyDescent="0.25">
      <c r="A35" t="s">
        <v>799</v>
      </c>
      <c r="B35">
        <v>10</v>
      </c>
      <c r="D35" t="s">
        <v>1043</v>
      </c>
      <c r="E35">
        <v>176.58</v>
      </c>
      <c r="F35" s="9">
        <f t="shared" si="9"/>
        <v>63.568800000000003</v>
      </c>
      <c r="G35" s="3">
        <f t="shared" si="0"/>
        <v>98.098153846153849</v>
      </c>
      <c r="H35" s="5">
        <f t="shared" si="10"/>
        <v>91.112571428571442</v>
      </c>
      <c r="I35" s="7">
        <f t="shared" si="11"/>
        <v>85.058400000000006</v>
      </c>
      <c r="J35" t="s">
        <v>1044</v>
      </c>
      <c r="K35">
        <v>164.56</v>
      </c>
      <c r="L35" s="9">
        <f t="shared" si="12"/>
        <v>59.241599999999998</v>
      </c>
      <c r="M35" s="3">
        <f t="shared" si="3"/>
        <v>91.44092307692307</v>
      </c>
      <c r="N35" s="5">
        <f t="shared" si="13"/>
        <v>84.93085714285715</v>
      </c>
      <c r="O35" s="7">
        <f t="shared" si="14"/>
        <v>79.288799999999995</v>
      </c>
      <c r="P35">
        <v>3</v>
      </c>
      <c r="R35" t="s">
        <v>1045</v>
      </c>
      <c r="S35">
        <v>126.65</v>
      </c>
      <c r="T35" s="9">
        <f t="shared" si="15"/>
        <v>45.594000000000001</v>
      </c>
      <c r="U35" s="3">
        <f t="shared" si="6"/>
        <v>70.444615384615375</v>
      </c>
      <c r="V35" s="5">
        <f t="shared" si="16"/>
        <v>65.434285714285721</v>
      </c>
      <c r="W35" s="7">
        <f t="shared" si="17"/>
        <v>61.091999999999999</v>
      </c>
      <c r="X35">
        <v>3</v>
      </c>
    </row>
    <row r="36" spans="1:24" x14ac:dyDescent="0.25">
      <c r="A36" t="s">
        <v>806</v>
      </c>
      <c r="B36">
        <v>6</v>
      </c>
      <c r="D36" t="s">
        <v>1046</v>
      </c>
      <c r="E36">
        <v>119.78</v>
      </c>
      <c r="F36" s="9">
        <f t="shared" si="9"/>
        <v>43.120799999999996</v>
      </c>
      <c r="G36" s="3">
        <f t="shared" si="0"/>
        <v>66.6396923076923</v>
      </c>
      <c r="H36" s="5">
        <f t="shared" si="10"/>
        <v>61.901142857142851</v>
      </c>
      <c r="I36" s="7">
        <f t="shared" si="11"/>
        <v>57.794399999999989</v>
      </c>
      <c r="J36" t="s">
        <v>1047</v>
      </c>
      <c r="K36">
        <v>112.13</v>
      </c>
      <c r="L36" s="9">
        <f t="shared" si="12"/>
        <v>40.366799999999998</v>
      </c>
      <c r="M36" s="3">
        <f t="shared" si="3"/>
        <v>62.402769230769223</v>
      </c>
      <c r="N36" s="5">
        <f t="shared" si="13"/>
        <v>57.966857142857144</v>
      </c>
      <c r="O36" s="7">
        <f t="shared" si="14"/>
        <v>54.122399999999992</v>
      </c>
      <c r="P36">
        <v>4</v>
      </c>
      <c r="R36" t="s">
        <v>1048</v>
      </c>
      <c r="S36">
        <v>105.94</v>
      </c>
      <c r="T36" s="9">
        <f t="shared" si="15"/>
        <v>38.138399999999997</v>
      </c>
      <c r="U36" s="3">
        <f t="shared" si="6"/>
        <v>58.974461538461526</v>
      </c>
      <c r="V36" s="5">
        <f t="shared" si="16"/>
        <v>54.783428571428566</v>
      </c>
      <c r="W36" s="7">
        <f t="shared" si="17"/>
        <v>51.151199999999996</v>
      </c>
      <c r="X36">
        <v>4</v>
      </c>
    </row>
    <row r="37" spans="1:24" x14ac:dyDescent="0.25">
      <c r="A37" t="s">
        <v>806</v>
      </c>
      <c r="B37">
        <v>8</v>
      </c>
      <c r="D37" t="s">
        <v>1049</v>
      </c>
      <c r="E37">
        <v>151.69999999999999</v>
      </c>
      <c r="F37" s="9">
        <f t="shared" si="9"/>
        <v>54.611999999999995</v>
      </c>
      <c r="G37" s="3">
        <f t="shared" si="0"/>
        <v>84.31846153846152</v>
      </c>
      <c r="H37" s="5">
        <f t="shared" si="10"/>
        <v>78.317142857142855</v>
      </c>
      <c r="I37" s="7">
        <f t="shared" si="11"/>
        <v>73.115999999999985</v>
      </c>
      <c r="J37" t="s">
        <v>1050</v>
      </c>
      <c r="K37">
        <v>140.58000000000001</v>
      </c>
      <c r="L37" s="9">
        <f t="shared" si="12"/>
        <v>50.608800000000002</v>
      </c>
      <c r="M37" s="3">
        <f t="shared" si="3"/>
        <v>78.15969230769231</v>
      </c>
      <c r="N37" s="5">
        <f t="shared" si="13"/>
        <v>72.598285714285723</v>
      </c>
      <c r="O37" s="7">
        <f t="shared" si="14"/>
        <v>67.778400000000005</v>
      </c>
      <c r="P37">
        <v>3</v>
      </c>
      <c r="R37" t="s">
        <v>1051</v>
      </c>
      <c r="S37">
        <v>133.44999999999999</v>
      </c>
      <c r="T37" s="9">
        <f t="shared" si="15"/>
        <v>48.041999999999994</v>
      </c>
      <c r="U37" s="3">
        <f t="shared" si="6"/>
        <v>74.210769230769216</v>
      </c>
      <c r="V37" s="5">
        <f t="shared" si="16"/>
        <v>68.931428571428569</v>
      </c>
      <c r="W37" s="7">
        <f t="shared" si="17"/>
        <v>64.355999999999995</v>
      </c>
      <c r="X37">
        <v>3</v>
      </c>
    </row>
    <row r="38" spans="1:24" x14ac:dyDescent="0.25">
      <c r="A38" t="s">
        <v>806</v>
      </c>
      <c r="B38">
        <v>10</v>
      </c>
      <c r="D38" t="s">
        <v>1052</v>
      </c>
      <c r="E38">
        <v>189.17</v>
      </c>
      <c r="F38" s="9">
        <f t="shared" si="9"/>
        <v>68.101199999999992</v>
      </c>
      <c r="G38" s="3">
        <f t="shared" si="0"/>
        <v>105.0710769230769</v>
      </c>
      <c r="H38" s="5">
        <f t="shared" si="10"/>
        <v>97.587428571428561</v>
      </c>
      <c r="I38" s="7">
        <f t="shared" si="11"/>
        <v>91.101599999999991</v>
      </c>
      <c r="J38" t="s">
        <v>1053</v>
      </c>
      <c r="K38">
        <v>173.35</v>
      </c>
      <c r="L38" s="9">
        <f t="shared" si="12"/>
        <v>62.405999999999999</v>
      </c>
      <c r="M38" s="3">
        <f t="shared" si="3"/>
        <v>96.309230769230766</v>
      </c>
      <c r="N38" s="5">
        <f t="shared" si="13"/>
        <v>89.451428571428579</v>
      </c>
      <c r="O38" s="7">
        <f t="shared" si="14"/>
        <v>83.507999999999996</v>
      </c>
      <c r="P38">
        <v>3</v>
      </c>
      <c r="R38" t="s">
        <v>1054</v>
      </c>
      <c r="S38">
        <v>161.32</v>
      </c>
      <c r="T38" s="9">
        <f t="shared" si="15"/>
        <v>58.075199999999995</v>
      </c>
      <c r="U38" s="3">
        <f t="shared" si="6"/>
        <v>89.646461538461523</v>
      </c>
      <c r="V38" s="5">
        <f t="shared" si="16"/>
        <v>83.264571428571429</v>
      </c>
      <c r="W38" s="7">
        <f t="shared" si="17"/>
        <v>77.733599999999996</v>
      </c>
      <c r="X38">
        <v>3</v>
      </c>
    </row>
    <row r="39" spans="1:24" x14ac:dyDescent="0.25">
      <c r="A39" t="s">
        <v>813</v>
      </c>
      <c r="B39">
        <v>6</v>
      </c>
      <c r="D39" t="s">
        <v>1055</v>
      </c>
      <c r="E39">
        <v>134.38999999999999</v>
      </c>
      <c r="F39" s="9">
        <f t="shared" si="9"/>
        <v>48.380399999999995</v>
      </c>
      <c r="G39" s="3">
        <f t="shared" si="0"/>
        <v>74.731384615384599</v>
      </c>
      <c r="H39" s="5">
        <f t="shared" si="10"/>
        <v>69.41485714285713</v>
      </c>
      <c r="I39" s="7">
        <f t="shared" si="11"/>
        <v>64.807199999999995</v>
      </c>
      <c r="J39" t="s">
        <v>1056</v>
      </c>
      <c r="K39">
        <v>125.33</v>
      </c>
      <c r="L39" s="9">
        <f t="shared" si="12"/>
        <v>45.1188</v>
      </c>
      <c r="M39" s="3">
        <f t="shared" si="3"/>
        <v>69.713538461538462</v>
      </c>
      <c r="N39" s="5">
        <f t="shared" si="13"/>
        <v>64.755428571428567</v>
      </c>
      <c r="O39" s="7">
        <f t="shared" si="14"/>
        <v>60.458399999999997</v>
      </c>
      <c r="P39">
        <v>3</v>
      </c>
      <c r="R39" t="s">
        <v>1057</v>
      </c>
      <c r="S39">
        <v>113.84</v>
      </c>
      <c r="T39" s="9">
        <f t="shared" si="15"/>
        <v>40.982399999999998</v>
      </c>
      <c r="U39" s="3">
        <f t="shared" si="6"/>
        <v>63.349846153846144</v>
      </c>
      <c r="V39" s="5">
        <f t="shared" si="16"/>
        <v>58.846285714285713</v>
      </c>
      <c r="W39" s="7">
        <f t="shared" si="17"/>
        <v>54.943199999999997</v>
      </c>
      <c r="X39">
        <v>4</v>
      </c>
    </row>
    <row r="40" spans="1:24" x14ac:dyDescent="0.25">
      <c r="A40" t="s">
        <v>813</v>
      </c>
      <c r="B40">
        <v>8</v>
      </c>
      <c r="D40" t="s">
        <v>1058</v>
      </c>
      <c r="E40">
        <v>171.59</v>
      </c>
      <c r="F40" s="9">
        <f t="shared" si="9"/>
        <v>61.772399999999998</v>
      </c>
      <c r="G40" s="3">
        <f t="shared" si="0"/>
        <v>95.334461538461525</v>
      </c>
      <c r="H40" s="5">
        <f t="shared" si="10"/>
        <v>88.546285714285716</v>
      </c>
      <c r="I40" s="7">
        <f t="shared" si="11"/>
        <v>82.663199999999989</v>
      </c>
      <c r="J40" t="s">
        <v>1059</v>
      </c>
      <c r="K40">
        <v>158.44</v>
      </c>
      <c r="L40" s="9">
        <f t="shared" si="12"/>
        <v>57.038399999999996</v>
      </c>
      <c r="M40" s="3">
        <f t="shared" si="3"/>
        <v>88.051384615384606</v>
      </c>
      <c r="N40" s="5">
        <f t="shared" si="13"/>
        <v>81.783428571428573</v>
      </c>
      <c r="O40" s="7">
        <f t="shared" si="14"/>
        <v>76.351199999999992</v>
      </c>
      <c r="P40">
        <v>3</v>
      </c>
      <c r="R40" t="s">
        <v>1060</v>
      </c>
      <c r="S40">
        <v>138.82</v>
      </c>
      <c r="T40" s="9">
        <f t="shared" si="15"/>
        <v>49.975199999999994</v>
      </c>
      <c r="U40" s="3">
        <f t="shared" si="6"/>
        <v>77.184923076923056</v>
      </c>
      <c r="V40" s="5">
        <f t="shared" si="16"/>
        <v>71.693142857142846</v>
      </c>
      <c r="W40" s="7">
        <f t="shared" si="17"/>
        <v>66.933599999999984</v>
      </c>
      <c r="X40">
        <v>3</v>
      </c>
    </row>
    <row r="41" spans="1:24" x14ac:dyDescent="0.25">
      <c r="A41" t="s">
        <v>813</v>
      </c>
      <c r="B41">
        <v>10</v>
      </c>
      <c r="D41" t="s">
        <v>1061</v>
      </c>
      <c r="E41">
        <v>213.16</v>
      </c>
      <c r="F41" s="9">
        <f t="shared" si="9"/>
        <v>76.7376</v>
      </c>
      <c r="G41" s="3">
        <f t="shared" si="0"/>
        <v>118.35784615384615</v>
      </c>
      <c r="H41" s="5">
        <f t="shared" si="10"/>
        <v>109.92514285714286</v>
      </c>
      <c r="I41" s="7">
        <f t="shared" si="11"/>
        <v>102.6168</v>
      </c>
      <c r="J41" t="s">
        <v>1062</v>
      </c>
      <c r="K41">
        <v>195.02</v>
      </c>
      <c r="L41" s="9">
        <f t="shared" si="12"/>
        <v>70.2072</v>
      </c>
      <c r="M41" s="3">
        <f t="shared" si="3"/>
        <v>108.31107692307691</v>
      </c>
      <c r="N41" s="5">
        <f t="shared" si="13"/>
        <v>100.596</v>
      </c>
      <c r="O41" s="7">
        <f t="shared" si="14"/>
        <v>93.909599999999998</v>
      </c>
      <c r="P41">
        <v>2</v>
      </c>
      <c r="R41" t="s">
        <v>1063</v>
      </c>
      <c r="S41">
        <v>158.1</v>
      </c>
      <c r="T41" s="9">
        <f t="shared" si="15"/>
        <v>56.915999999999997</v>
      </c>
      <c r="U41" s="3">
        <f t="shared" si="6"/>
        <v>87.863076923076918</v>
      </c>
      <c r="V41" s="5">
        <f t="shared" si="16"/>
        <v>81.608571428571423</v>
      </c>
      <c r="W41" s="7">
        <f t="shared" si="17"/>
        <v>76.187999999999988</v>
      </c>
      <c r="X41">
        <v>2</v>
      </c>
    </row>
    <row r="42" spans="1:24" x14ac:dyDescent="0.25">
      <c r="A42" t="s">
        <v>820</v>
      </c>
      <c r="B42">
        <v>6</v>
      </c>
      <c r="D42" t="s">
        <v>1064</v>
      </c>
      <c r="E42">
        <v>146.12</v>
      </c>
      <c r="F42" s="9">
        <f t="shared" si="9"/>
        <v>52.603200000000001</v>
      </c>
      <c r="G42" s="3">
        <f t="shared" si="0"/>
        <v>81.227999999999994</v>
      </c>
      <c r="H42" s="5">
        <f t="shared" si="10"/>
        <v>75.447428571428574</v>
      </c>
      <c r="I42" s="7">
        <f t="shared" si="11"/>
        <v>70.437600000000003</v>
      </c>
      <c r="J42" t="s">
        <v>1065</v>
      </c>
      <c r="K42">
        <v>139.35</v>
      </c>
      <c r="L42" s="9">
        <f t="shared" si="12"/>
        <v>50.165999999999997</v>
      </c>
      <c r="M42" s="3">
        <f t="shared" si="3"/>
        <v>77.478461538461531</v>
      </c>
      <c r="N42" s="5">
        <f t="shared" si="13"/>
        <v>71.965714285714284</v>
      </c>
      <c r="O42" s="7">
        <f t="shared" si="14"/>
        <v>67.187999999999988</v>
      </c>
      <c r="P42">
        <v>3</v>
      </c>
      <c r="R42" t="s">
        <v>1066</v>
      </c>
      <c r="S42">
        <v>127.99</v>
      </c>
      <c r="T42" s="9">
        <f t="shared" si="15"/>
        <v>46.0764</v>
      </c>
      <c r="U42" s="3">
        <f t="shared" si="6"/>
        <v>71.186769230769229</v>
      </c>
      <c r="V42" s="5">
        <f t="shared" si="16"/>
        <v>66.123428571428576</v>
      </c>
      <c r="W42" s="7">
        <f t="shared" si="17"/>
        <v>61.735199999999999</v>
      </c>
      <c r="X42">
        <v>3</v>
      </c>
    </row>
    <row r="43" spans="1:24" x14ac:dyDescent="0.25">
      <c r="A43" t="s">
        <v>820</v>
      </c>
      <c r="B43">
        <v>8</v>
      </c>
      <c r="D43" t="s">
        <v>1067</v>
      </c>
      <c r="E43">
        <v>184.18</v>
      </c>
      <c r="F43" s="9">
        <f t="shared" si="9"/>
        <v>66.3048</v>
      </c>
      <c r="G43" s="3">
        <f t="shared" si="0"/>
        <v>102.30738461538461</v>
      </c>
      <c r="H43" s="5">
        <f t="shared" si="10"/>
        <v>95.021142857142863</v>
      </c>
      <c r="I43" s="7">
        <f t="shared" si="11"/>
        <v>88.706400000000002</v>
      </c>
      <c r="J43" t="s">
        <v>1068</v>
      </c>
      <c r="K43">
        <v>176.87</v>
      </c>
      <c r="L43" s="9">
        <f t="shared" si="12"/>
        <v>63.673200000000001</v>
      </c>
      <c r="M43" s="3">
        <f t="shared" si="3"/>
        <v>98.258769230769232</v>
      </c>
      <c r="N43" s="5">
        <f t="shared" si="13"/>
        <v>91.261714285714291</v>
      </c>
      <c r="O43" s="7">
        <f t="shared" si="14"/>
        <v>85.197599999999994</v>
      </c>
      <c r="P43">
        <v>2</v>
      </c>
      <c r="R43" t="s">
        <v>1069</v>
      </c>
      <c r="S43">
        <v>158</v>
      </c>
      <c r="T43" s="9">
        <f t="shared" si="15"/>
        <v>56.879999999999995</v>
      </c>
      <c r="U43" s="3">
        <f t="shared" si="6"/>
        <v>87.807692307692292</v>
      </c>
      <c r="V43" s="5">
        <f t="shared" si="16"/>
        <v>81.55714285714285</v>
      </c>
      <c r="W43" s="7">
        <f t="shared" si="17"/>
        <v>76.139999999999986</v>
      </c>
      <c r="X43">
        <v>2</v>
      </c>
    </row>
    <row r="44" spans="1:24" x14ac:dyDescent="0.25">
      <c r="A44" t="s">
        <v>820</v>
      </c>
      <c r="B44">
        <v>10</v>
      </c>
      <c r="D44" t="s">
        <v>1070</v>
      </c>
      <c r="E44">
        <v>228.68</v>
      </c>
      <c r="F44" s="9">
        <f t="shared" si="9"/>
        <v>82.324799999999996</v>
      </c>
      <c r="G44" s="3">
        <f t="shared" si="0"/>
        <v>126.95353846153844</v>
      </c>
      <c r="H44" s="5">
        <f t="shared" si="10"/>
        <v>117.90685714285715</v>
      </c>
      <c r="I44" s="7">
        <f t="shared" si="11"/>
        <v>110.06639999999999</v>
      </c>
      <c r="J44" t="s">
        <v>1071</v>
      </c>
      <c r="K44">
        <v>218.2</v>
      </c>
      <c r="L44" s="9">
        <f t="shared" si="12"/>
        <v>78.551999999999992</v>
      </c>
      <c r="M44" s="3">
        <f t="shared" si="3"/>
        <v>121.14923076923075</v>
      </c>
      <c r="N44" s="5">
        <f t="shared" si="13"/>
        <v>112.51714285714286</v>
      </c>
      <c r="O44" s="7">
        <f t="shared" si="14"/>
        <v>105.03599999999999</v>
      </c>
      <c r="P44">
        <v>2</v>
      </c>
      <c r="R44" t="s">
        <v>1072</v>
      </c>
      <c r="S44">
        <v>180.65</v>
      </c>
      <c r="T44" s="9">
        <f t="shared" si="15"/>
        <v>65.034000000000006</v>
      </c>
      <c r="U44" s="3">
        <f t="shared" si="6"/>
        <v>100.35230769230769</v>
      </c>
      <c r="V44" s="5">
        <f t="shared" si="16"/>
        <v>93.205714285714294</v>
      </c>
      <c r="W44" s="7">
        <f t="shared" si="17"/>
        <v>87.012</v>
      </c>
      <c r="X44">
        <v>2</v>
      </c>
    </row>
    <row r="45" spans="1:24" x14ac:dyDescent="0.25">
      <c r="F45" s="10"/>
      <c r="G45" s="10"/>
      <c r="H45" s="10"/>
      <c r="I45" s="10"/>
      <c r="L45" s="10"/>
      <c r="M45" s="10"/>
      <c r="N45" s="10"/>
      <c r="O45" s="10"/>
      <c r="T45" s="10"/>
      <c r="U45" s="10"/>
      <c r="V45" s="10"/>
      <c r="W45" s="10"/>
    </row>
    <row r="46" spans="1:24" x14ac:dyDescent="0.25">
      <c r="A46" t="s">
        <v>827</v>
      </c>
      <c r="B46">
        <v>3</v>
      </c>
      <c r="D46" t="s">
        <v>1073</v>
      </c>
      <c r="E46">
        <v>60.38</v>
      </c>
      <c r="F46" s="9">
        <f t="shared" si="9"/>
        <v>21.736799999999999</v>
      </c>
      <c r="G46" s="3">
        <f t="shared" si="0"/>
        <v>33.741230769230761</v>
      </c>
      <c r="H46" s="5">
        <f t="shared" si="10"/>
        <v>31.35257142857143</v>
      </c>
      <c r="I46" s="7">
        <f t="shared" si="11"/>
        <v>29.282399999999999</v>
      </c>
      <c r="J46" t="s">
        <v>1074</v>
      </c>
      <c r="K46">
        <v>57.87</v>
      </c>
      <c r="L46" s="9">
        <f t="shared" si="12"/>
        <v>20.833199999999998</v>
      </c>
      <c r="M46" s="3">
        <f t="shared" si="3"/>
        <v>32.351076923076917</v>
      </c>
      <c r="N46" s="5">
        <f t="shared" si="13"/>
        <v>30.061714285714285</v>
      </c>
      <c r="O46" s="7">
        <f t="shared" si="14"/>
        <v>28.077599999999997</v>
      </c>
      <c r="P46">
        <v>10</v>
      </c>
      <c r="R46" t="s">
        <v>1075</v>
      </c>
      <c r="S46">
        <v>54.41</v>
      </c>
      <c r="T46" s="9">
        <f t="shared" si="15"/>
        <v>19.587599999999998</v>
      </c>
      <c r="U46" s="3">
        <f t="shared" si="6"/>
        <v>30.434769230769227</v>
      </c>
      <c r="V46" s="5">
        <f t="shared" si="16"/>
        <v>28.282285714285713</v>
      </c>
      <c r="W46" s="7">
        <f t="shared" si="17"/>
        <v>26.416799999999999</v>
      </c>
      <c r="X46">
        <v>10</v>
      </c>
    </row>
    <row r="47" spans="1:24" x14ac:dyDescent="0.25">
      <c r="A47" t="s">
        <v>827</v>
      </c>
      <c r="B47">
        <v>4</v>
      </c>
      <c r="D47" t="s">
        <v>1076</v>
      </c>
      <c r="E47">
        <v>70.260000000000005</v>
      </c>
      <c r="F47" s="9">
        <f t="shared" si="9"/>
        <v>25.293600000000001</v>
      </c>
      <c r="G47" s="3">
        <f t="shared" si="0"/>
        <v>39.213230769230769</v>
      </c>
      <c r="H47" s="5">
        <f t="shared" si="10"/>
        <v>36.433714285714288</v>
      </c>
      <c r="I47" s="7">
        <f t="shared" si="11"/>
        <v>34.024799999999999</v>
      </c>
      <c r="J47" t="s">
        <v>1077</v>
      </c>
      <c r="K47">
        <v>66.98</v>
      </c>
      <c r="L47" s="9">
        <f t="shared" si="12"/>
        <v>24.1128</v>
      </c>
      <c r="M47" s="3">
        <f t="shared" si="3"/>
        <v>37.39661538461538</v>
      </c>
      <c r="N47" s="5">
        <f t="shared" si="13"/>
        <v>34.746857142857145</v>
      </c>
      <c r="O47" s="7">
        <f t="shared" si="14"/>
        <v>32.450399999999995</v>
      </c>
      <c r="P47">
        <v>8</v>
      </c>
      <c r="R47" t="s">
        <v>1078</v>
      </c>
      <c r="S47">
        <v>63.93</v>
      </c>
      <c r="T47" s="9">
        <f t="shared" si="15"/>
        <v>23.014799999999997</v>
      </c>
      <c r="U47" s="3">
        <f t="shared" si="6"/>
        <v>35.707384615384605</v>
      </c>
      <c r="V47" s="5">
        <f t="shared" si="16"/>
        <v>33.178285714285707</v>
      </c>
      <c r="W47" s="7">
        <f t="shared" si="17"/>
        <v>30.986399999999996</v>
      </c>
      <c r="X47">
        <v>8</v>
      </c>
    </row>
    <row r="48" spans="1:24" x14ac:dyDescent="0.25">
      <c r="A48" t="s">
        <v>827</v>
      </c>
      <c r="B48">
        <v>5</v>
      </c>
      <c r="D48" t="s">
        <v>1079</v>
      </c>
      <c r="E48">
        <v>80.3</v>
      </c>
      <c r="F48" s="9">
        <f t="shared" si="9"/>
        <v>28.907999999999998</v>
      </c>
      <c r="G48" s="3">
        <f t="shared" si="0"/>
        <v>44.773846153846144</v>
      </c>
      <c r="H48" s="5">
        <f t="shared" si="10"/>
        <v>41.597142857142856</v>
      </c>
      <c r="I48" s="7">
        <f t="shared" si="11"/>
        <v>38.843999999999994</v>
      </c>
      <c r="J48" t="s">
        <v>1080</v>
      </c>
      <c r="K48">
        <v>76</v>
      </c>
      <c r="L48" s="9">
        <f t="shared" si="12"/>
        <v>27.36</v>
      </c>
      <c r="M48" s="3">
        <f t="shared" si="3"/>
        <v>42.392307692307689</v>
      </c>
      <c r="N48" s="5">
        <f t="shared" si="13"/>
        <v>39.385714285714286</v>
      </c>
      <c r="O48" s="7">
        <f t="shared" si="14"/>
        <v>36.779999999999994</v>
      </c>
      <c r="P48">
        <v>7</v>
      </c>
      <c r="R48" t="s">
        <v>1081</v>
      </c>
      <c r="S48">
        <v>72.31</v>
      </c>
      <c r="T48" s="9">
        <f t="shared" si="15"/>
        <v>26.031600000000001</v>
      </c>
      <c r="U48" s="3">
        <f t="shared" si="6"/>
        <v>40.348615384615385</v>
      </c>
      <c r="V48" s="5">
        <f t="shared" si="16"/>
        <v>37.488</v>
      </c>
      <c r="W48" s="7">
        <f t="shared" si="17"/>
        <v>35.008800000000001</v>
      </c>
      <c r="X48">
        <v>7</v>
      </c>
    </row>
    <row r="49" spans="1:24" x14ac:dyDescent="0.25">
      <c r="A49" t="s">
        <v>827</v>
      </c>
      <c r="B49">
        <v>6</v>
      </c>
      <c r="D49" t="s">
        <v>1082</v>
      </c>
      <c r="E49">
        <v>89.54</v>
      </c>
      <c r="F49" s="9">
        <f t="shared" si="9"/>
        <v>32.234400000000001</v>
      </c>
      <c r="G49" s="3">
        <f t="shared" si="0"/>
        <v>49.891384615384609</v>
      </c>
      <c r="H49" s="5">
        <f t="shared" si="10"/>
        <v>46.349142857142859</v>
      </c>
      <c r="I49" s="7">
        <f t="shared" si="11"/>
        <v>43.279199999999996</v>
      </c>
      <c r="J49" t="s">
        <v>1083</v>
      </c>
      <c r="K49">
        <v>84.6</v>
      </c>
      <c r="L49" s="9">
        <f t="shared" si="12"/>
        <v>30.455999999999996</v>
      </c>
      <c r="M49" s="3">
        <f t="shared" si="3"/>
        <v>47.155384615384605</v>
      </c>
      <c r="N49" s="5">
        <f t="shared" si="13"/>
        <v>43.808571428571426</v>
      </c>
      <c r="O49" s="7">
        <f t="shared" si="14"/>
        <v>40.907999999999994</v>
      </c>
      <c r="P49">
        <v>6</v>
      </c>
      <c r="R49" t="s">
        <v>1084</v>
      </c>
      <c r="S49">
        <v>80.010000000000005</v>
      </c>
      <c r="T49" s="9">
        <f t="shared" si="15"/>
        <v>28.803599999999999</v>
      </c>
      <c r="U49" s="3">
        <f t="shared" si="6"/>
        <v>44.613230769230761</v>
      </c>
      <c r="V49" s="5">
        <f t="shared" si="16"/>
        <v>41.448</v>
      </c>
      <c r="W49" s="7">
        <f t="shared" si="17"/>
        <v>38.704799999999999</v>
      </c>
      <c r="X49">
        <v>6</v>
      </c>
    </row>
    <row r="50" spans="1:24" x14ac:dyDescent="0.25">
      <c r="A50" t="s">
        <v>836</v>
      </c>
      <c r="B50">
        <v>3</v>
      </c>
      <c r="D50" t="s">
        <v>1085</v>
      </c>
      <c r="E50">
        <v>68.78</v>
      </c>
      <c r="F50" s="9">
        <f t="shared" si="9"/>
        <v>24.7608</v>
      </c>
      <c r="G50" s="3">
        <f t="shared" si="0"/>
        <v>38.393538461538455</v>
      </c>
      <c r="H50" s="5">
        <f t="shared" si="10"/>
        <v>35.67257142857143</v>
      </c>
      <c r="I50" s="7">
        <f t="shared" si="11"/>
        <v>33.314399999999999</v>
      </c>
      <c r="J50" t="s">
        <v>1086</v>
      </c>
      <c r="K50">
        <v>66.03</v>
      </c>
      <c r="L50" s="9">
        <f t="shared" si="12"/>
        <v>23.770800000000001</v>
      </c>
      <c r="M50" s="3">
        <f t="shared" si="3"/>
        <v>36.870461538461534</v>
      </c>
      <c r="N50" s="5">
        <f t="shared" si="13"/>
        <v>34.258285714285712</v>
      </c>
      <c r="O50" s="7">
        <f t="shared" si="14"/>
        <v>31.994400000000002</v>
      </c>
      <c r="P50">
        <v>9</v>
      </c>
      <c r="R50" t="s">
        <v>1087</v>
      </c>
      <c r="S50">
        <v>56.17</v>
      </c>
      <c r="T50" s="9">
        <f t="shared" si="15"/>
        <v>20.2212</v>
      </c>
      <c r="U50" s="3">
        <f t="shared" si="6"/>
        <v>31.40953846153846</v>
      </c>
      <c r="V50" s="5">
        <f t="shared" si="16"/>
        <v>29.187428571428573</v>
      </c>
      <c r="W50" s="7">
        <f t="shared" si="17"/>
        <v>27.261600000000001</v>
      </c>
      <c r="X50">
        <v>8</v>
      </c>
    </row>
    <row r="51" spans="1:24" x14ac:dyDescent="0.25">
      <c r="A51" t="s">
        <v>836</v>
      </c>
      <c r="B51">
        <v>4</v>
      </c>
      <c r="D51" t="s">
        <v>1088</v>
      </c>
      <c r="E51">
        <v>80.58</v>
      </c>
      <c r="F51" s="9">
        <f t="shared" si="9"/>
        <v>29.008799999999997</v>
      </c>
      <c r="G51" s="3">
        <f t="shared" si="0"/>
        <v>44.92892307692307</v>
      </c>
      <c r="H51" s="5">
        <f t="shared" si="10"/>
        <v>41.741142857142854</v>
      </c>
      <c r="I51" s="7">
        <f t="shared" si="11"/>
        <v>38.978399999999993</v>
      </c>
      <c r="J51" t="s">
        <v>1089</v>
      </c>
      <c r="K51">
        <v>76.58</v>
      </c>
      <c r="L51" s="9">
        <f t="shared" si="12"/>
        <v>27.5688</v>
      </c>
      <c r="M51" s="3">
        <f t="shared" si="3"/>
        <v>42.713538461538455</v>
      </c>
      <c r="N51" s="5">
        <f t="shared" si="13"/>
        <v>39.683999999999997</v>
      </c>
      <c r="O51" s="7">
        <f t="shared" si="14"/>
        <v>37.058399999999999</v>
      </c>
      <c r="P51">
        <v>7</v>
      </c>
      <c r="R51" t="s">
        <v>1090</v>
      </c>
      <c r="S51">
        <v>68</v>
      </c>
      <c r="T51" s="9">
        <f t="shared" si="15"/>
        <v>24.48</v>
      </c>
      <c r="U51" s="3">
        <f t="shared" si="6"/>
        <v>37.96153846153846</v>
      </c>
      <c r="V51" s="5">
        <f t="shared" si="16"/>
        <v>35.271428571428572</v>
      </c>
      <c r="W51" s="7">
        <f t="shared" si="17"/>
        <v>32.94</v>
      </c>
      <c r="X51">
        <v>7</v>
      </c>
    </row>
    <row r="52" spans="1:24" x14ac:dyDescent="0.25">
      <c r="A52" t="s">
        <v>836</v>
      </c>
      <c r="B52">
        <v>5</v>
      </c>
      <c r="D52" t="s">
        <v>1091</v>
      </c>
      <c r="E52">
        <v>93.44</v>
      </c>
      <c r="F52" s="9">
        <f t="shared" si="9"/>
        <v>33.638399999999997</v>
      </c>
      <c r="G52" s="3">
        <f t="shared" si="0"/>
        <v>52.051384615384606</v>
      </c>
      <c r="H52" s="5">
        <f t="shared" si="10"/>
        <v>48.354857142857142</v>
      </c>
      <c r="I52" s="7">
        <f t="shared" si="11"/>
        <v>45.151199999999996</v>
      </c>
      <c r="J52" t="s">
        <v>1092</v>
      </c>
      <c r="K52">
        <v>88.79</v>
      </c>
      <c r="L52" s="9">
        <f t="shared" si="12"/>
        <v>31.964400000000001</v>
      </c>
      <c r="M52" s="3">
        <f t="shared" si="3"/>
        <v>49.475999999999999</v>
      </c>
      <c r="N52" s="5">
        <f t="shared" si="13"/>
        <v>45.963428571428572</v>
      </c>
      <c r="O52" s="7">
        <f t="shared" si="14"/>
        <v>42.919199999999996</v>
      </c>
      <c r="P52">
        <v>6</v>
      </c>
      <c r="R52" t="s">
        <v>1093</v>
      </c>
      <c r="S52">
        <v>79.69</v>
      </c>
      <c r="T52" s="9">
        <f t="shared" si="15"/>
        <v>28.688399999999998</v>
      </c>
      <c r="U52" s="3">
        <f t="shared" si="6"/>
        <v>44.435999999999993</v>
      </c>
      <c r="V52" s="5">
        <f t="shared" si="16"/>
        <v>41.283428571428566</v>
      </c>
      <c r="W52" s="7">
        <f t="shared" si="17"/>
        <v>38.551199999999994</v>
      </c>
      <c r="X52">
        <v>6</v>
      </c>
    </row>
    <row r="53" spans="1:24" x14ac:dyDescent="0.25">
      <c r="A53" t="s">
        <v>843</v>
      </c>
      <c r="B53">
        <v>3</v>
      </c>
      <c r="D53" t="s">
        <v>1094</v>
      </c>
      <c r="E53">
        <v>72.89</v>
      </c>
      <c r="F53" s="9">
        <f t="shared" si="9"/>
        <v>26.240399999999998</v>
      </c>
      <c r="G53" s="3">
        <f t="shared" si="0"/>
        <v>40.669846153846144</v>
      </c>
      <c r="H53" s="5">
        <f t="shared" si="10"/>
        <v>37.786285714285711</v>
      </c>
      <c r="I53" s="7">
        <f t="shared" si="11"/>
        <v>35.287199999999991</v>
      </c>
      <c r="J53" t="s">
        <v>1095</v>
      </c>
      <c r="K53">
        <v>69.599999999999994</v>
      </c>
      <c r="L53" s="9">
        <f t="shared" si="12"/>
        <v>25.055999999999997</v>
      </c>
      <c r="M53" s="3">
        <f t="shared" si="3"/>
        <v>38.847692307692299</v>
      </c>
      <c r="N53" s="5">
        <f t="shared" si="13"/>
        <v>36.094285714285711</v>
      </c>
      <c r="O53" s="7">
        <f t="shared" si="14"/>
        <v>33.707999999999991</v>
      </c>
      <c r="P53">
        <v>8</v>
      </c>
      <c r="R53" t="s">
        <v>1096</v>
      </c>
      <c r="S53">
        <v>60</v>
      </c>
      <c r="T53" s="9">
        <f t="shared" si="15"/>
        <v>21.599999999999998</v>
      </c>
      <c r="U53" s="3">
        <f t="shared" si="6"/>
        <v>33.530769230769224</v>
      </c>
      <c r="V53" s="5">
        <f t="shared" si="16"/>
        <v>31.157142857142858</v>
      </c>
      <c r="W53" s="7">
        <f t="shared" si="17"/>
        <v>29.099999999999998</v>
      </c>
      <c r="X53">
        <v>8</v>
      </c>
    </row>
    <row r="54" spans="1:24" x14ac:dyDescent="0.25">
      <c r="A54" t="s">
        <v>843</v>
      </c>
      <c r="B54">
        <v>4</v>
      </c>
      <c r="D54" t="s">
        <v>1097</v>
      </c>
      <c r="E54">
        <v>85.76</v>
      </c>
      <c r="F54" s="9">
        <f t="shared" si="9"/>
        <v>30.8736</v>
      </c>
      <c r="G54" s="3">
        <f t="shared" si="0"/>
        <v>47.797846153846152</v>
      </c>
      <c r="H54" s="5">
        <f t="shared" si="10"/>
        <v>44.405142857142856</v>
      </c>
      <c r="I54" s="7">
        <f t="shared" si="11"/>
        <v>41.464799999999997</v>
      </c>
      <c r="J54" t="s">
        <v>1098</v>
      </c>
      <c r="K54">
        <v>81.11</v>
      </c>
      <c r="L54" s="9">
        <f t="shared" si="12"/>
        <v>29.1996</v>
      </c>
      <c r="M54" s="3">
        <f t="shared" si="3"/>
        <v>45.222461538461538</v>
      </c>
      <c r="N54" s="5">
        <f t="shared" si="13"/>
        <v>42.013714285714286</v>
      </c>
      <c r="O54" s="7">
        <f t="shared" si="14"/>
        <v>39.232799999999997</v>
      </c>
      <c r="P54">
        <v>7</v>
      </c>
      <c r="R54" t="s">
        <v>1099</v>
      </c>
      <c r="S54">
        <v>73.06</v>
      </c>
      <c r="T54" s="9">
        <f t="shared" si="15"/>
        <v>26.301600000000001</v>
      </c>
      <c r="U54" s="3">
        <f t="shared" si="6"/>
        <v>40.763999999999996</v>
      </c>
      <c r="V54" s="5">
        <f t="shared" si="16"/>
        <v>37.873714285714286</v>
      </c>
      <c r="W54" s="7">
        <f t="shared" si="17"/>
        <v>35.3688</v>
      </c>
      <c r="X54">
        <v>7</v>
      </c>
    </row>
    <row r="55" spans="1:24" x14ac:dyDescent="0.25">
      <c r="A55" t="s">
        <v>843</v>
      </c>
      <c r="B55">
        <v>5</v>
      </c>
      <c r="D55" t="s">
        <v>1100</v>
      </c>
      <c r="E55">
        <v>100</v>
      </c>
      <c r="F55" s="9">
        <f t="shared" si="9"/>
        <v>36</v>
      </c>
      <c r="G55" s="3">
        <f t="shared" si="0"/>
        <v>55.684615384615377</v>
      </c>
      <c r="H55" s="5">
        <f t="shared" si="10"/>
        <v>51.728571428571428</v>
      </c>
      <c r="I55" s="7">
        <f t="shared" si="11"/>
        <v>48.3</v>
      </c>
      <c r="J55" t="s">
        <v>1101</v>
      </c>
      <c r="K55">
        <v>93.98</v>
      </c>
      <c r="L55" s="9">
        <f t="shared" si="12"/>
        <v>33.832799999999999</v>
      </c>
      <c r="M55" s="3">
        <f t="shared" si="3"/>
        <v>52.350461538461531</v>
      </c>
      <c r="N55" s="5">
        <f t="shared" si="13"/>
        <v>48.632571428571424</v>
      </c>
      <c r="O55" s="7">
        <f t="shared" si="14"/>
        <v>45.410399999999996</v>
      </c>
      <c r="P55">
        <v>5</v>
      </c>
      <c r="R55" t="s">
        <v>1102</v>
      </c>
      <c r="S55">
        <v>86.11</v>
      </c>
      <c r="T55" s="9">
        <f t="shared" si="15"/>
        <v>30.999599999999997</v>
      </c>
      <c r="U55" s="3">
        <f t="shared" si="6"/>
        <v>47.991692307692297</v>
      </c>
      <c r="V55" s="5">
        <f t="shared" si="16"/>
        <v>44.585142857142856</v>
      </c>
      <c r="W55" s="7">
        <f t="shared" si="17"/>
        <v>41.632799999999996</v>
      </c>
      <c r="X55">
        <v>6</v>
      </c>
    </row>
    <row r="56" spans="1:24" x14ac:dyDescent="0.25">
      <c r="A56" t="s">
        <v>850</v>
      </c>
      <c r="B56">
        <v>3</v>
      </c>
      <c r="D56" t="s">
        <v>1103</v>
      </c>
      <c r="E56">
        <v>79.47</v>
      </c>
      <c r="F56" s="9">
        <f t="shared" si="9"/>
        <v>28.609199999999998</v>
      </c>
      <c r="G56" s="3">
        <f t="shared" si="0"/>
        <v>44.314153846153836</v>
      </c>
      <c r="H56" s="5">
        <f t="shared" si="10"/>
        <v>41.170285714285711</v>
      </c>
      <c r="I56" s="7">
        <f t="shared" si="11"/>
        <v>38.445599999999992</v>
      </c>
      <c r="J56" t="s">
        <v>1104</v>
      </c>
      <c r="K56">
        <v>75.87</v>
      </c>
      <c r="L56" s="9">
        <f t="shared" si="12"/>
        <v>27.313200000000002</v>
      </c>
      <c r="M56" s="3">
        <f t="shared" si="3"/>
        <v>42.320307692307694</v>
      </c>
      <c r="N56" s="5">
        <f t="shared" si="13"/>
        <v>39.318857142857148</v>
      </c>
      <c r="O56" s="7">
        <f t="shared" si="14"/>
        <v>36.717599999999997</v>
      </c>
      <c r="P56">
        <v>8</v>
      </c>
      <c r="R56" t="s">
        <v>1105</v>
      </c>
      <c r="S56">
        <v>63.86</v>
      </c>
      <c r="T56" s="9">
        <f t="shared" si="15"/>
        <v>22.989599999999999</v>
      </c>
      <c r="U56" s="3">
        <f t="shared" si="6"/>
        <v>35.668615384615379</v>
      </c>
      <c r="V56" s="5">
        <f t="shared" si="16"/>
        <v>33.142285714285713</v>
      </c>
      <c r="W56" s="7">
        <f t="shared" si="17"/>
        <v>30.9528</v>
      </c>
      <c r="X56">
        <v>9</v>
      </c>
    </row>
    <row r="57" spans="1:24" x14ac:dyDescent="0.25">
      <c r="A57" t="s">
        <v>850</v>
      </c>
      <c r="B57">
        <v>4</v>
      </c>
      <c r="D57" t="s">
        <v>1106</v>
      </c>
      <c r="E57">
        <v>94.8</v>
      </c>
      <c r="F57" s="9">
        <f t="shared" si="9"/>
        <v>34.128</v>
      </c>
      <c r="G57" s="3">
        <f t="shared" si="0"/>
        <v>52.804615384615381</v>
      </c>
      <c r="H57" s="5">
        <f t="shared" si="10"/>
        <v>49.054285714285712</v>
      </c>
      <c r="I57" s="7">
        <f t="shared" si="11"/>
        <v>45.803999999999995</v>
      </c>
      <c r="J57" t="s">
        <v>1107</v>
      </c>
      <c r="K57">
        <v>89.33</v>
      </c>
      <c r="L57" s="9">
        <f t="shared" si="12"/>
        <v>32.158799999999999</v>
      </c>
      <c r="M57" s="3">
        <f t="shared" si="3"/>
        <v>49.775076923076917</v>
      </c>
      <c r="N57" s="5">
        <f t="shared" si="13"/>
        <v>46.241142857142854</v>
      </c>
      <c r="O57" s="7">
        <f t="shared" si="14"/>
        <v>43.178399999999996</v>
      </c>
      <c r="P57">
        <v>8</v>
      </c>
      <c r="R57" t="s">
        <v>1108</v>
      </c>
      <c r="S57">
        <v>78.14</v>
      </c>
      <c r="T57" s="9">
        <f t="shared" si="15"/>
        <v>28.130399999999998</v>
      </c>
      <c r="U57" s="3">
        <f t="shared" si="6"/>
        <v>43.577538461538452</v>
      </c>
      <c r="V57" s="5">
        <f t="shared" si="16"/>
        <v>40.486285714285714</v>
      </c>
      <c r="W57" s="7">
        <f t="shared" si="17"/>
        <v>37.807199999999995</v>
      </c>
      <c r="X57">
        <v>8</v>
      </c>
    </row>
    <row r="58" spans="1:24" x14ac:dyDescent="0.25">
      <c r="A58" t="s">
        <v>850</v>
      </c>
      <c r="B58">
        <v>5</v>
      </c>
      <c r="D58" t="s">
        <v>1109</v>
      </c>
      <c r="E58">
        <v>111.22</v>
      </c>
      <c r="F58" s="9">
        <f t="shared" si="9"/>
        <v>40.039200000000001</v>
      </c>
      <c r="G58" s="3">
        <f t="shared" si="0"/>
        <v>61.898769230769226</v>
      </c>
      <c r="H58" s="5">
        <f t="shared" si="10"/>
        <v>57.498857142857148</v>
      </c>
      <c r="I58" s="7">
        <f t="shared" si="11"/>
        <v>53.685600000000001</v>
      </c>
      <c r="J58" t="s">
        <v>1110</v>
      </c>
      <c r="K58">
        <v>104.11</v>
      </c>
      <c r="L58" s="9">
        <f t="shared" si="12"/>
        <v>37.479599999999998</v>
      </c>
      <c r="M58" s="3">
        <f t="shared" si="3"/>
        <v>57.960923076923066</v>
      </c>
      <c r="N58" s="5">
        <f t="shared" si="13"/>
        <v>53.842285714285708</v>
      </c>
      <c r="O58" s="7">
        <f t="shared" si="14"/>
        <v>50.272799999999997</v>
      </c>
      <c r="P58">
        <v>7</v>
      </c>
      <c r="R58" t="s">
        <v>1111</v>
      </c>
      <c r="S58">
        <v>92.19</v>
      </c>
      <c r="T58" s="9">
        <f t="shared" si="15"/>
        <v>33.188400000000001</v>
      </c>
      <c r="U58" s="3">
        <f t="shared" si="6"/>
        <v>51.35907692307692</v>
      </c>
      <c r="V58" s="5">
        <f t="shared" si="16"/>
        <v>47.712000000000003</v>
      </c>
      <c r="W58" s="7">
        <f t="shared" si="17"/>
        <v>44.551200000000001</v>
      </c>
      <c r="X58">
        <v>7</v>
      </c>
    </row>
    <row r="59" spans="1:24" x14ac:dyDescent="0.25">
      <c r="A59" t="s">
        <v>857</v>
      </c>
      <c r="B59">
        <v>3</v>
      </c>
      <c r="D59" t="s">
        <v>1112</v>
      </c>
      <c r="E59">
        <v>84.13</v>
      </c>
      <c r="F59" s="9">
        <f t="shared" si="9"/>
        <v>30.286799999999996</v>
      </c>
      <c r="G59" s="3">
        <f t="shared" si="0"/>
        <v>46.895076923076914</v>
      </c>
      <c r="H59" s="5">
        <f t="shared" si="10"/>
        <v>43.566857142857138</v>
      </c>
      <c r="I59" s="7">
        <f t="shared" si="11"/>
        <v>40.682399999999994</v>
      </c>
      <c r="J59" t="s">
        <v>1113</v>
      </c>
      <c r="K59">
        <v>82.23</v>
      </c>
      <c r="L59" s="9">
        <f t="shared" si="12"/>
        <v>29.602800000000002</v>
      </c>
      <c r="M59" s="3">
        <f t="shared" si="3"/>
        <v>45.842769230769228</v>
      </c>
      <c r="N59" s="5">
        <f t="shared" si="13"/>
        <v>42.589714285714287</v>
      </c>
      <c r="O59" s="7">
        <f t="shared" si="14"/>
        <v>39.770400000000002</v>
      </c>
      <c r="P59">
        <v>8</v>
      </c>
      <c r="R59" t="s">
        <v>1114</v>
      </c>
      <c r="S59">
        <v>70.5</v>
      </c>
      <c r="T59" s="9">
        <f t="shared" si="15"/>
        <v>25.38</v>
      </c>
      <c r="U59" s="3">
        <f t="shared" si="6"/>
        <v>39.34615384615384</v>
      </c>
      <c r="V59" s="5">
        <f t="shared" si="16"/>
        <v>36.557142857142857</v>
      </c>
      <c r="W59" s="7">
        <f t="shared" si="17"/>
        <v>34.139999999999993</v>
      </c>
      <c r="X59">
        <v>8</v>
      </c>
    </row>
    <row r="60" spans="1:24" x14ac:dyDescent="0.25">
      <c r="A60" t="s">
        <v>857</v>
      </c>
      <c r="B60">
        <v>4</v>
      </c>
      <c r="D60" t="s">
        <v>1115</v>
      </c>
      <c r="E60">
        <v>100.56</v>
      </c>
      <c r="F60" s="9">
        <f t="shared" si="9"/>
        <v>36.201599999999999</v>
      </c>
      <c r="G60" s="3">
        <f t="shared" si="0"/>
        <v>55.994769230769222</v>
      </c>
      <c r="H60" s="5">
        <f t="shared" si="10"/>
        <v>52.016571428571424</v>
      </c>
      <c r="I60" s="7">
        <f t="shared" si="11"/>
        <v>48.568799999999996</v>
      </c>
      <c r="J60" t="s">
        <v>1116</v>
      </c>
      <c r="K60">
        <v>98.12</v>
      </c>
      <c r="L60" s="9">
        <f t="shared" si="12"/>
        <v>35.3232</v>
      </c>
      <c r="M60" s="3">
        <f t="shared" si="3"/>
        <v>54.643384615384612</v>
      </c>
      <c r="N60" s="5">
        <f t="shared" si="13"/>
        <v>50.761714285714284</v>
      </c>
      <c r="O60" s="7">
        <f t="shared" si="14"/>
        <v>47.397599999999997</v>
      </c>
      <c r="P60">
        <v>7</v>
      </c>
      <c r="R60" t="s">
        <v>1117</v>
      </c>
      <c r="S60">
        <v>86.81</v>
      </c>
      <c r="T60" s="9">
        <f t="shared" si="15"/>
        <v>31.2516</v>
      </c>
      <c r="U60" s="3">
        <f t="shared" si="6"/>
        <v>48.379384615384609</v>
      </c>
      <c r="V60" s="5">
        <f t="shared" si="16"/>
        <v>44.945142857142855</v>
      </c>
      <c r="W60" s="7">
        <f t="shared" si="17"/>
        <v>41.968799999999995</v>
      </c>
      <c r="X60">
        <v>7</v>
      </c>
    </row>
    <row r="61" spans="1:24" x14ac:dyDescent="0.25">
      <c r="A61" t="s">
        <v>857</v>
      </c>
      <c r="B61">
        <v>5</v>
      </c>
      <c r="D61" t="s">
        <v>1118</v>
      </c>
      <c r="E61">
        <v>118.66</v>
      </c>
      <c r="F61" s="9">
        <f t="shared" si="9"/>
        <v>42.717599999999997</v>
      </c>
      <c r="G61" s="3">
        <f t="shared" si="0"/>
        <v>66.01938461538461</v>
      </c>
      <c r="H61" s="5">
        <f t="shared" si="10"/>
        <v>61.325142857142858</v>
      </c>
      <c r="I61" s="7">
        <f t="shared" si="11"/>
        <v>57.256799999999991</v>
      </c>
      <c r="J61" t="s">
        <v>1119</v>
      </c>
      <c r="K61">
        <v>114.83</v>
      </c>
      <c r="L61" s="9">
        <f t="shared" si="12"/>
        <v>41.338799999999999</v>
      </c>
      <c r="M61" s="3">
        <f t="shared" si="3"/>
        <v>63.898153846153839</v>
      </c>
      <c r="N61" s="5">
        <f t="shared" si="13"/>
        <v>59.355428571428568</v>
      </c>
      <c r="O61" s="7">
        <f t="shared" si="14"/>
        <v>55.418399999999998</v>
      </c>
      <c r="P61">
        <v>6</v>
      </c>
      <c r="R61" t="s">
        <v>1120</v>
      </c>
      <c r="S61">
        <v>103.22</v>
      </c>
      <c r="T61" s="9">
        <f t="shared" si="15"/>
        <v>37.159199999999998</v>
      </c>
      <c r="U61" s="3">
        <f t="shared" si="6"/>
        <v>57.467999999999989</v>
      </c>
      <c r="V61" s="5">
        <f t="shared" si="16"/>
        <v>53.384571428571427</v>
      </c>
      <c r="W61" s="7">
        <f t="shared" si="17"/>
        <v>49.845599999999997</v>
      </c>
      <c r="X61">
        <v>5</v>
      </c>
    </row>
    <row r="63" spans="1:24" x14ac:dyDescent="0.25">
      <c r="A63" t="s">
        <v>936</v>
      </c>
    </row>
    <row r="64" spans="1:24" x14ac:dyDescent="0.25">
      <c r="A64" t="s">
        <v>938</v>
      </c>
      <c r="K64" t="s">
        <v>945</v>
      </c>
    </row>
    <row r="65" spans="1:16" x14ac:dyDescent="0.25">
      <c r="A65" t="s">
        <v>1518</v>
      </c>
      <c r="K65" t="s">
        <v>947</v>
      </c>
    </row>
    <row r="66" spans="1:16" x14ac:dyDescent="0.25">
      <c r="A66" t="s">
        <v>1519</v>
      </c>
      <c r="K66" t="s">
        <v>949</v>
      </c>
    </row>
    <row r="67" spans="1:16" x14ac:dyDescent="0.25">
      <c r="A67" t="s">
        <v>942</v>
      </c>
      <c r="K67" t="s">
        <v>951</v>
      </c>
    </row>
    <row r="69" spans="1:16" x14ac:dyDescent="0.25">
      <c r="A69" t="s">
        <v>954</v>
      </c>
      <c r="K69" t="s">
        <v>1121</v>
      </c>
    </row>
    <row r="70" spans="1:16" x14ac:dyDescent="0.25">
      <c r="A70" t="s">
        <v>956</v>
      </c>
      <c r="K70" t="s">
        <v>1122</v>
      </c>
      <c r="P70" t="s">
        <v>1123</v>
      </c>
    </row>
    <row r="71" spans="1:16" x14ac:dyDescent="0.25">
      <c r="P71" t="s">
        <v>1124</v>
      </c>
    </row>
    <row r="72" spans="1:16" x14ac:dyDescent="0.25">
      <c r="P72" t="s">
        <v>1125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9EE1-DC72-4466-AF44-43CF824CE3EF}">
  <sheetPr>
    <tabColor theme="5" tint="-0.499984740745262"/>
  </sheetPr>
  <dimension ref="A1:AB60"/>
  <sheetViews>
    <sheetView workbookViewId="0">
      <selection activeCell="E27" sqref="E27"/>
    </sheetView>
  </sheetViews>
  <sheetFormatPr defaultRowHeight="15" x14ac:dyDescent="0.25"/>
  <cols>
    <col min="3" max="4" width="13.42578125" bestFit="1" customWidth="1"/>
    <col min="5" max="5" width="10.28515625" bestFit="1" customWidth="1"/>
    <col min="6" max="6" width="12.7109375" customWidth="1"/>
    <col min="12" max="12" width="9" customWidth="1"/>
  </cols>
  <sheetData>
    <row r="1" spans="1:28" x14ac:dyDescent="0.25">
      <c r="AB1" t="s">
        <v>1126</v>
      </c>
    </row>
    <row r="2" spans="1:28" x14ac:dyDescent="0.25">
      <c r="C2" s="21"/>
      <c r="D2" s="22"/>
      <c r="E2" s="23"/>
      <c r="F2" s="24"/>
      <c r="X2">
        <v>46143</v>
      </c>
    </row>
    <row r="3" spans="1:28" x14ac:dyDescent="0.25">
      <c r="C3" s="11" t="s">
        <v>1673</v>
      </c>
      <c r="D3" s="11" t="s">
        <v>1378</v>
      </c>
      <c r="E3" s="11" t="s">
        <v>1379</v>
      </c>
      <c r="F3" s="11" t="s">
        <v>1380</v>
      </c>
      <c r="AB3" t="s">
        <v>1127</v>
      </c>
    </row>
    <row r="4" spans="1:28" x14ac:dyDescent="0.25">
      <c r="AB4" t="s">
        <v>1128</v>
      </c>
    </row>
    <row r="6" spans="1:28" x14ac:dyDescent="0.25">
      <c r="F6" t="s">
        <v>1520</v>
      </c>
    </row>
    <row r="7" spans="1:28" x14ac:dyDescent="0.25">
      <c r="F7" t="s">
        <v>1129</v>
      </c>
    </row>
    <row r="8" spans="1:28" x14ac:dyDescent="0.25">
      <c r="F8" t="s">
        <v>1130</v>
      </c>
    </row>
    <row r="10" spans="1:28" x14ac:dyDescent="0.25">
      <c r="F10" t="s">
        <v>1131</v>
      </c>
      <c r="G10" t="s">
        <v>1132</v>
      </c>
      <c r="H10" t="s">
        <v>1133</v>
      </c>
      <c r="AB10" t="s">
        <v>1134</v>
      </c>
    </row>
    <row r="11" spans="1:28" x14ac:dyDescent="0.25">
      <c r="F11" t="s">
        <v>57</v>
      </c>
      <c r="G11" t="s">
        <v>750</v>
      </c>
      <c r="H11" t="s">
        <v>1135</v>
      </c>
      <c r="I11">
        <v>0.34</v>
      </c>
      <c r="J11" t="s">
        <v>1378</v>
      </c>
      <c r="K11" t="s">
        <v>1379</v>
      </c>
      <c r="L11" t="s">
        <v>1380</v>
      </c>
      <c r="M11" t="s">
        <v>976</v>
      </c>
      <c r="N11">
        <v>0.34</v>
      </c>
      <c r="O11" t="s">
        <v>1378</v>
      </c>
      <c r="P11" t="s">
        <v>1379</v>
      </c>
      <c r="Q11" t="s">
        <v>1380</v>
      </c>
      <c r="R11" t="s">
        <v>1136</v>
      </c>
      <c r="S11">
        <v>0.34</v>
      </c>
      <c r="T11" t="s">
        <v>1378</v>
      </c>
      <c r="U11" t="s">
        <v>1379</v>
      </c>
      <c r="V11" t="s">
        <v>1380</v>
      </c>
      <c r="W11" t="s">
        <v>1137</v>
      </c>
      <c r="X11">
        <v>0.34</v>
      </c>
      <c r="AB11" t="s">
        <v>1138</v>
      </c>
    </row>
    <row r="12" spans="1:28" x14ac:dyDescent="0.25">
      <c r="A12" t="s">
        <v>1139</v>
      </c>
      <c r="B12" t="s">
        <v>1140</v>
      </c>
      <c r="C12" t="s">
        <v>1141</v>
      </c>
      <c r="D12" t="s">
        <v>1142</v>
      </c>
      <c r="F12" t="s">
        <v>1143</v>
      </c>
      <c r="G12" t="s">
        <v>1144</v>
      </c>
      <c r="H12">
        <v>197.2</v>
      </c>
      <c r="I12" s="1">
        <f>H12*$I$11</f>
        <v>67.048000000000002</v>
      </c>
      <c r="J12" s="3">
        <f t="shared" ref="J12:J16" si="0">(I12/0.65)+0.3</f>
        <v>103.45076923076923</v>
      </c>
      <c r="K12" s="5">
        <f t="shared" ref="K12:K16" si="1">(I12/0.7)+0.3</f>
        <v>96.082857142857151</v>
      </c>
      <c r="L12" s="7">
        <f t="shared" ref="L12:L16" si="2">(I12/0.75)+0.3</f>
        <v>89.697333333333333</v>
      </c>
      <c r="M12">
        <v>203.37</v>
      </c>
      <c r="N12" s="1">
        <f>M12*$N$11</f>
        <v>69.145800000000008</v>
      </c>
      <c r="O12" s="3">
        <f t="shared" ref="O12:O16" si="3">(N12/0.65)+0.3</f>
        <v>106.67815384615385</v>
      </c>
      <c r="P12" s="5">
        <f t="shared" ref="P12:P16" si="4">(N12/0.7)+0.3</f>
        <v>99.079714285714303</v>
      </c>
      <c r="Q12" s="7">
        <f t="shared" ref="Q12:Q16" si="5">(N12/0.75)+0.3</f>
        <v>92.494400000000013</v>
      </c>
      <c r="R12">
        <v>209.62</v>
      </c>
      <c r="S12" s="1">
        <f>R12*$S$11</f>
        <v>71.270800000000008</v>
      </c>
      <c r="T12" s="3">
        <f t="shared" ref="T12:T16" si="6">(S12/0.65)+0.3</f>
        <v>109.94738461538462</v>
      </c>
      <c r="U12" s="5">
        <f t="shared" ref="U12:U16" si="7">(S12/0.7)+0.3</f>
        <v>102.11542857142858</v>
      </c>
      <c r="V12" s="7">
        <f t="shared" ref="V12:V16" si="8">(S12/0.75)+0.3</f>
        <v>95.327733333333342</v>
      </c>
      <c r="W12">
        <v>215.9</v>
      </c>
      <c r="X12">
        <f>W12*$X$11</f>
        <v>73.406000000000006</v>
      </c>
      <c r="AB12">
        <v>14</v>
      </c>
    </row>
    <row r="13" spans="1:28" x14ac:dyDescent="0.25">
      <c r="A13" t="s">
        <v>1145</v>
      </c>
      <c r="B13" t="s">
        <v>1146</v>
      </c>
      <c r="C13" t="s">
        <v>1147</v>
      </c>
      <c r="D13" t="s">
        <v>1148</v>
      </c>
      <c r="F13" t="s">
        <v>1149</v>
      </c>
      <c r="G13" t="s">
        <v>1150</v>
      </c>
      <c r="H13">
        <v>141.11000000000001</v>
      </c>
      <c r="I13" s="1">
        <f t="shared" ref="I13:I24" si="9">H13*$I$11</f>
        <v>47.97740000000001</v>
      </c>
      <c r="J13" s="3">
        <f t="shared" si="0"/>
        <v>74.111384615384623</v>
      </c>
      <c r="K13" s="5">
        <f t="shared" si="1"/>
        <v>68.839142857142875</v>
      </c>
      <c r="L13" s="7">
        <f t="shared" si="2"/>
        <v>64.269866666666687</v>
      </c>
      <c r="M13">
        <v>145.49</v>
      </c>
      <c r="N13" s="1">
        <f t="shared" ref="N13:N24" si="10">M13*$N$11</f>
        <v>49.466600000000007</v>
      </c>
      <c r="O13" s="3">
        <f t="shared" si="3"/>
        <v>76.402461538461537</v>
      </c>
      <c r="P13" s="5">
        <f t="shared" si="4"/>
        <v>70.966571428571442</v>
      </c>
      <c r="Q13" s="7">
        <f t="shared" si="5"/>
        <v>66.255466666666678</v>
      </c>
      <c r="R13">
        <v>149.66</v>
      </c>
      <c r="S13" s="1">
        <f t="shared" ref="S13:S24" si="11">R13*$S$11</f>
        <v>50.884399999999999</v>
      </c>
      <c r="T13" s="3">
        <f t="shared" si="6"/>
        <v>78.583692307692303</v>
      </c>
      <c r="U13" s="5">
        <f t="shared" si="7"/>
        <v>72.992000000000004</v>
      </c>
      <c r="V13" s="7">
        <f t="shared" si="8"/>
        <v>68.145866666666663</v>
      </c>
      <c r="W13">
        <v>153.27000000000001</v>
      </c>
      <c r="X13">
        <f t="shared" ref="X13:X24" si="12">W13*$X$11</f>
        <v>52.111800000000009</v>
      </c>
      <c r="AB13">
        <v>9</v>
      </c>
    </row>
    <row r="14" spans="1:28" x14ac:dyDescent="0.25">
      <c r="A14" t="s">
        <v>1151</v>
      </c>
      <c r="B14" t="s">
        <v>1152</v>
      </c>
      <c r="C14" t="s">
        <v>1153</v>
      </c>
      <c r="D14" t="s">
        <v>1154</v>
      </c>
      <c r="F14" t="s">
        <v>1155</v>
      </c>
      <c r="G14" t="s">
        <v>1156</v>
      </c>
      <c r="H14">
        <v>169.96</v>
      </c>
      <c r="I14" s="1">
        <f t="shared" si="9"/>
        <v>57.786400000000008</v>
      </c>
      <c r="J14" s="3">
        <f t="shared" si="0"/>
        <v>89.202153846153848</v>
      </c>
      <c r="K14" s="5">
        <f t="shared" si="1"/>
        <v>82.852000000000018</v>
      </c>
      <c r="L14" s="7">
        <f t="shared" si="2"/>
        <v>77.348533333333336</v>
      </c>
      <c r="M14">
        <v>175.25</v>
      </c>
      <c r="N14" s="1">
        <f t="shared" si="10"/>
        <v>59.585000000000001</v>
      </c>
      <c r="O14" s="3">
        <f t="shared" si="3"/>
        <v>91.969230769230762</v>
      </c>
      <c r="P14" s="5">
        <f t="shared" si="4"/>
        <v>85.421428571428578</v>
      </c>
      <c r="Q14" s="7">
        <f t="shared" si="5"/>
        <v>79.74666666666667</v>
      </c>
      <c r="R14">
        <v>181.48</v>
      </c>
      <c r="S14" s="1">
        <f t="shared" si="11"/>
        <v>61.703200000000002</v>
      </c>
      <c r="T14" s="3">
        <f t="shared" si="6"/>
        <v>95.227999999999994</v>
      </c>
      <c r="U14" s="5">
        <f t="shared" si="7"/>
        <v>88.447428571428574</v>
      </c>
      <c r="V14" s="7">
        <f t="shared" si="8"/>
        <v>82.570933333333329</v>
      </c>
      <c r="W14">
        <v>187.75</v>
      </c>
      <c r="X14">
        <f t="shared" si="12"/>
        <v>63.835000000000008</v>
      </c>
      <c r="AB14">
        <v>12</v>
      </c>
    </row>
    <row r="15" spans="1:28" x14ac:dyDescent="0.25">
      <c r="A15" t="s">
        <v>1157</v>
      </c>
      <c r="B15" t="s">
        <v>1158</v>
      </c>
      <c r="C15" t="s">
        <v>1159</v>
      </c>
      <c r="D15" t="s">
        <v>1160</v>
      </c>
      <c r="F15" t="s">
        <v>1161</v>
      </c>
      <c r="G15" t="s">
        <v>1162</v>
      </c>
      <c r="H15">
        <v>188.2</v>
      </c>
      <c r="I15" s="1">
        <f t="shared" si="9"/>
        <v>63.988</v>
      </c>
      <c r="J15" s="3">
        <f t="shared" si="0"/>
        <v>98.743076923076913</v>
      </c>
      <c r="K15" s="5">
        <f t="shared" si="1"/>
        <v>91.71142857142857</v>
      </c>
      <c r="L15" s="7">
        <f t="shared" si="2"/>
        <v>85.617333333333335</v>
      </c>
      <c r="M15">
        <v>194.03</v>
      </c>
      <c r="N15" s="1">
        <f t="shared" si="10"/>
        <v>65.970200000000006</v>
      </c>
      <c r="O15" s="3">
        <f t="shared" si="3"/>
        <v>101.79261538461539</v>
      </c>
      <c r="P15" s="5">
        <f t="shared" si="4"/>
        <v>94.543142857142868</v>
      </c>
      <c r="Q15" s="7">
        <f t="shared" si="5"/>
        <v>88.260266666666666</v>
      </c>
      <c r="R15">
        <v>200.24</v>
      </c>
      <c r="S15" s="1">
        <f t="shared" si="11"/>
        <v>68.081600000000009</v>
      </c>
      <c r="T15" s="3">
        <f t="shared" si="6"/>
        <v>105.04092307692308</v>
      </c>
      <c r="U15" s="5">
        <f t="shared" si="7"/>
        <v>97.559428571428583</v>
      </c>
      <c r="V15" s="7">
        <f t="shared" si="8"/>
        <v>91.075466666666671</v>
      </c>
      <c r="W15">
        <v>206.52</v>
      </c>
      <c r="X15">
        <f t="shared" si="12"/>
        <v>70.216800000000006</v>
      </c>
      <c r="AB15">
        <v>13</v>
      </c>
    </row>
    <row r="16" spans="1:28" x14ac:dyDescent="0.25">
      <c r="A16" t="s">
        <v>1163</v>
      </c>
      <c r="B16" t="s">
        <v>1164</v>
      </c>
      <c r="C16" t="s">
        <v>1165</v>
      </c>
      <c r="D16" t="s">
        <v>1166</v>
      </c>
      <c r="F16" t="s">
        <v>1167</v>
      </c>
      <c r="G16" t="s">
        <v>1168</v>
      </c>
      <c r="H16">
        <v>188.2</v>
      </c>
      <c r="I16" s="1">
        <f t="shared" si="9"/>
        <v>63.988</v>
      </c>
      <c r="J16" s="3">
        <f t="shared" si="0"/>
        <v>98.743076923076913</v>
      </c>
      <c r="K16" s="5">
        <f t="shared" si="1"/>
        <v>91.71142857142857</v>
      </c>
      <c r="L16" s="7">
        <f t="shared" si="2"/>
        <v>85.617333333333335</v>
      </c>
      <c r="M16">
        <v>194.03</v>
      </c>
      <c r="N16" s="1">
        <f t="shared" si="10"/>
        <v>65.970200000000006</v>
      </c>
      <c r="O16" s="3">
        <f t="shared" si="3"/>
        <v>101.79261538461539</v>
      </c>
      <c r="P16" s="5">
        <f t="shared" si="4"/>
        <v>94.543142857142868</v>
      </c>
      <c r="Q16" s="7">
        <f t="shared" si="5"/>
        <v>88.260266666666666</v>
      </c>
      <c r="R16">
        <v>200.24</v>
      </c>
      <c r="S16" s="1">
        <f t="shared" si="11"/>
        <v>68.081600000000009</v>
      </c>
      <c r="T16" s="3">
        <f t="shared" si="6"/>
        <v>105.04092307692308</v>
      </c>
      <c r="U16" s="5">
        <f t="shared" si="7"/>
        <v>97.559428571428583</v>
      </c>
      <c r="V16" s="7">
        <f t="shared" si="8"/>
        <v>91.075466666666671</v>
      </c>
      <c r="W16">
        <v>206.52</v>
      </c>
      <c r="X16">
        <f t="shared" si="12"/>
        <v>70.216800000000006</v>
      </c>
      <c r="AB16">
        <v>13</v>
      </c>
    </row>
    <row r="17" spans="1:28" x14ac:dyDescent="0.25">
      <c r="I17" s="1"/>
      <c r="J17" s="1"/>
      <c r="K17" s="1"/>
      <c r="L17" s="1"/>
      <c r="N17" s="1"/>
      <c r="O17" s="1"/>
      <c r="P17" s="1"/>
      <c r="Q17" s="1"/>
      <c r="S17" s="1"/>
      <c r="T17" s="1"/>
      <c r="U17" s="1"/>
      <c r="V17" s="1"/>
    </row>
    <row r="18" spans="1:28" x14ac:dyDescent="0.25">
      <c r="F18" t="s">
        <v>1131</v>
      </c>
      <c r="G18" t="s">
        <v>1132</v>
      </c>
      <c r="H18" t="s">
        <v>1133</v>
      </c>
      <c r="I18" s="1"/>
      <c r="J18" s="1"/>
      <c r="K18" s="1"/>
      <c r="L18" s="1"/>
      <c r="N18" s="1"/>
      <c r="O18" s="1"/>
      <c r="P18" s="1"/>
      <c r="Q18" s="1"/>
      <c r="S18" s="1"/>
      <c r="T18" s="1"/>
      <c r="U18" s="1"/>
      <c r="V18" s="1"/>
      <c r="AB18" t="s">
        <v>1134</v>
      </c>
    </row>
    <row r="19" spans="1:28" x14ac:dyDescent="0.25">
      <c r="F19" t="s">
        <v>57</v>
      </c>
      <c r="G19" t="s">
        <v>750</v>
      </c>
      <c r="H19" t="s">
        <v>1135</v>
      </c>
      <c r="I19" s="1"/>
      <c r="J19" s="1"/>
      <c r="K19" s="1"/>
      <c r="L19" s="1"/>
      <c r="M19" t="s">
        <v>976</v>
      </c>
      <c r="N19" s="1"/>
      <c r="O19" s="1"/>
      <c r="P19" s="1"/>
      <c r="Q19" s="1"/>
      <c r="R19" t="s">
        <v>1136</v>
      </c>
      <c r="S19" s="1"/>
      <c r="T19" s="1"/>
      <c r="U19" s="1"/>
      <c r="V19" s="1"/>
      <c r="W19" t="s">
        <v>1137</v>
      </c>
      <c r="AB19" t="s">
        <v>1138</v>
      </c>
    </row>
    <row r="20" spans="1:28" x14ac:dyDescent="0.25">
      <c r="A20" t="s">
        <v>1169</v>
      </c>
      <c r="B20" t="s">
        <v>1170</v>
      </c>
      <c r="C20" t="s">
        <v>1171</v>
      </c>
      <c r="D20" t="s">
        <v>1172</v>
      </c>
      <c r="F20" t="s">
        <v>1173</v>
      </c>
      <c r="G20" t="s">
        <v>1174</v>
      </c>
      <c r="H20">
        <v>132.74</v>
      </c>
      <c r="I20" s="1">
        <f t="shared" si="9"/>
        <v>45.131600000000006</v>
      </c>
      <c r="J20" s="3">
        <f t="shared" ref="J20:J24" si="13">(I20/0.65)+0.3</f>
        <v>69.733230769230772</v>
      </c>
      <c r="K20" s="5">
        <f t="shared" ref="K20:K24" si="14">(I20/0.7)+0.3</f>
        <v>64.773714285714291</v>
      </c>
      <c r="L20" s="7">
        <f t="shared" ref="L20:L24" si="15">(I20/0.75)+0.3</f>
        <v>60.475466666666669</v>
      </c>
      <c r="M20">
        <v>136.87</v>
      </c>
      <c r="N20" s="1">
        <f t="shared" si="10"/>
        <v>46.535800000000002</v>
      </c>
      <c r="O20" s="3">
        <f t="shared" ref="O20:O24" si="16">(N20/0.65)+0.3</f>
        <v>71.893538461538455</v>
      </c>
      <c r="P20" s="5">
        <f t="shared" ref="P20:P24" si="17">(N20/0.7)+0.3</f>
        <v>66.779714285714292</v>
      </c>
      <c r="Q20" s="7">
        <f t="shared" ref="Q20:Q24" si="18">(N20/0.75)+0.3</f>
        <v>62.347733333333331</v>
      </c>
      <c r="R20">
        <v>140.72</v>
      </c>
      <c r="S20" s="1">
        <f t="shared" si="11"/>
        <v>47.844800000000006</v>
      </c>
      <c r="T20" s="3">
        <f t="shared" ref="T20:T24" si="19">(S20/0.65)+0.3</f>
        <v>73.907384615384615</v>
      </c>
      <c r="U20" s="5">
        <f t="shared" ref="U20:U24" si="20">(S20/0.7)+0.3</f>
        <v>68.649714285714296</v>
      </c>
      <c r="V20" s="7">
        <f t="shared" ref="V20:V24" si="21">(S20/0.75)+0.3</f>
        <v>64.093066666666672</v>
      </c>
      <c r="W20">
        <v>148.52000000000001</v>
      </c>
      <c r="X20">
        <f t="shared" si="12"/>
        <v>50.496800000000007</v>
      </c>
      <c r="AB20">
        <v>8</v>
      </c>
    </row>
    <row r="21" spans="1:28" x14ac:dyDescent="0.25">
      <c r="A21" t="s">
        <v>1175</v>
      </c>
      <c r="B21" t="s">
        <v>1176</v>
      </c>
      <c r="C21" t="s">
        <v>1177</v>
      </c>
      <c r="D21" t="s">
        <v>1178</v>
      </c>
      <c r="F21" t="s">
        <v>1179</v>
      </c>
      <c r="G21" t="s">
        <v>1180</v>
      </c>
      <c r="H21">
        <v>91.02</v>
      </c>
      <c r="I21" s="1">
        <f t="shared" si="9"/>
        <v>30.9468</v>
      </c>
      <c r="J21" s="3">
        <f t="shared" si="13"/>
        <v>47.910461538461533</v>
      </c>
      <c r="K21" s="5">
        <f t="shared" si="14"/>
        <v>44.509714285714288</v>
      </c>
      <c r="L21" s="7">
        <f t="shared" si="15"/>
        <v>41.562399999999997</v>
      </c>
      <c r="M21">
        <v>93.79</v>
      </c>
      <c r="N21" s="1">
        <f t="shared" si="10"/>
        <v>31.888600000000004</v>
      </c>
      <c r="O21" s="3">
        <f t="shared" si="16"/>
        <v>49.35938461538462</v>
      </c>
      <c r="P21" s="5">
        <f t="shared" si="17"/>
        <v>45.855142857142866</v>
      </c>
      <c r="Q21" s="7">
        <f t="shared" si="18"/>
        <v>42.818133333333336</v>
      </c>
      <c r="R21">
        <v>96.96</v>
      </c>
      <c r="S21" s="1">
        <f t="shared" si="11"/>
        <v>32.9664</v>
      </c>
      <c r="T21" s="3">
        <f t="shared" si="19"/>
        <v>51.017538461538457</v>
      </c>
      <c r="U21" s="5">
        <f t="shared" si="20"/>
        <v>47.394857142857141</v>
      </c>
      <c r="V21" s="7">
        <f t="shared" si="21"/>
        <v>44.255199999999995</v>
      </c>
      <c r="W21">
        <v>100.84</v>
      </c>
      <c r="X21">
        <f t="shared" si="12"/>
        <v>34.285600000000002</v>
      </c>
      <c r="AB21">
        <v>5</v>
      </c>
    </row>
    <row r="22" spans="1:28" x14ac:dyDescent="0.25">
      <c r="A22" t="s">
        <v>1181</v>
      </c>
      <c r="B22" t="s">
        <v>1182</v>
      </c>
      <c r="C22" t="s">
        <v>1183</v>
      </c>
      <c r="D22" t="s">
        <v>1184</v>
      </c>
      <c r="F22" t="s">
        <v>1185</v>
      </c>
      <c r="G22" t="s">
        <v>1186</v>
      </c>
      <c r="H22">
        <v>113.75</v>
      </c>
      <c r="I22" s="1">
        <f t="shared" si="9"/>
        <v>38.675000000000004</v>
      </c>
      <c r="J22" s="3">
        <f t="shared" si="13"/>
        <v>59.800000000000004</v>
      </c>
      <c r="K22" s="5">
        <f t="shared" si="14"/>
        <v>55.550000000000004</v>
      </c>
      <c r="L22" s="7">
        <f t="shared" si="15"/>
        <v>51.866666666666667</v>
      </c>
      <c r="M22">
        <v>117.3</v>
      </c>
      <c r="N22" s="1">
        <f t="shared" si="10"/>
        <v>39.882000000000005</v>
      </c>
      <c r="O22" s="3">
        <f t="shared" si="16"/>
        <v>61.656923076923078</v>
      </c>
      <c r="P22" s="5">
        <f t="shared" si="17"/>
        <v>57.274285714285725</v>
      </c>
      <c r="Q22" s="7">
        <f t="shared" si="18"/>
        <v>53.476000000000006</v>
      </c>
      <c r="R22">
        <v>120.41</v>
      </c>
      <c r="S22" s="1">
        <f t="shared" si="11"/>
        <v>40.939399999999999</v>
      </c>
      <c r="T22" s="3">
        <f t="shared" si="19"/>
        <v>63.283692307692299</v>
      </c>
      <c r="U22" s="5">
        <f t="shared" si="20"/>
        <v>58.784857142857142</v>
      </c>
      <c r="V22" s="7">
        <f t="shared" si="21"/>
        <v>54.885866666666665</v>
      </c>
      <c r="W22">
        <v>134.09</v>
      </c>
      <c r="X22">
        <f t="shared" si="12"/>
        <v>45.590600000000002</v>
      </c>
      <c r="AB22">
        <v>6</v>
      </c>
    </row>
    <row r="23" spans="1:28" x14ac:dyDescent="0.25">
      <c r="A23" t="s">
        <v>1187</v>
      </c>
      <c r="B23" t="s">
        <v>1188</v>
      </c>
      <c r="C23" t="s">
        <v>1189</v>
      </c>
      <c r="D23" t="s">
        <v>1190</v>
      </c>
      <c r="F23" t="s">
        <v>1191</v>
      </c>
      <c r="G23" t="s">
        <v>1192</v>
      </c>
      <c r="H23">
        <v>122.55</v>
      </c>
      <c r="I23" s="1">
        <f t="shared" si="9"/>
        <v>41.667000000000002</v>
      </c>
      <c r="J23" s="3">
        <f t="shared" si="13"/>
        <v>64.403076923076924</v>
      </c>
      <c r="K23" s="5">
        <f t="shared" si="14"/>
        <v>59.824285714285715</v>
      </c>
      <c r="L23" s="7">
        <f t="shared" si="15"/>
        <v>55.856000000000002</v>
      </c>
      <c r="M23">
        <v>129</v>
      </c>
      <c r="N23" s="1">
        <f t="shared" si="10"/>
        <v>43.860000000000007</v>
      </c>
      <c r="O23" s="3">
        <f t="shared" si="16"/>
        <v>67.776923076923083</v>
      </c>
      <c r="P23" s="5">
        <f t="shared" si="17"/>
        <v>62.95714285714287</v>
      </c>
      <c r="Q23" s="7">
        <f t="shared" si="18"/>
        <v>58.780000000000008</v>
      </c>
      <c r="R23">
        <v>131.35</v>
      </c>
      <c r="S23" s="1">
        <f t="shared" si="11"/>
        <v>44.658999999999999</v>
      </c>
      <c r="T23" s="3">
        <f t="shared" si="19"/>
        <v>69.006153846153836</v>
      </c>
      <c r="U23" s="5">
        <f t="shared" si="20"/>
        <v>64.098571428571432</v>
      </c>
      <c r="V23" s="7">
        <f t="shared" si="21"/>
        <v>59.845333333333329</v>
      </c>
      <c r="W23">
        <v>136.86000000000001</v>
      </c>
      <c r="X23">
        <f t="shared" si="12"/>
        <v>46.53240000000001</v>
      </c>
      <c r="AB23">
        <v>7</v>
      </c>
    </row>
    <row r="24" spans="1:28" x14ac:dyDescent="0.25">
      <c r="A24" t="s">
        <v>1193</v>
      </c>
      <c r="B24" t="s">
        <v>1194</v>
      </c>
      <c r="C24" t="s">
        <v>1195</v>
      </c>
      <c r="D24" t="s">
        <v>1196</v>
      </c>
      <c r="F24" t="s">
        <v>1197</v>
      </c>
      <c r="G24" t="s">
        <v>1198</v>
      </c>
      <c r="H24">
        <v>122.55</v>
      </c>
      <c r="I24" s="1">
        <f t="shared" si="9"/>
        <v>41.667000000000002</v>
      </c>
      <c r="J24" s="3">
        <f t="shared" si="13"/>
        <v>64.403076923076924</v>
      </c>
      <c r="K24" s="5">
        <f t="shared" si="14"/>
        <v>59.824285714285715</v>
      </c>
      <c r="L24" s="7">
        <f t="shared" si="15"/>
        <v>55.856000000000002</v>
      </c>
      <c r="M24">
        <v>129</v>
      </c>
      <c r="N24" s="1">
        <f t="shared" si="10"/>
        <v>43.860000000000007</v>
      </c>
      <c r="O24" s="3">
        <f t="shared" si="16"/>
        <v>67.776923076923083</v>
      </c>
      <c r="P24" s="5">
        <f t="shared" si="17"/>
        <v>62.95714285714287</v>
      </c>
      <c r="Q24" s="7">
        <f t="shared" si="18"/>
        <v>58.780000000000008</v>
      </c>
      <c r="R24">
        <v>131.35</v>
      </c>
      <c r="S24" s="1">
        <f t="shared" si="11"/>
        <v>44.658999999999999</v>
      </c>
      <c r="T24" s="3">
        <f t="shared" si="19"/>
        <v>69.006153846153836</v>
      </c>
      <c r="U24" s="5">
        <f t="shared" si="20"/>
        <v>64.098571428571432</v>
      </c>
      <c r="V24" s="7">
        <f t="shared" si="21"/>
        <v>59.845333333333329</v>
      </c>
      <c r="W24">
        <v>136.86000000000001</v>
      </c>
      <c r="X24">
        <f t="shared" si="12"/>
        <v>46.53240000000001</v>
      </c>
      <c r="AB24">
        <v>7</v>
      </c>
    </row>
    <row r="25" spans="1:28" x14ac:dyDescent="0.25">
      <c r="F25" t="s">
        <v>1199</v>
      </c>
    </row>
    <row r="26" spans="1:28" x14ac:dyDescent="0.25">
      <c r="H26" t="s">
        <v>1200</v>
      </c>
      <c r="M26" t="s">
        <v>1</v>
      </c>
    </row>
    <row r="27" spans="1:28" x14ac:dyDescent="0.25">
      <c r="H27" t="s">
        <v>1201</v>
      </c>
      <c r="M27" t="s">
        <v>1202</v>
      </c>
    </row>
    <row r="28" spans="1:28" x14ac:dyDescent="0.25">
      <c r="H28" t="s">
        <v>1203</v>
      </c>
      <c r="M28" t="s">
        <v>1204</v>
      </c>
    </row>
    <row r="29" spans="1:28" x14ac:dyDescent="0.25">
      <c r="H29" t="s">
        <v>1205</v>
      </c>
      <c r="M29" t="s">
        <v>1206</v>
      </c>
    </row>
    <row r="30" spans="1:28" x14ac:dyDescent="0.25">
      <c r="H30" t="s">
        <v>1207</v>
      </c>
      <c r="M30" t="s">
        <v>1208</v>
      </c>
    </row>
    <row r="31" spans="1:28" x14ac:dyDescent="0.25">
      <c r="F31" t="s">
        <v>1209</v>
      </c>
    </row>
    <row r="32" spans="1:28" x14ac:dyDescent="0.25">
      <c r="G32" t="s">
        <v>1210</v>
      </c>
    </row>
    <row r="33" spans="3:14" x14ac:dyDescent="0.25">
      <c r="G33" t="s">
        <v>1521</v>
      </c>
    </row>
    <row r="34" spans="3:14" x14ac:dyDescent="0.25">
      <c r="G34" t="s">
        <v>1522</v>
      </c>
      <c r="I34">
        <v>95</v>
      </c>
      <c r="M34" t="s">
        <v>1476</v>
      </c>
      <c r="N34" t="s">
        <v>1523</v>
      </c>
    </row>
    <row r="36" spans="3:14" x14ac:dyDescent="0.25">
      <c r="G36" t="s">
        <v>1211</v>
      </c>
      <c r="I36" t="s">
        <v>83</v>
      </c>
      <c r="M36" t="s">
        <v>1212</v>
      </c>
      <c r="N36" t="s">
        <v>1213</v>
      </c>
    </row>
    <row r="37" spans="3:14" x14ac:dyDescent="0.25">
      <c r="G37" t="s">
        <v>1</v>
      </c>
      <c r="I37" t="s">
        <v>1214</v>
      </c>
      <c r="M37" t="s">
        <v>1215</v>
      </c>
      <c r="N37" t="s">
        <v>1216</v>
      </c>
    </row>
    <row r="38" spans="3:14" x14ac:dyDescent="0.25">
      <c r="G38" t="s">
        <v>1217</v>
      </c>
      <c r="I38" t="s">
        <v>1218</v>
      </c>
      <c r="M38" t="s">
        <v>1219</v>
      </c>
      <c r="N38" t="s">
        <v>1220</v>
      </c>
    </row>
    <row r="39" spans="3:14" x14ac:dyDescent="0.25">
      <c r="G39" t="s">
        <v>1221</v>
      </c>
      <c r="N39" t="s">
        <v>1222</v>
      </c>
    </row>
    <row r="40" spans="3:14" x14ac:dyDescent="0.25">
      <c r="I40" t="s">
        <v>1223</v>
      </c>
      <c r="M40" t="s">
        <v>1224</v>
      </c>
      <c r="N40" t="s">
        <v>1225</v>
      </c>
    </row>
    <row r="41" spans="3:14" x14ac:dyDescent="0.25">
      <c r="C41" t="s">
        <v>470</v>
      </c>
      <c r="G41" t="s">
        <v>1226</v>
      </c>
      <c r="N41" t="s">
        <v>1227</v>
      </c>
    </row>
    <row r="42" spans="3:14" x14ac:dyDescent="0.25">
      <c r="I42" t="s">
        <v>1228</v>
      </c>
      <c r="M42" t="s">
        <v>1229</v>
      </c>
      <c r="N42" t="s">
        <v>1230</v>
      </c>
    </row>
    <row r="43" spans="3:14" x14ac:dyDescent="0.25">
      <c r="G43" t="s">
        <v>1231</v>
      </c>
      <c r="M43" t="s">
        <v>1232</v>
      </c>
      <c r="N43" t="s">
        <v>1233</v>
      </c>
    </row>
    <row r="44" spans="3:14" x14ac:dyDescent="0.25">
      <c r="G44" t="s">
        <v>1234</v>
      </c>
      <c r="I44" t="s">
        <v>1235</v>
      </c>
      <c r="N44" t="s">
        <v>1236</v>
      </c>
    </row>
    <row r="45" spans="3:14" x14ac:dyDescent="0.25">
      <c r="N45" t="s">
        <v>1237</v>
      </c>
    </row>
    <row r="46" spans="3:14" x14ac:dyDescent="0.25">
      <c r="G46" t="s">
        <v>1238</v>
      </c>
      <c r="N46" t="s">
        <v>1239</v>
      </c>
    </row>
    <row r="47" spans="3:14" x14ac:dyDescent="0.25">
      <c r="G47" t="s">
        <v>1240</v>
      </c>
      <c r="N47" t="s">
        <v>1241</v>
      </c>
    </row>
    <row r="48" spans="3:14" x14ac:dyDescent="0.25">
      <c r="N48" t="s">
        <v>1242</v>
      </c>
    </row>
    <row r="49" spans="7:14" x14ac:dyDescent="0.25">
      <c r="N49" t="s">
        <v>1243</v>
      </c>
    </row>
    <row r="50" spans="7:14" x14ac:dyDescent="0.25">
      <c r="N50" t="s">
        <v>1244</v>
      </c>
    </row>
    <row r="51" spans="7:14" x14ac:dyDescent="0.25">
      <c r="N51" t="s">
        <v>1245</v>
      </c>
    </row>
    <row r="52" spans="7:14" x14ac:dyDescent="0.25">
      <c r="N52" t="s">
        <v>1246</v>
      </c>
    </row>
    <row r="53" spans="7:14" x14ac:dyDescent="0.25">
      <c r="N53" t="s">
        <v>1247</v>
      </c>
    </row>
    <row r="54" spans="7:14" x14ac:dyDescent="0.25">
      <c r="N54" t="s">
        <v>1248</v>
      </c>
    </row>
    <row r="55" spans="7:14" x14ac:dyDescent="0.25">
      <c r="N55" t="s">
        <v>1249</v>
      </c>
    </row>
    <row r="56" spans="7:14" x14ac:dyDescent="0.25">
      <c r="G56" t="s">
        <v>1250</v>
      </c>
      <c r="N56" t="s">
        <v>1251</v>
      </c>
    </row>
    <row r="57" spans="7:14" x14ac:dyDescent="0.25">
      <c r="G57" t="s">
        <v>1524</v>
      </c>
      <c r="N57" t="s">
        <v>963</v>
      </c>
    </row>
    <row r="58" spans="7:14" x14ac:dyDescent="0.25">
      <c r="N58" t="s">
        <v>965</v>
      </c>
    </row>
    <row r="59" spans="7:14" x14ac:dyDescent="0.25">
      <c r="G59" t="s">
        <v>1252</v>
      </c>
      <c r="N59" t="s">
        <v>966</v>
      </c>
    </row>
    <row r="60" spans="7:14" x14ac:dyDescent="0.25">
      <c r="G60" t="s">
        <v>1253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86DC-70B9-46DD-AB4D-97A9CFBBC9C4}">
  <sheetPr>
    <tabColor theme="5" tint="-0.499984740745262"/>
  </sheetPr>
  <dimension ref="A2:W55"/>
  <sheetViews>
    <sheetView workbookViewId="0">
      <selection activeCell="I14" sqref="I14"/>
    </sheetView>
  </sheetViews>
  <sheetFormatPr defaultRowHeight="15" x14ac:dyDescent="0.25"/>
  <cols>
    <col min="3" max="4" width="13.42578125" bestFit="1" customWidth="1"/>
    <col min="5" max="5" width="10.28515625" bestFit="1" customWidth="1"/>
    <col min="6" max="6" width="11.5703125" customWidth="1"/>
    <col min="7" max="7" width="11.140625" customWidth="1"/>
  </cols>
  <sheetData>
    <row r="2" spans="1:23" x14ac:dyDescent="0.25">
      <c r="C2" s="21"/>
      <c r="D2" s="22"/>
      <c r="E2" s="23"/>
      <c r="F2" s="24"/>
    </row>
    <row r="3" spans="1:23" x14ac:dyDescent="0.25">
      <c r="C3" s="11" t="s">
        <v>1673</v>
      </c>
      <c r="D3" s="11" t="s">
        <v>1378</v>
      </c>
      <c r="E3" s="11" t="s">
        <v>1379</v>
      </c>
      <c r="F3" s="11" t="s">
        <v>1380</v>
      </c>
    </row>
    <row r="6" spans="1:23" x14ac:dyDescent="0.25">
      <c r="F6" t="s">
        <v>1254</v>
      </c>
    </row>
    <row r="8" spans="1:23" x14ac:dyDescent="0.25">
      <c r="F8" t="s">
        <v>1255</v>
      </c>
    </row>
    <row r="9" spans="1:23" x14ac:dyDescent="0.25">
      <c r="F9" t="s">
        <v>1130</v>
      </c>
    </row>
    <row r="11" spans="1:23" x14ac:dyDescent="0.25">
      <c r="F11" t="s">
        <v>1131</v>
      </c>
      <c r="G11" t="s">
        <v>1132</v>
      </c>
      <c r="H11" t="s">
        <v>1256</v>
      </c>
      <c r="W11" t="s">
        <v>1134</v>
      </c>
    </row>
    <row r="12" spans="1:23" x14ac:dyDescent="0.25">
      <c r="F12" t="s">
        <v>57</v>
      </c>
      <c r="G12" t="s">
        <v>750</v>
      </c>
      <c r="H12" t="s">
        <v>976</v>
      </c>
      <c r="I12">
        <v>0.36</v>
      </c>
      <c r="M12" t="s">
        <v>1136</v>
      </c>
      <c r="N12">
        <v>0.36</v>
      </c>
      <c r="R12" t="s">
        <v>1257</v>
      </c>
      <c r="S12">
        <v>0.36</v>
      </c>
      <c r="W12" t="s">
        <v>1138</v>
      </c>
    </row>
    <row r="13" spans="1:23" x14ac:dyDescent="0.25">
      <c r="A13" t="s">
        <v>1258</v>
      </c>
      <c r="B13" t="s">
        <v>1259</v>
      </c>
      <c r="C13" t="s">
        <v>1260</v>
      </c>
      <c r="D13" t="s">
        <v>1261</v>
      </c>
      <c r="F13" t="s">
        <v>1262</v>
      </c>
      <c r="G13" t="s">
        <v>1144</v>
      </c>
      <c r="H13">
        <v>222.03</v>
      </c>
      <c r="I13" s="9">
        <f>H13*$I$12</f>
        <v>79.930799999999991</v>
      </c>
      <c r="J13" s="3">
        <f t="shared" ref="J13:J17" si="0">(I13/0.65)+0.3</f>
        <v>123.27046153846152</v>
      </c>
      <c r="K13" s="5">
        <f t="shared" ref="K13:K17" si="1">(I13/0.7)+0.3</f>
        <v>114.48685714285713</v>
      </c>
      <c r="L13" s="7">
        <f t="shared" ref="L13:L17" si="2">(I13/0.75)+0.3</f>
        <v>106.87439999999998</v>
      </c>
      <c r="M13">
        <v>228.82</v>
      </c>
      <c r="N13" s="9">
        <f>M13*$N$12</f>
        <v>82.375199999999992</v>
      </c>
      <c r="O13" s="3">
        <f t="shared" ref="O13:O17" si="3">(N13/0.65)+0.3</f>
        <v>127.03107692307691</v>
      </c>
      <c r="P13" s="5">
        <f t="shared" ref="P13:P17" si="4">(N13/0.7)+0.3</f>
        <v>117.97885714285714</v>
      </c>
      <c r="Q13" s="7">
        <f t="shared" ref="Q13:Q17" si="5">(N13/0.75)+0.3</f>
        <v>110.13359999999999</v>
      </c>
      <c r="R13">
        <v>235.66</v>
      </c>
      <c r="S13" s="9">
        <f>R13*$S$12</f>
        <v>84.837599999999995</v>
      </c>
      <c r="T13" s="3">
        <f t="shared" ref="T13:T17" si="6">(S13/0.65)+0.3</f>
        <v>130.81938461538462</v>
      </c>
      <c r="U13" s="5">
        <f t="shared" ref="U13:U17" si="7">(S13/0.7)+0.3</f>
        <v>121.49657142857143</v>
      </c>
      <c r="V13" s="7">
        <f t="shared" ref="V13:V17" si="8">(S13/0.75)+0.3</f>
        <v>113.41679999999999</v>
      </c>
      <c r="W13">
        <v>14</v>
      </c>
    </row>
    <row r="14" spans="1:23" x14ac:dyDescent="0.25">
      <c r="A14" t="s">
        <v>1263</v>
      </c>
      <c r="B14" t="s">
        <v>1264</v>
      </c>
      <c r="C14" t="s">
        <v>1265</v>
      </c>
      <c r="D14" t="s">
        <v>1266</v>
      </c>
      <c r="F14" t="s">
        <v>1267</v>
      </c>
      <c r="G14" t="s">
        <v>1150</v>
      </c>
      <c r="H14">
        <v>158.82</v>
      </c>
      <c r="I14" s="9">
        <f t="shared" ref="I14:I25" si="9">H14*$I$12</f>
        <v>57.175199999999997</v>
      </c>
      <c r="J14" s="3">
        <f t="shared" si="0"/>
        <v>88.261846153846136</v>
      </c>
      <c r="K14" s="5">
        <f t="shared" si="1"/>
        <v>81.978857142857137</v>
      </c>
      <c r="L14" s="7">
        <f t="shared" si="2"/>
        <v>76.533599999999993</v>
      </c>
      <c r="M14">
        <v>160.53</v>
      </c>
      <c r="N14" s="9">
        <f t="shared" ref="N14:N25" si="10">M14*$N$12</f>
        <v>57.790799999999997</v>
      </c>
      <c r="O14" s="3">
        <f t="shared" si="3"/>
        <v>89.208923076923071</v>
      </c>
      <c r="P14" s="5">
        <f t="shared" si="4"/>
        <v>82.858285714285714</v>
      </c>
      <c r="Q14" s="7">
        <f t="shared" si="5"/>
        <v>77.354399999999998</v>
      </c>
      <c r="R14">
        <v>167.38</v>
      </c>
      <c r="S14" s="9">
        <f t="shared" ref="S14:S25" si="11">R14*$S$12</f>
        <v>60.256799999999998</v>
      </c>
      <c r="T14" s="3">
        <f t="shared" si="6"/>
        <v>93.002769230769218</v>
      </c>
      <c r="U14" s="5">
        <f t="shared" si="7"/>
        <v>86.381142857142862</v>
      </c>
      <c r="V14" s="7">
        <f t="shared" si="8"/>
        <v>80.642399999999995</v>
      </c>
      <c r="W14">
        <v>9</v>
      </c>
    </row>
    <row r="15" spans="1:23" x14ac:dyDescent="0.25">
      <c r="A15" t="s">
        <v>1268</v>
      </c>
      <c r="B15" t="s">
        <v>1269</v>
      </c>
      <c r="C15" t="s">
        <v>1270</v>
      </c>
      <c r="D15" t="s">
        <v>1271</v>
      </c>
      <c r="F15" t="s">
        <v>1272</v>
      </c>
      <c r="G15" t="s">
        <v>1156</v>
      </c>
      <c r="H15">
        <v>191.26</v>
      </c>
      <c r="I15" s="9">
        <f t="shared" si="9"/>
        <v>68.8536</v>
      </c>
      <c r="J15" s="3">
        <f t="shared" si="0"/>
        <v>106.22861538461538</v>
      </c>
      <c r="K15" s="5">
        <f t="shared" si="1"/>
        <v>98.662285714285716</v>
      </c>
      <c r="L15" s="7">
        <f t="shared" si="2"/>
        <v>92.104799999999997</v>
      </c>
      <c r="M15">
        <v>198.09</v>
      </c>
      <c r="N15" s="9">
        <f t="shared" si="10"/>
        <v>71.312399999999997</v>
      </c>
      <c r="O15" s="3">
        <f t="shared" si="3"/>
        <v>110.0113846153846</v>
      </c>
      <c r="P15" s="5">
        <f t="shared" si="4"/>
        <v>102.17485714285714</v>
      </c>
      <c r="Q15" s="7">
        <f t="shared" si="5"/>
        <v>95.383199999999988</v>
      </c>
      <c r="R15">
        <v>204.94</v>
      </c>
      <c r="S15" s="9">
        <f t="shared" si="11"/>
        <v>73.778399999999991</v>
      </c>
      <c r="T15" s="3">
        <f t="shared" si="6"/>
        <v>113.80523076923075</v>
      </c>
      <c r="U15" s="5">
        <f t="shared" si="7"/>
        <v>105.69771428571427</v>
      </c>
      <c r="V15" s="7">
        <f t="shared" si="8"/>
        <v>98.671199999999985</v>
      </c>
      <c r="W15">
        <v>12</v>
      </c>
    </row>
    <row r="16" spans="1:23" x14ac:dyDescent="0.25">
      <c r="A16" t="s">
        <v>1273</v>
      </c>
      <c r="B16" t="s">
        <v>1274</v>
      </c>
      <c r="C16" t="s">
        <v>1275</v>
      </c>
      <c r="D16" t="s">
        <v>1276</v>
      </c>
      <c r="F16" t="s">
        <v>1277</v>
      </c>
      <c r="G16" t="s">
        <v>1162</v>
      </c>
      <c r="H16">
        <v>211.82</v>
      </c>
      <c r="I16" s="9">
        <f t="shared" si="9"/>
        <v>76.255199999999988</v>
      </c>
      <c r="J16" s="3">
        <f t="shared" si="0"/>
        <v>117.61569230769229</v>
      </c>
      <c r="K16" s="5">
        <f t="shared" si="1"/>
        <v>109.23599999999999</v>
      </c>
      <c r="L16" s="7">
        <f t="shared" si="2"/>
        <v>101.97359999999998</v>
      </c>
      <c r="M16">
        <v>218.58</v>
      </c>
      <c r="N16" s="9">
        <f t="shared" si="10"/>
        <v>78.688800000000001</v>
      </c>
      <c r="O16" s="3">
        <f t="shared" si="3"/>
        <v>121.3596923076923</v>
      </c>
      <c r="P16" s="5">
        <f t="shared" si="4"/>
        <v>112.71257142857144</v>
      </c>
      <c r="Q16" s="7">
        <f t="shared" si="5"/>
        <v>105.2184</v>
      </c>
      <c r="R16">
        <v>225.44</v>
      </c>
      <c r="S16" s="9">
        <f t="shared" si="11"/>
        <v>81.1584</v>
      </c>
      <c r="T16" s="3">
        <f t="shared" si="6"/>
        <v>125.15907692307691</v>
      </c>
      <c r="U16" s="5">
        <f t="shared" si="7"/>
        <v>116.24057142857143</v>
      </c>
      <c r="V16" s="7">
        <f t="shared" si="8"/>
        <v>108.5112</v>
      </c>
      <c r="W16">
        <v>13</v>
      </c>
    </row>
    <row r="17" spans="1:23" x14ac:dyDescent="0.25">
      <c r="A17" t="s">
        <v>1278</v>
      </c>
      <c r="B17" t="s">
        <v>1279</v>
      </c>
      <c r="C17" t="s">
        <v>1280</v>
      </c>
      <c r="D17" t="s">
        <v>1281</v>
      </c>
      <c r="F17" t="s">
        <v>1282</v>
      </c>
      <c r="G17" t="s">
        <v>1168</v>
      </c>
      <c r="H17">
        <v>211.82</v>
      </c>
      <c r="I17" s="9">
        <f t="shared" si="9"/>
        <v>76.255199999999988</v>
      </c>
      <c r="J17" s="3">
        <f t="shared" si="0"/>
        <v>117.61569230769229</v>
      </c>
      <c r="K17" s="5">
        <f t="shared" si="1"/>
        <v>109.23599999999999</v>
      </c>
      <c r="L17" s="7">
        <f t="shared" si="2"/>
        <v>101.97359999999998</v>
      </c>
      <c r="M17">
        <v>218.58</v>
      </c>
      <c r="N17" s="9">
        <f t="shared" si="10"/>
        <v>78.688800000000001</v>
      </c>
      <c r="O17" s="3">
        <f t="shared" si="3"/>
        <v>121.3596923076923</v>
      </c>
      <c r="P17" s="5">
        <f t="shared" si="4"/>
        <v>112.71257142857144</v>
      </c>
      <c r="Q17" s="7">
        <f t="shared" si="5"/>
        <v>105.2184</v>
      </c>
      <c r="R17">
        <v>225.44</v>
      </c>
      <c r="S17" s="9">
        <f t="shared" si="11"/>
        <v>81.1584</v>
      </c>
      <c r="T17" s="3">
        <f t="shared" si="6"/>
        <v>125.15907692307691</v>
      </c>
      <c r="U17" s="5">
        <f t="shared" si="7"/>
        <v>116.24057142857143</v>
      </c>
      <c r="V17" s="7">
        <f t="shared" si="8"/>
        <v>108.5112</v>
      </c>
      <c r="W17">
        <v>13</v>
      </c>
    </row>
    <row r="18" spans="1:23" x14ac:dyDescent="0.25">
      <c r="I18" s="1"/>
      <c r="J18" s="1"/>
      <c r="K18" s="1"/>
      <c r="L18" s="1"/>
      <c r="N18" s="1"/>
      <c r="O18" s="1"/>
      <c r="P18" s="1"/>
      <c r="Q18" s="1"/>
      <c r="S18" s="1"/>
      <c r="T18" s="1"/>
      <c r="U18" s="1"/>
      <c r="V18" s="1"/>
    </row>
    <row r="19" spans="1:23" x14ac:dyDescent="0.25">
      <c r="F19" t="s">
        <v>1131</v>
      </c>
      <c r="G19" t="s">
        <v>1132</v>
      </c>
      <c r="H19" t="s">
        <v>1256</v>
      </c>
      <c r="I19" s="1"/>
      <c r="J19" s="1"/>
      <c r="K19" s="1"/>
      <c r="L19" s="1"/>
      <c r="N19" s="1"/>
      <c r="O19" s="1"/>
      <c r="P19" s="1"/>
      <c r="Q19" s="1"/>
      <c r="S19" s="1"/>
      <c r="T19" s="1"/>
      <c r="U19" s="1"/>
      <c r="V19" s="1"/>
      <c r="W19" t="s">
        <v>1134</v>
      </c>
    </row>
    <row r="20" spans="1:23" x14ac:dyDescent="0.25">
      <c r="F20" t="s">
        <v>57</v>
      </c>
      <c r="G20" t="s">
        <v>750</v>
      </c>
      <c r="H20" t="s">
        <v>976</v>
      </c>
      <c r="I20" s="1"/>
      <c r="J20" s="1"/>
      <c r="K20" s="1"/>
      <c r="L20" s="1"/>
      <c r="M20" t="s">
        <v>1136</v>
      </c>
      <c r="N20" s="1"/>
      <c r="O20" s="1"/>
      <c r="P20" s="1"/>
      <c r="Q20" s="1"/>
      <c r="R20" t="s">
        <v>1257</v>
      </c>
      <c r="S20" s="1"/>
      <c r="T20" s="1"/>
      <c r="U20" s="1"/>
      <c r="V20" s="1"/>
      <c r="W20" t="s">
        <v>1138</v>
      </c>
    </row>
    <row r="21" spans="1:23" x14ac:dyDescent="0.25">
      <c r="A21" t="s">
        <v>1283</v>
      </c>
      <c r="B21" t="s">
        <v>1284</v>
      </c>
      <c r="C21" t="s">
        <v>1285</v>
      </c>
      <c r="D21" t="s">
        <v>1286</v>
      </c>
      <c r="F21" t="s">
        <v>1287</v>
      </c>
      <c r="G21" t="s">
        <v>1174</v>
      </c>
      <c r="H21">
        <v>149.41</v>
      </c>
      <c r="I21" s="9">
        <f t="shared" si="9"/>
        <v>53.787599999999998</v>
      </c>
      <c r="J21" s="3">
        <f t="shared" ref="J21:J25" si="12">(I21/0.65)+0.3</f>
        <v>83.050153846153833</v>
      </c>
      <c r="K21" s="5">
        <f t="shared" ref="K21" si="13">(I21/0.7)+0.3</f>
        <v>77.139428571428567</v>
      </c>
      <c r="L21" s="7">
        <f t="shared" ref="L21" si="14">(I21/0.75)+0.3</f>
        <v>72.016799999999989</v>
      </c>
      <c r="M21">
        <v>153.62</v>
      </c>
      <c r="N21" s="9">
        <f t="shared" si="10"/>
        <v>55.303199999999997</v>
      </c>
      <c r="O21" s="3">
        <f t="shared" ref="O21:O25" si="15">(N21/0.65)+0.3</f>
        <v>85.381846153846141</v>
      </c>
      <c r="P21" s="5">
        <f t="shared" ref="P21" si="16">(N21/0.7)+0.3</f>
        <v>79.304571428571421</v>
      </c>
      <c r="Q21" s="7">
        <f t="shared" ref="Q21" si="17">(N21/0.75)+0.3</f>
        <v>74.037599999999998</v>
      </c>
      <c r="R21">
        <v>162.13</v>
      </c>
      <c r="S21" s="9">
        <f t="shared" si="11"/>
        <v>58.366799999999998</v>
      </c>
      <c r="T21" s="3">
        <f t="shared" ref="T21:T25" si="18">(S21/0.65)+0.3</f>
        <v>90.095076923076917</v>
      </c>
      <c r="U21" s="5">
        <f t="shared" ref="U21" si="19">(S21/0.7)+0.3</f>
        <v>83.681142857142859</v>
      </c>
      <c r="V21" s="7">
        <f t="shared" ref="V21:V25" si="20">(S21/0.75)+0.3</f>
        <v>78.122399999999999</v>
      </c>
      <c r="W21">
        <v>8</v>
      </c>
    </row>
    <row r="22" spans="1:23" x14ac:dyDescent="0.25">
      <c r="A22" t="s">
        <v>1288</v>
      </c>
      <c r="B22" t="s">
        <v>1289</v>
      </c>
      <c r="C22" t="s">
        <v>1290</v>
      </c>
      <c r="D22" t="s">
        <v>1291</v>
      </c>
      <c r="F22" t="s">
        <v>1292</v>
      </c>
      <c r="G22" t="s">
        <v>1180</v>
      </c>
      <c r="H22">
        <v>102.36</v>
      </c>
      <c r="I22" s="9">
        <f t="shared" si="9"/>
        <v>36.849599999999995</v>
      </c>
      <c r="J22" s="3">
        <f t="shared" si="12"/>
        <v>56.991692307692297</v>
      </c>
      <c r="K22" s="5">
        <f t="shared" ref="K22:K25" si="21">(I22/0.7)+0.3</f>
        <v>52.94228571428571</v>
      </c>
      <c r="L22" s="7">
        <f t="shared" ref="L22:L25" si="22">(I22/0.75)+0.3</f>
        <v>49.432799999999993</v>
      </c>
      <c r="M22">
        <v>106.41</v>
      </c>
      <c r="N22" s="9">
        <f t="shared" si="10"/>
        <v>38.307600000000001</v>
      </c>
      <c r="O22" s="3">
        <f t="shared" si="15"/>
        <v>59.234769230769224</v>
      </c>
      <c r="P22" s="5">
        <f t="shared" ref="P22:P25" si="23">(N22/0.7)+0.3</f>
        <v>55.02514285714286</v>
      </c>
      <c r="Q22" s="7">
        <f t="shared" ref="Q22:Q25" si="24">(N22/0.75)+0.3</f>
        <v>51.376799999999996</v>
      </c>
      <c r="R22">
        <v>110.13</v>
      </c>
      <c r="S22" s="9">
        <f t="shared" si="11"/>
        <v>39.646799999999999</v>
      </c>
      <c r="T22" s="3">
        <f t="shared" si="18"/>
        <v>61.29507692307692</v>
      </c>
      <c r="U22" s="5">
        <f t="shared" ref="U22:U25" si="25">(S22/0.7)+0.3</f>
        <v>56.938285714285712</v>
      </c>
      <c r="V22" s="7">
        <f t="shared" si="20"/>
        <v>53.162399999999998</v>
      </c>
      <c r="W22">
        <v>5</v>
      </c>
    </row>
    <row r="23" spans="1:23" x14ac:dyDescent="0.25">
      <c r="A23" t="s">
        <v>1293</v>
      </c>
      <c r="B23" t="s">
        <v>1294</v>
      </c>
      <c r="C23" t="s">
        <v>1295</v>
      </c>
      <c r="D23" t="s">
        <v>1296</v>
      </c>
      <c r="F23" t="s">
        <v>1297</v>
      </c>
      <c r="G23" t="s">
        <v>1186</v>
      </c>
      <c r="H23">
        <v>128.04</v>
      </c>
      <c r="I23" s="9">
        <f t="shared" si="9"/>
        <v>46.094399999999993</v>
      </c>
      <c r="J23" s="3">
        <f t="shared" si="12"/>
        <v>71.214461538461521</v>
      </c>
      <c r="K23" s="5">
        <f t="shared" si="21"/>
        <v>66.149142857142849</v>
      </c>
      <c r="L23" s="7">
        <f t="shared" si="22"/>
        <v>61.759199999999986</v>
      </c>
      <c r="M23">
        <v>131.38999999999999</v>
      </c>
      <c r="N23" s="9">
        <f t="shared" si="10"/>
        <v>47.300399999999996</v>
      </c>
      <c r="O23" s="3">
        <f t="shared" si="15"/>
        <v>73.069846153846143</v>
      </c>
      <c r="P23" s="5">
        <f t="shared" si="23"/>
        <v>67.872</v>
      </c>
      <c r="Q23" s="7">
        <f t="shared" si="24"/>
        <v>63.36719999999999</v>
      </c>
      <c r="R23">
        <v>144.59</v>
      </c>
      <c r="S23" s="9">
        <f t="shared" si="11"/>
        <v>52.052399999999999</v>
      </c>
      <c r="T23" s="3">
        <f t="shared" si="18"/>
        <v>80.380615384615382</v>
      </c>
      <c r="U23" s="5">
        <f t="shared" si="25"/>
        <v>74.66057142857143</v>
      </c>
      <c r="V23" s="7">
        <f t="shared" si="20"/>
        <v>69.703199999999995</v>
      </c>
      <c r="W23">
        <v>6</v>
      </c>
    </row>
    <row r="24" spans="1:23" x14ac:dyDescent="0.25">
      <c r="A24" t="s">
        <v>1298</v>
      </c>
      <c r="B24" t="s">
        <v>1299</v>
      </c>
      <c r="C24" t="s">
        <v>1300</v>
      </c>
      <c r="D24" t="s">
        <v>1301</v>
      </c>
      <c r="F24" t="s">
        <v>1302</v>
      </c>
      <c r="G24" t="s">
        <v>1192</v>
      </c>
      <c r="H24">
        <v>140.80000000000001</v>
      </c>
      <c r="I24" s="9">
        <f t="shared" si="9"/>
        <v>50.688000000000002</v>
      </c>
      <c r="J24" s="3">
        <f t="shared" si="12"/>
        <v>78.28153846153846</v>
      </c>
      <c r="K24" s="5">
        <f t="shared" si="21"/>
        <v>72.71142857142857</v>
      </c>
      <c r="L24" s="7">
        <f t="shared" si="22"/>
        <v>67.884</v>
      </c>
      <c r="M24">
        <v>143.41999999999999</v>
      </c>
      <c r="N24" s="9">
        <f t="shared" si="10"/>
        <v>51.631199999999993</v>
      </c>
      <c r="O24" s="3">
        <f t="shared" si="15"/>
        <v>79.732615384615372</v>
      </c>
      <c r="P24" s="5">
        <f t="shared" si="23"/>
        <v>74.058857142857136</v>
      </c>
      <c r="Q24" s="7">
        <f t="shared" si="24"/>
        <v>69.141599999999983</v>
      </c>
      <c r="R24">
        <v>149.41</v>
      </c>
      <c r="S24" s="9">
        <f t="shared" si="11"/>
        <v>53.787599999999998</v>
      </c>
      <c r="T24" s="3">
        <f t="shared" si="18"/>
        <v>83.050153846153833</v>
      </c>
      <c r="U24" s="5">
        <f t="shared" si="25"/>
        <v>77.139428571428567</v>
      </c>
      <c r="V24" s="7">
        <f t="shared" si="20"/>
        <v>72.016799999999989</v>
      </c>
      <c r="W24">
        <v>7</v>
      </c>
    </row>
    <row r="25" spans="1:23" x14ac:dyDescent="0.25">
      <c r="A25" t="s">
        <v>1303</v>
      </c>
      <c r="B25" t="s">
        <v>1304</v>
      </c>
      <c r="C25" t="s">
        <v>1305</v>
      </c>
      <c r="D25" t="s">
        <v>1306</v>
      </c>
      <c r="F25" t="s">
        <v>1307</v>
      </c>
      <c r="G25" t="s">
        <v>1198</v>
      </c>
      <c r="H25">
        <v>140.80000000000001</v>
      </c>
      <c r="I25" s="9">
        <f t="shared" si="9"/>
        <v>50.688000000000002</v>
      </c>
      <c r="J25" s="3">
        <f t="shared" si="12"/>
        <v>78.28153846153846</v>
      </c>
      <c r="K25" s="5">
        <f t="shared" si="21"/>
        <v>72.71142857142857</v>
      </c>
      <c r="L25" s="7">
        <f t="shared" si="22"/>
        <v>67.884</v>
      </c>
      <c r="M25">
        <v>143.41999999999999</v>
      </c>
      <c r="N25" s="9">
        <f t="shared" si="10"/>
        <v>51.631199999999993</v>
      </c>
      <c r="O25" s="3">
        <f t="shared" si="15"/>
        <v>79.732615384615372</v>
      </c>
      <c r="P25" s="5">
        <f t="shared" si="23"/>
        <v>74.058857142857136</v>
      </c>
      <c r="Q25" s="7">
        <f t="shared" si="24"/>
        <v>69.141599999999983</v>
      </c>
      <c r="R25">
        <v>149.41</v>
      </c>
      <c r="S25" s="9">
        <f t="shared" si="11"/>
        <v>53.787599999999998</v>
      </c>
      <c r="T25" s="3">
        <f t="shared" si="18"/>
        <v>83.050153846153833</v>
      </c>
      <c r="U25" s="5">
        <f t="shared" si="25"/>
        <v>77.139428571428567</v>
      </c>
      <c r="V25" s="7">
        <f t="shared" si="20"/>
        <v>72.016799999999989</v>
      </c>
      <c r="W25">
        <v>7</v>
      </c>
    </row>
    <row r="26" spans="1:23" x14ac:dyDescent="0.25">
      <c r="F26" t="s">
        <v>1209</v>
      </c>
    </row>
    <row r="27" spans="1:23" x14ac:dyDescent="0.25">
      <c r="F27" t="s">
        <v>1308</v>
      </c>
    </row>
    <row r="28" spans="1:23" x14ac:dyDescent="0.25">
      <c r="F28" t="s">
        <v>1525</v>
      </c>
    </row>
    <row r="30" spans="1:23" x14ac:dyDescent="0.25">
      <c r="G30" t="s">
        <v>1526</v>
      </c>
      <c r="I30">
        <v>95</v>
      </c>
      <c r="M30" t="s">
        <v>1476</v>
      </c>
      <c r="N30" t="s">
        <v>1523</v>
      </c>
    </row>
    <row r="32" spans="1:23" x14ac:dyDescent="0.25">
      <c r="G32" t="s">
        <v>1309</v>
      </c>
      <c r="I32" t="s">
        <v>83</v>
      </c>
      <c r="M32" t="s">
        <v>1212</v>
      </c>
      <c r="N32" t="s">
        <v>1213</v>
      </c>
    </row>
    <row r="33" spans="7:14" x14ac:dyDescent="0.25">
      <c r="G33" t="s">
        <v>1310</v>
      </c>
      <c r="I33" t="s">
        <v>1214</v>
      </c>
      <c r="M33" t="s">
        <v>1215</v>
      </c>
      <c r="N33" t="s">
        <v>1216</v>
      </c>
    </row>
    <row r="34" spans="7:14" x14ac:dyDescent="0.25">
      <c r="G34" t="s">
        <v>1217</v>
      </c>
      <c r="I34" t="s">
        <v>1223</v>
      </c>
      <c r="M34" t="s">
        <v>1219</v>
      </c>
      <c r="N34" t="s">
        <v>1220</v>
      </c>
    </row>
    <row r="35" spans="7:14" x14ac:dyDescent="0.25">
      <c r="G35" t="s">
        <v>1221</v>
      </c>
      <c r="N35" t="s">
        <v>1222</v>
      </c>
    </row>
    <row r="36" spans="7:14" x14ac:dyDescent="0.25">
      <c r="I36" t="s">
        <v>1228</v>
      </c>
      <c r="M36" t="s">
        <v>1224</v>
      </c>
      <c r="N36" t="s">
        <v>1225</v>
      </c>
    </row>
    <row r="37" spans="7:14" x14ac:dyDescent="0.25">
      <c r="G37" t="s">
        <v>1226</v>
      </c>
      <c r="N37" t="s">
        <v>1227</v>
      </c>
    </row>
    <row r="38" spans="7:14" x14ac:dyDescent="0.25">
      <c r="I38" t="s">
        <v>1311</v>
      </c>
      <c r="M38" t="s">
        <v>1229</v>
      </c>
      <c r="N38" t="s">
        <v>1230</v>
      </c>
    </row>
    <row r="39" spans="7:14" x14ac:dyDescent="0.25">
      <c r="G39" t="s">
        <v>1231</v>
      </c>
      <c r="M39" t="s">
        <v>1232</v>
      </c>
      <c r="N39" t="s">
        <v>1233</v>
      </c>
    </row>
    <row r="40" spans="7:14" x14ac:dyDescent="0.25">
      <c r="G40" t="s">
        <v>1312</v>
      </c>
      <c r="N40" t="s">
        <v>1236</v>
      </c>
    </row>
    <row r="41" spans="7:14" x14ac:dyDescent="0.25">
      <c r="N41" t="s">
        <v>1237</v>
      </c>
    </row>
    <row r="42" spans="7:14" x14ac:dyDescent="0.25">
      <c r="G42" t="s">
        <v>1238</v>
      </c>
      <c r="N42" t="s">
        <v>1239</v>
      </c>
    </row>
    <row r="43" spans="7:14" x14ac:dyDescent="0.25">
      <c r="G43" t="s">
        <v>1240</v>
      </c>
      <c r="N43" t="s">
        <v>1241</v>
      </c>
    </row>
    <row r="44" spans="7:14" x14ac:dyDescent="0.25">
      <c r="N44" t="s">
        <v>1242</v>
      </c>
    </row>
    <row r="45" spans="7:14" x14ac:dyDescent="0.25">
      <c r="N45" t="s">
        <v>1243</v>
      </c>
    </row>
    <row r="46" spans="7:14" x14ac:dyDescent="0.25">
      <c r="N46" t="s">
        <v>1244</v>
      </c>
    </row>
    <row r="47" spans="7:14" x14ac:dyDescent="0.25">
      <c r="N47" t="s">
        <v>1245</v>
      </c>
    </row>
    <row r="48" spans="7:14" x14ac:dyDescent="0.25">
      <c r="N48" t="s">
        <v>1246</v>
      </c>
    </row>
    <row r="49" spans="7:23" x14ac:dyDescent="0.25">
      <c r="N49" t="s">
        <v>1247</v>
      </c>
    </row>
    <row r="50" spans="7:23" x14ac:dyDescent="0.25">
      <c r="N50" t="s">
        <v>1248</v>
      </c>
    </row>
    <row r="51" spans="7:23" x14ac:dyDescent="0.25">
      <c r="W51" t="s">
        <v>1249</v>
      </c>
    </row>
    <row r="52" spans="7:23" x14ac:dyDescent="0.25">
      <c r="W52" t="s">
        <v>1251</v>
      </c>
    </row>
    <row r="53" spans="7:23" x14ac:dyDescent="0.25">
      <c r="W53" t="s">
        <v>963</v>
      </c>
    </row>
    <row r="54" spans="7:23" x14ac:dyDescent="0.25">
      <c r="G54" t="s">
        <v>1250</v>
      </c>
      <c r="W54" t="s">
        <v>965</v>
      </c>
    </row>
    <row r="55" spans="7:23" x14ac:dyDescent="0.25">
      <c r="G55" t="s">
        <v>1527</v>
      </c>
      <c r="W55" t="s">
        <v>966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29F6-F495-410A-B077-F141E2FE2A50}">
  <sheetPr>
    <tabColor theme="5" tint="-0.499984740745262"/>
  </sheetPr>
  <dimension ref="B1:Q186"/>
  <sheetViews>
    <sheetView topLeftCell="A10" workbookViewId="0">
      <selection activeCell="I32" sqref="I32"/>
    </sheetView>
  </sheetViews>
  <sheetFormatPr defaultRowHeight="15" x14ac:dyDescent="0.25"/>
  <cols>
    <col min="3" max="3" width="15.140625" bestFit="1" customWidth="1"/>
    <col min="4" max="4" width="19.85546875" customWidth="1"/>
    <col min="5" max="5" width="10.28515625" bestFit="1" customWidth="1"/>
    <col min="6" max="6" width="17.140625" bestFit="1" customWidth="1"/>
    <col min="7" max="7" width="8.5703125" bestFit="1" customWidth="1"/>
    <col min="8" max="8" width="10.42578125" bestFit="1" customWidth="1"/>
    <col min="9" max="9" width="8.5703125" bestFit="1" customWidth="1"/>
    <col min="10" max="13" width="8.5703125" customWidth="1"/>
    <col min="14" max="15" width="11.140625" bestFit="1" customWidth="1"/>
    <col min="16" max="16" width="16.42578125" customWidth="1"/>
    <col min="17" max="17" width="11.140625" bestFit="1" customWidth="1"/>
  </cols>
  <sheetData>
    <row r="1" spans="2:17" ht="14.25" x14ac:dyDescent="0.25">
      <c r="Q1" t="s">
        <v>1316</v>
      </c>
    </row>
    <row r="2" spans="2:17" ht="14.25" x14ac:dyDescent="0.25">
      <c r="C2" s="21"/>
      <c r="D2" s="22"/>
      <c r="E2" s="23"/>
      <c r="F2" s="24"/>
      <c r="O2">
        <v>46143</v>
      </c>
    </row>
    <row r="3" spans="2:17" ht="14.25" x14ac:dyDescent="0.25">
      <c r="C3" s="11" t="s">
        <v>1673</v>
      </c>
      <c r="D3" s="11" t="s">
        <v>1378</v>
      </c>
      <c r="E3" s="11" t="s">
        <v>1379</v>
      </c>
      <c r="F3" s="11" t="s">
        <v>1380</v>
      </c>
      <c r="Q3" t="s">
        <v>1317</v>
      </c>
    </row>
    <row r="4" spans="2:17" ht="14.25" x14ac:dyDescent="0.25">
      <c r="Q4" t="s">
        <v>1318</v>
      </c>
    </row>
    <row r="7" spans="2:17" x14ac:dyDescent="0.25">
      <c r="B7" t="s">
        <v>1319</v>
      </c>
    </row>
    <row r="8" spans="2:17" ht="14.25" x14ac:dyDescent="0.25">
      <c r="B8" t="s">
        <v>1528</v>
      </c>
    </row>
    <row r="9" spans="2:17" ht="14.25" x14ac:dyDescent="0.25">
      <c r="B9" t="s">
        <v>1320</v>
      </c>
    </row>
    <row r="10" spans="2:17" ht="14.25" x14ac:dyDescent="0.25">
      <c r="B10" t="s">
        <v>1257</v>
      </c>
    </row>
    <row r="11" spans="2:17" ht="14.25" x14ac:dyDescent="0.25">
      <c r="B11" t="s">
        <v>63</v>
      </c>
      <c r="C11" t="s">
        <v>61</v>
      </c>
      <c r="D11" t="s">
        <v>1321</v>
      </c>
      <c r="F11" t="s">
        <v>1322</v>
      </c>
      <c r="I11" t="s">
        <v>1323</v>
      </c>
      <c r="N11" t="s">
        <v>62</v>
      </c>
    </row>
    <row r="12" spans="2:17" ht="14.25" x14ac:dyDescent="0.25">
      <c r="B12" t="s">
        <v>64</v>
      </c>
      <c r="C12" t="s">
        <v>77</v>
      </c>
      <c r="D12" t="s">
        <v>77</v>
      </c>
      <c r="F12" t="s">
        <v>75</v>
      </c>
      <c r="H12" t="s">
        <v>0</v>
      </c>
      <c r="I12" t="s">
        <v>752</v>
      </c>
      <c r="N12" t="s">
        <v>1323</v>
      </c>
    </row>
    <row r="13" spans="2:17" ht="14.25" x14ac:dyDescent="0.25">
      <c r="C13" t="s">
        <v>1324</v>
      </c>
      <c r="D13" t="s">
        <v>1324</v>
      </c>
      <c r="H13">
        <v>0.32</v>
      </c>
      <c r="N13" t="s">
        <v>65</v>
      </c>
    </row>
    <row r="14" spans="2:17" ht="14.25" x14ac:dyDescent="0.25">
      <c r="B14" t="s">
        <v>1325</v>
      </c>
      <c r="C14" t="s">
        <v>1313</v>
      </c>
      <c r="D14" t="s">
        <v>1529</v>
      </c>
      <c r="F14">
        <v>121.83</v>
      </c>
      <c r="H14" s="1">
        <f>F14*$H$13</f>
        <v>38.985599999999998</v>
      </c>
      <c r="I14">
        <v>3</v>
      </c>
      <c r="N14" t="s">
        <v>78</v>
      </c>
    </row>
    <row r="15" spans="2:17" x14ac:dyDescent="0.25">
      <c r="B15" t="s">
        <v>1326</v>
      </c>
      <c r="C15" t="s">
        <v>1327</v>
      </c>
      <c r="D15" t="s">
        <v>1530</v>
      </c>
      <c r="F15">
        <v>138.22</v>
      </c>
      <c r="H15" s="1">
        <f t="shared" ref="H15:H21" si="0">F15*$H$13</f>
        <v>44.230400000000003</v>
      </c>
      <c r="I15">
        <v>3</v>
      </c>
      <c r="N15" t="s">
        <v>80</v>
      </c>
    </row>
    <row r="16" spans="2:17" ht="14.25" x14ac:dyDescent="0.25">
      <c r="B16" t="s">
        <v>1328</v>
      </c>
      <c r="C16" t="s">
        <v>1315</v>
      </c>
      <c r="D16" t="s">
        <v>1531</v>
      </c>
      <c r="F16">
        <v>135.72</v>
      </c>
      <c r="H16" s="1">
        <f t="shared" si="0"/>
        <v>43.430399999999999</v>
      </c>
      <c r="I16">
        <v>3</v>
      </c>
      <c r="N16" t="s">
        <v>80</v>
      </c>
    </row>
    <row r="17" spans="2:16" ht="14.25" x14ac:dyDescent="0.25">
      <c r="B17" t="s">
        <v>1329</v>
      </c>
      <c r="C17" t="s">
        <v>1330</v>
      </c>
      <c r="D17" t="s">
        <v>1532</v>
      </c>
      <c r="F17">
        <v>113.61</v>
      </c>
      <c r="H17" s="1">
        <f t="shared" si="0"/>
        <v>36.355200000000004</v>
      </c>
      <c r="I17">
        <v>3</v>
      </c>
      <c r="N17" t="s">
        <v>89</v>
      </c>
    </row>
    <row r="18" spans="2:16" ht="14.25" x14ac:dyDescent="0.25">
      <c r="B18" t="s">
        <v>1331</v>
      </c>
      <c r="C18" t="s">
        <v>1332</v>
      </c>
      <c r="D18" t="s">
        <v>1533</v>
      </c>
      <c r="F18">
        <v>137.58000000000001</v>
      </c>
      <c r="H18" s="1">
        <f t="shared" si="0"/>
        <v>44.025600000000004</v>
      </c>
      <c r="I18">
        <v>3</v>
      </c>
      <c r="N18" t="s">
        <v>67</v>
      </c>
    </row>
    <row r="19" spans="2:16" x14ac:dyDescent="0.25">
      <c r="B19" t="s">
        <v>1333</v>
      </c>
      <c r="C19" t="s">
        <v>1334</v>
      </c>
      <c r="D19" t="s">
        <v>1534</v>
      </c>
      <c r="F19">
        <v>127.96</v>
      </c>
      <c r="H19" s="1">
        <f t="shared" si="0"/>
        <v>40.947200000000002</v>
      </c>
      <c r="I19">
        <v>3</v>
      </c>
      <c r="N19" t="s">
        <v>89</v>
      </c>
    </row>
    <row r="20" spans="2:16" ht="14.25" x14ac:dyDescent="0.25">
      <c r="B20" t="s">
        <v>1335</v>
      </c>
      <c r="C20" t="s">
        <v>1336</v>
      </c>
      <c r="D20" t="s">
        <v>1535</v>
      </c>
      <c r="F20">
        <v>113.61</v>
      </c>
      <c r="H20" s="1">
        <f t="shared" si="0"/>
        <v>36.355200000000004</v>
      </c>
      <c r="I20">
        <v>3</v>
      </c>
      <c r="N20" t="s">
        <v>54</v>
      </c>
    </row>
    <row r="21" spans="2:16" ht="14.25" x14ac:dyDescent="0.25">
      <c r="B21" t="s">
        <v>1337</v>
      </c>
      <c r="C21" t="s">
        <v>1314</v>
      </c>
      <c r="D21" t="s">
        <v>1536</v>
      </c>
      <c r="F21">
        <v>89.08</v>
      </c>
      <c r="H21" s="1">
        <f t="shared" si="0"/>
        <v>28.505600000000001</v>
      </c>
      <c r="I21">
        <v>6</v>
      </c>
      <c r="N21" t="s">
        <v>59</v>
      </c>
    </row>
    <row r="24" spans="2:16" x14ac:dyDescent="0.25">
      <c r="B24" t="s">
        <v>1338</v>
      </c>
    </row>
    <row r="25" spans="2:16" ht="14.25" x14ac:dyDescent="0.25">
      <c r="B25" t="s">
        <v>1537</v>
      </c>
    </row>
    <row r="26" spans="2:16" ht="14.25" x14ac:dyDescent="0.25">
      <c r="B26" t="s">
        <v>1320</v>
      </c>
    </row>
    <row r="27" spans="2:16" ht="14.25" x14ac:dyDescent="0.25">
      <c r="B27" t="s">
        <v>1257</v>
      </c>
    </row>
    <row r="28" spans="2:16" ht="14.25" x14ac:dyDescent="0.25">
      <c r="B28" t="s">
        <v>1339</v>
      </c>
      <c r="C28" t="s">
        <v>61</v>
      </c>
      <c r="D28" t="s">
        <v>1321</v>
      </c>
      <c r="F28" t="s">
        <v>1340</v>
      </c>
      <c r="N28" t="s">
        <v>1323</v>
      </c>
      <c r="O28" t="s">
        <v>1341</v>
      </c>
    </row>
    <row r="29" spans="2:16" ht="14.25" x14ac:dyDescent="0.25">
      <c r="B29" t="s">
        <v>1342</v>
      </c>
      <c r="C29" t="s">
        <v>77</v>
      </c>
      <c r="D29" t="s">
        <v>77</v>
      </c>
      <c r="F29" t="s">
        <v>1343</v>
      </c>
      <c r="G29" t="s">
        <v>0</v>
      </c>
      <c r="H29" t="s">
        <v>1344</v>
      </c>
      <c r="I29" t="s">
        <v>0</v>
      </c>
      <c r="N29" t="s">
        <v>752</v>
      </c>
      <c r="O29" t="s">
        <v>1345</v>
      </c>
    </row>
    <row r="30" spans="2:16" ht="14.25" x14ac:dyDescent="0.25">
      <c r="B30" t="s">
        <v>64</v>
      </c>
      <c r="C30" t="s">
        <v>1324</v>
      </c>
      <c r="D30" t="s">
        <v>1324</v>
      </c>
      <c r="F30" t="s">
        <v>1346</v>
      </c>
      <c r="G30">
        <v>0.28999999999999998</v>
      </c>
      <c r="H30" t="s">
        <v>1346</v>
      </c>
      <c r="I30">
        <v>0.28999999999999998</v>
      </c>
      <c r="O30" t="s">
        <v>1347</v>
      </c>
      <c r="P30" t="s">
        <v>1348</v>
      </c>
    </row>
    <row r="31" spans="2:16" ht="14.25" x14ac:dyDescent="0.25">
      <c r="B31" t="s">
        <v>1349</v>
      </c>
      <c r="J31" s="14">
        <v>0.35</v>
      </c>
      <c r="K31" s="14">
        <v>0.3</v>
      </c>
      <c r="L31" s="14">
        <v>0.25</v>
      </c>
      <c r="M31" s="14">
        <v>0.2</v>
      </c>
    </row>
    <row r="32" spans="2:16" ht="14.25" x14ac:dyDescent="0.25">
      <c r="B32">
        <v>242449</v>
      </c>
      <c r="C32" t="s">
        <v>202</v>
      </c>
      <c r="D32" t="s">
        <v>1529</v>
      </c>
      <c r="F32">
        <v>164.53</v>
      </c>
      <c r="G32" s="1">
        <f>F32*$G$30</f>
        <v>47.713699999999996</v>
      </c>
      <c r="H32">
        <v>170.7</v>
      </c>
      <c r="I32" s="9">
        <f>H32*$I$30</f>
        <v>49.502999999999993</v>
      </c>
      <c r="J32" s="3">
        <f t="shared" ref="J32:J39" si="1">(I32/0.65)+0.3</f>
        <v>76.45846153846152</v>
      </c>
      <c r="K32" s="5">
        <f t="shared" ref="K32" si="2">(I32/0.7)+0.3</f>
        <v>71.01857142857142</v>
      </c>
      <c r="L32" s="7">
        <f t="shared" ref="L32" si="3">(I32/0.75)+0.3</f>
        <v>66.303999999999988</v>
      </c>
      <c r="M32" s="15">
        <f>(I32/0.8)+0.3</f>
        <v>62.178749999999987</v>
      </c>
      <c r="N32">
        <v>3</v>
      </c>
      <c r="O32">
        <v>14</v>
      </c>
      <c r="P32">
        <v>15</v>
      </c>
    </row>
    <row r="33" spans="2:16" x14ac:dyDescent="0.25">
      <c r="B33" t="s">
        <v>1350</v>
      </c>
      <c r="C33" t="s">
        <v>199</v>
      </c>
      <c r="D33" t="s">
        <v>1538</v>
      </c>
      <c r="F33">
        <v>186.13</v>
      </c>
      <c r="G33" s="1">
        <f t="shared" ref="G33:G39" si="4">F33*$G$30</f>
        <v>53.977699999999992</v>
      </c>
      <c r="H33">
        <v>192.25</v>
      </c>
      <c r="I33" s="9">
        <f t="shared" ref="I33:I39" si="5">H33*$I$30</f>
        <v>55.752499999999998</v>
      </c>
      <c r="J33" s="3">
        <f t="shared" si="1"/>
        <v>86.073076923076911</v>
      </c>
      <c r="K33" s="5">
        <f t="shared" ref="K33:K39" si="6">(I33/0.7)+0.3</f>
        <v>79.946428571428569</v>
      </c>
      <c r="L33" s="7">
        <f t="shared" ref="L33:L39" si="7">(I33/0.75)+0.3</f>
        <v>74.636666666666656</v>
      </c>
      <c r="M33" s="15">
        <f t="shared" ref="M33:M39" si="8">(I33/0.8)+0.3</f>
        <v>69.990624999999994</v>
      </c>
      <c r="N33">
        <v>3</v>
      </c>
      <c r="O33">
        <v>12</v>
      </c>
      <c r="P33">
        <v>13</v>
      </c>
    </row>
    <row r="34" spans="2:16" ht="14.25" x14ac:dyDescent="0.25">
      <c r="B34">
        <v>202449</v>
      </c>
      <c r="C34" t="s">
        <v>195</v>
      </c>
      <c r="D34" t="s">
        <v>1531</v>
      </c>
      <c r="F34">
        <v>182.48</v>
      </c>
      <c r="G34" s="1">
        <f t="shared" si="4"/>
        <v>52.919199999999996</v>
      </c>
      <c r="H34">
        <v>188.6</v>
      </c>
      <c r="I34" s="9">
        <f t="shared" si="5"/>
        <v>54.693999999999996</v>
      </c>
      <c r="J34" s="3">
        <f t="shared" si="1"/>
        <v>84.444615384615375</v>
      </c>
      <c r="K34" s="5">
        <f t="shared" si="6"/>
        <v>78.434285714285707</v>
      </c>
      <c r="L34" s="7">
        <f t="shared" si="7"/>
        <v>73.225333333333325</v>
      </c>
      <c r="M34" s="15">
        <f t="shared" si="8"/>
        <v>68.66749999999999</v>
      </c>
      <c r="N34">
        <v>3</v>
      </c>
      <c r="O34">
        <v>11</v>
      </c>
      <c r="P34">
        <v>13</v>
      </c>
    </row>
    <row r="35" spans="2:16" ht="14.25" x14ac:dyDescent="0.25">
      <c r="B35">
        <v>202049</v>
      </c>
      <c r="C35" t="s">
        <v>192</v>
      </c>
      <c r="D35" t="s">
        <v>1532</v>
      </c>
      <c r="F35">
        <v>140.4</v>
      </c>
      <c r="G35" s="1">
        <f t="shared" si="4"/>
        <v>40.716000000000001</v>
      </c>
      <c r="H35">
        <v>146.5</v>
      </c>
      <c r="I35" s="9">
        <f t="shared" si="5"/>
        <v>42.484999999999999</v>
      </c>
      <c r="J35" s="3">
        <f t="shared" si="1"/>
        <v>65.661538461538456</v>
      </c>
      <c r="K35" s="5">
        <f t="shared" si="6"/>
        <v>60.99285714285714</v>
      </c>
      <c r="L35" s="7">
        <f t="shared" si="7"/>
        <v>56.946666666666665</v>
      </c>
      <c r="M35" s="15">
        <f t="shared" si="8"/>
        <v>53.406249999999993</v>
      </c>
      <c r="N35">
        <v>3</v>
      </c>
      <c r="O35">
        <v>9</v>
      </c>
      <c r="P35">
        <v>11</v>
      </c>
    </row>
    <row r="36" spans="2:16" ht="14.25" x14ac:dyDescent="0.25">
      <c r="B36">
        <v>182449</v>
      </c>
      <c r="C36" t="s">
        <v>189</v>
      </c>
      <c r="D36" t="s">
        <v>1533</v>
      </c>
      <c r="F36">
        <v>185.81</v>
      </c>
      <c r="G36" s="1">
        <f t="shared" si="4"/>
        <v>53.884899999999995</v>
      </c>
      <c r="H36">
        <v>191.92</v>
      </c>
      <c r="I36" s="9">
        <f t="shared" si="5"/>
        <v>55.65679999999999</v>
      </c>
      <c r="J36" s="3">
        <f t="shared" si="1"/>
        <v>85.925846153846138</v>
      </c>
      <c r="K36" s="5">
        <f t="shared" si="6"/>
        <v>79.809714285714279</v>
      </c>
      <c r="L36" s="7">
        <f t="shared" si="7"/>
        <v>74.509066666666655</v>
      </c>
      <c r="M36" s="15">
        <f t="shared" si="8"/>
        <v>69.870999999999981</v>
      </c>
      <c r="N36">
        <v>3</v>
      </c>
      <c r="O36">
        <v>10</v>
      </c>
      <c r="P36">
        <v>12</v>
      </c>
    </row>
    <row r="37" spans="2:16" x14ac:dyDescent="0.25">
      <c r="B37" t="s">
        <v>1351</v>
      </c>
      <c r="C37" t="s">
        <v>186</v>
      </c>
      <c r="D37" t="s">
        <v>1539</v>
      </c>
      <c r="F37">
        <v>167.67</v>
      </c>
      <c r="G37" s="1">
        <f t="shared" si="4"/>
        <v>48.624299999999991</v>
      </c>
      <c r="H37">
        <v>173.8</v>
      </c>
      <c r="I37" s="9">
        <f t="shared" si="5"/>
        <v>50.402000000000001</v>
      </c>
      <c r="J37" s="3">
        <f t="shared" si="1"/>
        <v>77.841538461538462</v>
      </c>
      <c r="K37" s="5">
        <f t="shared" si="6"/>
        <v>72.30285714285715</v>
      </c>
      <c r="L37" s="7">
        <f t="shared" si="7"/>
        <v>67.50266666666667</v>
      </c>
      <c r="M37" s="15">
        <f t="shared" si="8"/>
        <v>63.302499999999995</v>
      </c>
      <c r="N37">
        <v>3</v>
      </c>
      <c r="O37">
        <v>9</v>
      </c>
      <c r="P37">
        <v>11</v>
      </c>
    </row>
    <row r="38" spans="2:16" ht="14.25" x14ac:dyDescent="0.25">
      <c r="B38">
        <v>162049</v>
      </c>
      <c r="C38" t="s">
        <v>178</v>
      </c>
      <c r="D38" t="s">
        <v>1535</v>
      </c>
      <c r="F38">
        <v>140.4</v>
      </c>
      <c r="G38" s="1">
        <f t="shared" si="4"/>
        <v>40.716000000000001</v>
      </c>
      <c r="H38">
        <v>146.5</v>
      </c>
      <c r="I38" s="9">
        <f t="shared" si="5"/>
        <v>42.484999999999999</v>
      </c>
      <c r="J38" s="3">
        <f t="shared" si="1"/>
        <v>65.661538461538456</v>
      </c>
      <c r="K38" s="5">
        <f t="shared" si="6"/>
        <v>60.99285714285714</v>
      </c>
      <c r="L38" s="7">
        <f t="shared" si="7"/>
        <v>56.946666666666665</v>
      </c>
      <c r="M38" s="15">
        <f t="shared" si="8"/>
        <v>53.406249999999993</v>
      </c>
      <c r="N38">
        <v>3</v>
      </c>
      <c r="O38">
        <v>8</v>
      </c>
      <c r="P38">
        <v>9</v>
      </c>
    </row>
    <row r="39" spans="2:16" ht="14.25" x14ac:dyDescent="0.25">
      <c r="B39">
        <v>122449</v>
      </c>
      <c r="C39" t="s">
        <v>174</v>
      </c>
      <c r="D39" t="s">
        <v>1536</v>
      </c>
      <c r="F39">
        <v>129.99</v>
      </c>
      <c r="G39" s="1">
        <f t="shared" si="4"/>
        <v>37.697099999999999</v>
      </c>
      <c r="H39">
        <v>136.09</v>
      </c>
      <c r="I39" s="9">
        <f t="shared" si="5"/>
        <v>39.466099999999997</v>
      </c>
      <c r="J39" s="3">
        <f t="shared" si="1"/>
        <v>61.017076923076914</v>
      </c>
      <c r="K39" s="5">
        <f t="shared" si="6"/>
        <v>56.680142857142854</v>
      </c>
      <c r="L39" s="7">
        <f t="shared" si="7"/>
        <v>52.92146666666666</v>
      </c>
      <c r="M39" s="15">
        <f t="shared" si="8"/>
        <v>49.63262499999999</v>
      </c>
      <c r="N39">
        <v>6</v>
      </c>
      <c r="O39">
        <v>14</v>
      </c>
      <c r="P39">
        <v>15</v>
      </c>
    </row>
    <row r="40" spans="2:16" ht="14.25" x14ac:dyDescent="0.25">
      <c r="B40" t="s">
        <v>1352</v>
      </c>
    </row>
    <row r="41" spans="2:16" ht="14.25" x14ac:dyDescent="0.25">
      <c r="B41" t="s">
        <v>1353</v>
      </c>
    </row>
    <row r="42" spans="2:16" ht="14.25" x14ac:dyDescent="0.25">
      <c r="B42" t="s">
        <v>1354</v>
      </c>
    </row>
    <row r="43" spans="2:16" ht="14.25" x14ac:dyDescent="0.25">
      <c r="B43" t="s">
        <v>1355</v>
      </c>
    </row>
    <row r="44" spans="2:16" ht="14.25" x14ac:dyDescent="0.25">
      <c r="B44" t="s">
        <v>1356</v>
      </c>
    </row>
    <row r="46" spans="2:16" ht="14.25" x14ac:dyDescent="0.25">
      <c r="B46" t="s">
        <v>1357</v>
      </c>
      <c r="C46" t="s">
        <v>1212</v>
      </c>
      <c r="D46" t="s">
        <v>1211</v>
      </c>
      <c r="F46" t="s">
        <v>1358</v>
      </c>
    </row>
    <row r="47" spans="2:16" ht="14.25" x14ac:dyDescent="0.25">
      <c r="B47" t="s">
        <v>1359</v>
      </c>
      <c r="C47" t="s">
        <v>1215</v>
      </c>
      <c r="D47" t="s">
        <v>1</v>
      </c>
      <c r="F47" t="s">
        <v>1360</v>
      </c>
    </row>
    <row r="48" spans="2:16" x14ac:dyDescent="0.25">
      <c r="B48" t="s">
        <v>1361</v>
      </c>
      <c r="C48" t="s">
        <v>1362</v>
      </c>
      <c r="D48" t="s">
        <v>1363</v>
      </c>
      <c r="F48" t="s">
        <v>1364</v>
      </c>
    </row>
    <row r="49" spans="3:6" x14ac:dyDescent="0.25">
      <c r="D49" t="s">
        <v>1365</v>
      </c>
      <c r="F49" t="s">
        <v>1222</v>
      </c>
    </row>
    <row r="50" spans="3:6" x14ac:dyDescent="0.25">
      <c r="C50" t="s">
        <v>1366</v>
      </c>
      <c r="D50" t="s">
        <v>1367</v>
      </c>
      <c r="F50" t="s">
        <v>1368</v>
      </c>
    </row>
    <row r="51" spans="3:6" x14ac:dyDescent="0.25">
      <c r="F51" t="s">
        <v>1369</v>
      </c>
    </row>
    <row r="52" spans="3:6" x14ac:dyDescent="0.25">
      <c r="F52" t="s">
        <v>1370</v>
      </c>
    </row>
    <row r="53" spans="3:6" x14ac:dyDescent="0.25">
      <c r="F53" t="s">
        <v>1371</v>
      </c>
    </row>
    <row r="54" spans="3:6" x14ac:dyDescent="0.25">
      <c r="F54" t="s">
        <v>1372</v>
      </c>
    </row>
    <row r="55" spans="3:6" x14ac:dyDescent="0.25">
      <c r="F55" t="s">
        <v>1373</v>
      </c>
    </row>
    <row r="56" spans="3:6" x14ac:dyDescent="0.25">
      <c r="F56" t="s">
        <v>1374</v>
      </c>
    </row>
    <row r="57" spans="3:6" x14ac:dyDescent="0.25">
      <c r="F57" t="s">
        <v>1375</v>
      </c>
    </row>
    <row r="58" spans="3:6" x14ac:dyDescent="0.25">
      <c r="F58" t="s">
        <v>1376</v>
      </c>
    </row>
    <row r="59" spans="3:6" x14ac:dyDescent="0.25">
      <c r="F59" t="s">
        <v>1377</v>
      </c>
    </row>
    <row r="76" spans="14:15" x14ac:dyDescent="0.25">
      <c r="N76" s="1">
        <v>48413.19</v>
      </c>
      <c r="O76" s="1">
        <v>12103.297500000001</v>
      </c>
    </row>
    <row r="77" spans="14:15" x14ac:dyDescent="0.25">
      <c r="N77" s="20">
        <f>N76-O76</f>
        <v>36309.892500000002</v>
      </c>
      <c r="O77" s="1">
        <v>12103.297500000001</v>
      </c>
    </row>
    <row r="78" spans="14:15" x14ac:dyDescent="0.25">
      <c r="N78" s="20">
        <f t="shared" ref="N78:N79" si="9">N77-O77</f>
        <v>24206.595000000001</v>
      </c>
      <c r="O78" s="1">
        <v>12103.297500000001</v>
      </c>
    </row>
    <row r="79" spans="14:15" x14ac:dyDescent="0.25">
      <c r="N79" s="20">
        <f t="shared" si="9"/>
        <v>12103.297500000001</v>
      </c>
      <c r="O79" s="1">
        <v>12103.297500000001</v>
      </c>
    </row>
    <row r="83" spans="14:15" x14ac:dyDescent="0.25">
      <c r="N83" s="1">
        <v>36885.85</v>
      </c>
      <c r="O83" s="1">
        <v>9221.4624999999996</v>
      </c>
    </row>
    <row r="84" spans="14:15" x14ac:dyDescent="0.25">
      <c r="N84" s="20">
        <f>N83-O83</f>
        <v>27664.387499999997</v>
      </c>
      <c r="O84" s="1">
        <v>9221.4624999999996</v>
      </c>
    </row>
    <row r="85" spans="14:15" x14ac:dyDescent="0.25">
      <c r="N85" s="20">
        <f t="shared" ref="N85:N86" si="10">N84-O84</f>
        <v>18442.924999999996</v>
      </c>
      <c r="O85" s="1">
        <v>9221.4624999999996</v>
      </c>
    </row>
    <row r="86" spans="14:15" x14ac:dyDescent="0.25">
      <c r="N86" s="20">
        <f t="shared" si="10"/>
        <v>9221.462499999996</v>
      </c>
      <c r="O86" s="1">
        <v>9221.4624999999996</v>
      </c>
    </row>
    <row r="89" spans="14:15" x14ac:dyDescent="0.25">
      <c r="N89" s="1">
        <v>13798.51</v>
      </c>
      <c r="O89" s="1">
        <v>3449.6275000000001</v>
      </c>
    </row>
    <row r="90" spans="14:15" x14ac:dyDescent="0.25">
      <c r="N90" s="20">
        <f>N89-O89</f>
        <v>10348.8825</v>
      </c>
      <c r="O90" s="1">
        <v>3449.6275000000001</v>
      </c>
    </row>
    <row r="91" spans="14:15" x14ac:dyDescent="0.25">
      <c r="N91" s="20">
        <f t="shared" ref="N91:N92" si="11">N90-O90</f>
        <v>6899.2549999999992</v>
      </c>
      <c r="O91" s="1">
        <v>3449.6275000000001</v>
      </c>
    </row>
    <row r="92" spans="14:15" x14ac:dyDescent="0.25">
      <c r="N92" s="20">
        <f t="shared" si="11"/>
        <v>3449.6274999999991</v>
      </c>
      <c r="O92" s="1">
        <v>3449.6275000000001</v>
      </c>
    </row>
    <row r="94" spans="14:15" x14ac:dyDescent="0.25">
      <c r="N94" s="1">
        <v>11939.98</v>
      </c>
      <c r="O94" s="1">
        <v>2984.9949999999999</v>
      </c>
    </row>
    <row r="95" spans="14:15" x14ac:dyDescent="0.25">
      <c r="N95" s="20">
        <f>N94-O94</f>
        <v>8954.9850000000006</v>
      </c>
      <c r="O95" s="1">
        <v>2984.9949999999999</v>
      </c>
    </row>
    <row r="96" spans="14:15" x14ac:dyDescent="0.25">
      <c r="N96" s="20">
        <f t="shared" ref="N96:N97" si="12">N95-O95</f>
        <v>5969.9900000000007</v>
      </c>
      <c r="O96" s="1">
        <v>2984.9949999999999</v>
      </c>
    </row>
    <row r="97" spans="3:15" x14ac:dyDescent="0.25">
      <c r="N97" s="20">
        <f t="shared" si="12"/>
        <v>2984.9950000000008</v>
      </c>
      <c r="O97" s="1">
        <v>2984.9949999999999</v>
      </c>
    </row>
    <row r="100" spans="3:15" x14ac:dyDescent="0.25">
      <c r="N100" s="1">
        <v>17697.5</v>
      </c>
      <c r="O100" s="1">
        <v>4424.375</v>
      </c>
    </row>
    <row r="101" spans="3:15" x14ac:dyDescent="0.25">
      <c r="N101" s="20">
        <f>N100-O100</f>
        <v>13273.125</v>
      </c>
      <c r="O101" s="1">
        <v>4424.375</v>
      </c>
    </row>
    <row r="102" spans="3:15" x14ac:dyDescent="0.25">
      <c r="C102" s="52" t="s">
        <v>1801</v>
      </c>
      <c r="N102" s="20">
        <f t="shared" ref="N102:N103" si="13">N101-O101</f>
        <v>8848.75</v>
      </c>
      <c r="O102" s="1">
        <v>4424.375</v>
      </c>
    </row>
    <row r="103" spans="3:15" x14ac:dyDescent="0.25">
      <c r="C103" s="52" t="s">
        <v>1802</v>
      </c>
      <c r="N103" s="20">
        <f t="shared" si="13"/>
        <v>4424.375</v>
      </c>
      <c r="O103" s="1">
        <v>4424.375</v>
      </c>
    </row>
    <row r="104" spans="3:15" x14ac:dyDescent="0.25">
      <c r="C104" s="52" t="s">
        <v>1803</v>
      </c>
    </row>
    <row r="105" spans="3:15" x14ac:dyDescent="0.25">
      <c r="C105" s="52" t="s">
        <v>1804</v>
      </c>
      <c r="N105" s="1">
        <v>14415.47</v>
      </c>
      <c r="O105" s="1">
        <f>N105/4</f>
        <v>3603.8674999999998</v>
      </c>
    </row>
    <row r="106" spans="3:15" x14ac:dyDescent="0.25">
      <c r="C106" s="52" t="s">
        <v>1805</v>
      </c>
      <c r="N106" s="1">
        <f>N105-O105</f>
        <v>10811.602499999999</v>
      </c>
      <c r="O106" s="1">
        <v>3603.8674999999998</v>
      </c>
    </row>
    <row r="107" spans="3:15" x14ac:dyDescent="0.25">
      <c r="C107" s="52" t="s">
        <v>1806</v>
      </c>
      <c r="N107" s="1">
        <f t="shared" ref="N107:N108" si="14">N106-O106</f>
        <v>7207.7349999999988</v>
      </c>
      <c r="O107" s="1">
        <v>3603.8674999999998</v>
      </c>
    </row>
    <row r="108" spans="3:15" x14ac:dyDescent="0.25">
      <c r="C108" s="52" t="s">
        <v>1807</v>
      </c>
      <c r="N108" s="1">
        <f t="shared" si="14"/>
        <v>3603.8674999999989</v>
      </c>
      <c r="O108" s="1">
        <v>3603.8674999999998</v>
      </c>
    </row>
    <row r="109" spans="3:15" x14ac:dyDescent="0.25">
      <c r="C109" s="52" t="s">
        <v>1808</v>
      </c>
    </row>
    <row r="110" spans="3:15" x14ac:dyDescent="0.25">
      <c r="C110" s="52" t="s">
        <v>1809</v>
      </c>
      <c r="N110" s="1">
        <v>48766.21</v>
      </c>
      <c r="O110" s="1">
        <v>12191.5525</v>
      </c>
    </row>
    <row r="111" spans="3:15" x14ac:dyDescent="0.25">
      <c r="C111" s="52" t="s">
        <v>1810</v>
      </c>
      <c r="N111" s="1">
        <f>N110-O110</f>
        <v>36574.657500000001</v>
      </c>
      <c r="O111" s="1">
        <v>12191.5525</v>
      </c>
    </row>
    <row r="112" spans="3:15" x14ac:dyDescent="0.25">
      <c r="C112" s="52" t="s">
        <v>1811</v>
      </c>
      <c r="N112" s="1">
        <f t="shared" ref="N112:N113" si="15">N111-O111</f>
        <v>24383.105000000003</v>
      </c>
      <c r="O112" s="1">
        <v>12191.5525</v>
      </c>
    </row>
    <row r="113" spans="3:17" x14ac:dyDescent="0.25">
      <c r="C113" s="52" t="s">
        <v>1812</v>
      </c>
      <c r="N113" s="1">
        <f t="shared" si="15"/>
        <v>12191.552500000003</v>
      </c>
      <c r="O113" s="1">
        <v>12191.5525</v>
      </c>
    </row>
    <row r="114" spans="3:17" x14ac:dyDescent="0.25">
      <c r="C114" s="52" t="s">
        <v>1813</v>
      </c>
      <c r="P114" t="s">
        <v>1847</v>
      </c>
    </row>
    <row r="115" spans="3:17" x14ac:dyDescent="0.25">
      <c r="C115" s="52" t="s">
        <v>1814</v>
      </c>
      <c r="P115" s="1">
        <v>35974.86</v>
      </c>
      <c r="Q115" s="20">
        <v>8993.7150000000001</v>
      </c>
    </row>
    <row r="116" spans="3:17" x14ac:dyDescent="0.25">
      <c r="C116" s="52" t="s">
        <v>1815</v>
      </c>
      <c r="P116" s="20">
        <f>P115-Q115</f>
        <v>26981.145</v>
      </c>
      <c r="Q116" s="20">
        <v>8993.7150000000001</v>
      </c>
    </row>
    <row r="117" spans="3:17" x14ac:dyDescent="0.25">
      <c r="C117" s="52" t="s">
        <v>1816</v>
      </c>
      <c r="P117" s="20">
        <f>P116-Q116</f>
        <v>17987.43</v>
      </c>
      <c r="Q117" s="20">
        <v>8993.7150000000001</v>
      </c>
    </row>
    <row r="118" spans="3:17" x14ac:dyDescent="0.25">
      <c r="C118" s="52" t="s">
        <v>1817</v>
      </c>
      <c r="K118" t="s">
        <v>252</v>
      </c>
      <c r="M118">
        <v>672</v>
      </c>
      <c r="P118" s="20">
        <f>P117-Q117</f>
        <v>8993.7150000000001</v>
      </c>
      <c r="Q118" s="20">
        <v>8993.7150000000001</v>
      </c>
    </row>
    <row r="119" spans="3:17" x14ac:dyDescent="0.25">
      <c r="C119" s="52" t="s">
        <v>1818</v>
      </c>
      <c r="K119" t="s">
        <v>220</v>
      </c>
      <c r="M119">
        <v>76</v>
      </c>
      <c r="P119" t="s">
        <v>4800</v>
      </c>
    </row>
    <row r="120" spans="3:17" x14ac:dyDescent="0.25">
      <c r="C120" s="52" t="s">
        <v>1819</v>
      </c>
      <c r="K120" t="s">
        <v>2854</v>
      </c>
      <c r="M120">
        <v>107</v>
      </c>
      <c r="P120" s="1">
        <v>43880</v>
      </c>
      <c r="Q120" s="1">
        <v>10970</v>
      </c>
    </row>
    <row r="121" spans="3:17" x14ac:dyDescent="0.25">
      <c r="C121" s="52" t="s">
        <v>1820</v>
      </c>
      <c r="K121" t="s">
        <v>2848</v>
      </c>
      <c r="M121">
        <v>24</v>
      </c>
      <c r="P121" s="1">
        <f>P120-Q120</f>
        <v>32910</v>
      </c>
      <c r="Q121" s="1">
        <v>10970</v>
      </c>
    </row>
    <row r="122" spans="3:17" x14ac:dyDescent="0.25">
      <c r="C122" s="52" t="s">
        <v>1821</v>
      </c>
      <c r="K122">
        <v>0</v>
      </c>
      <c r="M122">
        <v>0</v>
      </c>
      <c r="P122" s="1">
        <f t="shared" ref="P122:P123" si="16">P121-Q121</f>
        <v>21940</v>
      </c>
      <c r="Q122" s="1">
        <v>10970</v>
      </c>
    </row>
    <row r="123" spans="3:17" x14ac:dyDescent="0.25">
      <c r="C123" s="52" t="s">
        <v>1822</v>
      </c>
      <c r="K123" t="s">
        <v>274</v>
      </c>
      <c r="M123">
        <v>220</v>
      </c>
      <c r="P123" s="1">
        <f t="shared" si="16"/>
        <v>10970</v>
      </c>
      <c r="Q123" s="1">
        <v>10970</v>
      </c>
    </row>
    <row r="124" spans="3:17" x14ac:dyDescent="0.25">
      <c r="C124" s="52" t="s">
        <v>1823</v>
      </c>
      <c r="K124" t="s">
        <v>2836</v>
      </c>
      <c r="M124">
        <v>90</v>
      </c>
    </row>
    <row r="125" spans="3:17" x14ac:dyDescent="0.25">
      <c r="C125" s="52" t="s">
        <v>1824</v>
      </c>
      <c r="K125" t="s">
        <v>230</v>
      </c>
      <c r="M125">
        <v>152</v>
      </c>
      <c r="P125" t="s">
        <v>4801</v>
      </c>
    </row>
    <row r="126" spans="3:17" x14ac:dyDescent="0.25">
      <c r="C126" s="52" t="s">
        <v>1825</v>
      </c>
      <c r="K126" t="s">
        <v>234</v>
      </c>
      <c r="M126">
        <v>56</v>
      </c>
      <c r="P126" s="1">
        <v>78486.53</v>
      </c>
      <c r="Q126" s="1">
        <v>19621.6325</v>
      </c>
    </row>
    <row r="127" spans="3:17" x14ac:dyDescent="0.25">
      <c r="C127" s="52" t="s">
        <v>1826</v>
      </c>
      <c r="K127" t="s">
        <v>244</v>
      </c>
      <c r="M127">
        <v>168</v>
      </c>
      <c r="P127" s="1">
        <f>P126-Q126</f>
        <v>58864.897499999999</v>
      </c>
      <c r="Q127" s="1">
        <v>19621.6325</v>
      </c>
    </row>
    <row r="128" spans="3:17" x14ac:dyDescent="0.25">
      <c r="C128" s="52" t="s">
        <v>1827</v>
      </c>
      <c r="K128" t="s">
        <v>2844</v>
      </c>
      <c r="M128">
        <v>10</v>
      </c>
      <c r="P128" s="1">
        <f t="shared" ref="P128:P129" si="17">P127-Q127</f>
        <v>39243.264999999999</v>
      </c>
      <c r="Q128" s="1">
        <v>19621.6325</v>
      </c>
    </row>
    <row r="129" spans="3:17" x14ac:dyDescent="0.25">
      <c r="C129" s="52" t="s">
        <v>1828</v>
      </c>
      <c r="K129" t="s">
        <v>1911</v>
      </c>
      <c r="M129">
        <v>108</v>
      </c>
      <c r="P129" s="1">
        <f t="shared" si="17"/>
        <v>19621.6325</v>
      </c>
      <c r="Q129" s="1">
        <v>19621.6325</v>
      </c>
    </row>
    <row r="130" spans="3:17" x14ac:dyDescent="0.25">
      <c r="C130" s="52" t="s">
        <v>1829</v>
      </c>
      <c r="K130" t="s">
        <v>2295</v>
      </c>
      <c r="M130">
        <v>684</v>
      </c>
    </row>
    <row r="131" spans="3:17" x14ac:dyDescent="0.25">
      <c r="C131" s="52" t="s">
        <v>1830</v>
      </c>
      <c r="K131" t="s">
        <v>2834</v>
      </c>
      <c r="M131">
        <v>2</v>
      </c>
    </row>
    <row r="132" spans="3:17" x14ac:dyDescent="0.25">
      <c r="C132" s="52" t="s">
        <v>1831</v>
      </c>
      <c r="K132" t="s">
        <v>232</v>
      </c>
      <c r="M132">
        <v>88</v>
      </c>
      <c r="P132" s="1">
        <v>47259.74</v>
      </c>
      <c r="Q132" s="1">
        <v>11814.934999999999</v>
      </c>
    </row>
    <row r="133" spans="3:17" x14ac:dyDescent="0.25">
      <c r="C133" s="52" t="s">
        <v>1832</v>
      </c>
      <c r="K133" t="s">
        <v>248</v>
      </c>
      <c r="M133">
        <v>60</v>
      </c>
      <c r="P133" s="1">
        <f>P132-Q132</f>
        <v>35444.805</v>
      </c>
      <c r="Q133" s="1">
        <v>11814.934999999999</v>
      </c>
    </row>
    <row r="134" spans="3:17" x14ac:dyDescent="0.25">
      <c r="C134" s="52" t="s">
        <v>1833</v>
      </c>
      <c r="K134" t="s">
        <v>246</v>
      </c>
      <c r="M134">
        <v>100</v>
      </c>
      <c r="P134" s="1">
        <f t="shared" ref="P134:P135" si="18">P133-Q133</f>
        <v>23629.870000000003</v>
      </c>
      <c r="Q134" s="1">
        <v>11814.934999999999</v>
      </c>
    </row>
    <row r="135" spans="3:17" x14ac:dyDescent="0.25">
      <c r="C135" s="52" t="s">
        <v>1834</v>
      </c>
      <c r="K135" t="s">
        <v>2852</v>
      </c>
      <c r="M135">
        <v>13</v>
      </c>
      <c r="P135" s="1">
        <f t="shared" si="18"/>
        <v>11814.935000000003</v>
      </c>
      <c r="Q135" s="1">
        <v>11814.934999999999</v>
      </c>
    </row>
    <row r="136" spans="3:17" x14ac:dyDescent="0.25">
      <c r="C136" s="52" t="s">
        <v>1835</v>
      </c>
      <c r="K136" t="s">
        <v>3297</v>
      </c>
      <c r="M136">
        <v>12</v>
      </c>
    </row>
    <row r="137" spans="3:17" x14ac:dyDescent="0.25">
      <c r="C137" s="52" t="s">
        <v>1836</v>
      </c>
      <c r="K137" t="s">
        <v>247</v>
      </c>
      <c r="M137">
        <v>4</v>
      </c>
      <c r="P137" s="1">
        <v>17538.810000000001</v>
      </c>
      <c r="Q137" s="1">
        <v>4384.7025000000003</v>
      </c>
    </row>
    <row r="138" spans="3:17" x14ac:dyDescent="0.25">
      <c r="C138" s="52" t="s">
        <v>1846</v>
      </c>
      <c r="K138" t="s">
        <v>261</v>
      </c>
      <c r="M138">
        <v>4</v>
      </c>
      <c r="P138" s="1">
        <f>P137-Q137</f>
        <v>13154.107500000002</v>
      </c>
      <c r="Q138" s="1">
        <v>4384.7025000000003</v>
      </c>
    </row>
    <row r="139" spans="3:17" x14ac:dyDescent="0.25">
      <c r="C139" s="52" t="s">
        <v>1837</v>
      </c>
      <c r="K139" t="s">
        <v>3264</v>
      </c>
      <c r="M139">
        <v>4</v>
      </c>
      <c r="P139" s="1">
        <f t="shared" ref="P139:P140" si="19">P138-Q138</f>
        <v>8769.4050000000025</v>
      </c>
      <c r="Q139" s="1">
        <v>4384.7025000000003</v>
      </c>
    </row>
    <row r="140" spans="3:17" x14ac:dyDescent="0.25">
      <c r="C140" s="52" t="s">
        <v>1838</v>
      </c>
      <c r="K140" t="s">
        <v>3269</v>
      </c>
      <c r="M140">
        <v>4</v>
      </c>
      <c r="P140" s="1">
        <f t="shared" si="19"/>
        <v>4384.7025000000021</v>
      </c>
      <c r="Q140" s="1">
        <v>4384.7025000000003</v>
      </c>
    </row>
    <row r="141" spans="3:17" x14ac:dyDescent="0.25">
      <c r="C141" s="52" t="s">
        <v>1839</v>
      </c>
      <c r="K141" t="s">
        <v>260</v>
      </c>
      <c r="M141">
        <v>8</v>
      </c>
    </row>
    <row r="142" spans="3:17" x14ac:dyDescent="0.25">
      <c r="C142" s="52" t="s">
        <v>1840</v>
      </c>
      <c r="K142" t="s">
        <v>273</v>
      </c>
      <c r="M142">
        <v>16</v>
      </c>
      <c r="P142" s="1">
        <v>32176.42</v>
      </c>
      <c r="Q142" s="1">
        <v>8044.1049999999996</v>
      </c>
    </row>
    <row r="143" spans="3:17" x14ac:dyDescent="0.25">
      <c r="C143" s="52" t="s">
        <v>1841</v>
      </c>
      <c r="K143" t="s">
        <v>223</v>
      </c>
      <c r="M143">
        <v>0</v>
      </c>
      <c r="P143" s="1">
        <f>P142-Q142</f>
        <v>24132.314999999999</v>
      </c>
      <c r="Q143" s="1">
        <v>8044.1049999999996</v>
      </c>
    </row>
    <row r="144" spans="3:17" x14ac:dyDescent="0.25">
      <c r="C144" s="52" t="s">
        <v>1842</v>
      </c>
      <c r="K144" t="s">
        <v>228</v>
      </c>
      <c r="M144">
        <v>0</v>
      </c>
      <c r="P144" s="1">
        <f t="shared" ref="P144:P145" si="20">P143-Q143</f>
        <v>16088.21</v>
      </c>
      <c r="Q144" s="1">
        <v>8044.1049999999996</v>
      </c>
    </row>
    <row r="145" spans="3:17" x14ac:dyDescent="0.25">
      <c r="C145" s="52" t="s">
        <v>1843</v>
      </c>
      <c r="K145" t="s">
        <v>254</v>
      </c>
      <c r="M145">
        <v>16</v>
      </c>
      <c r="P145" s="1">
        <f t="shared" si="20"/>
        <v>8044.1049999999996</v>
      </c>
      <c r="Q145" s="1">
        <v>8044.1049999999996</v>
      </c>
    </row>
    <row r="146" spans="3:17" x14ac:dyDescent="0.25">
      <c r="C146" s="52" t="s">
        <v>1844</v>
      </c>
      <c r="K146" t="s">
        <v>2397</v>
      </c>
      <c r="M146">
        <v>12</v>
      </c>
    </row>
    <row r="147" spans="3:17" x14ac:dyDescent="0.25">
      <c r="C147" s="52" t="s">
        <v>1845</v>
      </c>
      <c r="K147" t="s">
        <v>4798</v>
      </c>
      <c r="M147">
        <v>24</v>
      </c>
      <c r="P147" s="1">
        <v>46360.02</v>
      </c>
      <c r="Q147" s="1">
        <v>11590.004999999999</v>
      </c>
    </row>
    <row r="148" spans="3:17" x14ac:dyDescent="0.25">
      <c r="C148" s="52"/>
      <c r="K148" t="s">
        <v>2621</v>
      </c>
      <c r="M148">
        <v>2</v>
      </c>
      <c r="P148" s="1">
        <f>P147-Q147</f>
        <v>34770.014999999999</v>
      </c>
      <c r="Q148" s="1">
        <v>11590.004999999999</v>
      </c>
    </row>
    <row r="149" spans="3:17" x14ac:dyDescent="0.25">
      <c r="K149" t="s">
        <v>4799</v>
      </c>
      <c r="M149">
        <v>16</v>
      </c>
      <c r="P149" s="1">
        <f t="shared" ref="P149:P150" si="21">P148-Q148</f>
        <v>23180.010000000002</v>
      </c>
      <c r="Q149" s="1">
        <v>11590.004999999999</v>
      </c>
    </row>
    <row r="150" spans="3:17" x14ac:dyDescent="0.25">
      <c r="K150" t="s">
        <v>225</v>
      </c>
      <c r="M150">
        <v>12</v>
      </c>
      <c r="P150" s="1">
        <f t="shared" si="21"/>
        <v>11590.005000000003</v>
      </c>
      <c r="Q150" s="1">
        <v>11590.004999999999</v>
      </c>
    </row>
    <row r="151" spans="3:17" x14ac:dyDescent="0.25">
      <c r="K151" t="s">
        <v>251</v>
      </c>
      <c r="M151">
        <v>4</v>
      </c>
    </row>
    <row r="152" spans="3:17" x14ac:dyDescent="0.25">
      <c r="P152" s="1">
        <v>36107.599999999999</v>
      </c>
      <c r="Q152" s="1">
        <v>9026.9</v>
      </c>
    </row>
    <row r="153" spans="3:17" x14ac:dyDescent="0.25">
      <c r="P153" s="1">
        <f>P152-Q152</f>
        <v>27080.699999999997</v>
      </c>
      <c r="Q153" s="1">
        <v>9026.9</v>
      </c>
    </row>
    <row r="154" spans="3:17" x14ac:dyDescent="0.25">
      <c r="P154" s="1">
        <f t="shared" ref="P154:P155" si="22">P153-Q153</f>
        <v>18053.799999999996</v>
      </c>
      <c r="Q154" s="1">
        <v>9026.9</v>
      </c>
    </row>
    <row r="155" spans="3:17" x14ac:dyDescent="0.25">
      <c r="P155" s="1">
        <f t="shared" si="22"/>
        <v>9026.899999999996</v>
      </c>
      <c r="Q155" s="1">
        <v>9026.9</v>
      </c>
    </row>
    <row r="157" spans="3:17" x14ac:dyDescent="0.25">
      <c r="P157" s="1">
        <v>13405.06</v>
      </c>
      <c r="Q157" s="1">
        <v>3351.2649999999999</v>
      </c>
    </row>
    <row r="158" spans="3:17" x14ac:dyDescent="0.25">
      <c r="P158" s="1">
        <f>P157-Q157</f>
        <v>10053.795</v>
      </c>
      <c r="Q158" s="1">
        <v>3351.2649999999999</v>
      </c>
    </row>
    <row r="159" spans="3:17" x14ac:dyDescent="0.25">
      <c r="P159" s="1">
        <f t="shared" ref="P159:P160" si="23">P158-Q158</f>
        <v>6702.5300000000007</v>
      </c>
      <c r="Q159" s="1">
        <v>3351.2649999999999</v>
      </c>
    </row>
    <row r="160" spans="3:17" x14ac:dyDescent="0.25">
      <c r="P160" s="1">
        <f t="shared" si="23"/>
        <v>3351.2650000000008</v>
      </c>
      <c r="Q160" s="1">
        <v>3351.2649999999999</v>
      </c>
    </row>
    <row r="162" spans="4:17" ht="15.75" thickBot="1" x14ac:dyDescent="0.3">
      <c r="P162" s="1">
        <v>11289.78</v>
      </c>
      <c r="Q162" s="1">
        <v>2822.4450000000002</v>
      </c>
    </row>
    <row r="163" spans="4:17" ht="18" x14ac:dyDescent="0.25">
      <c r="D163" s="55">
        <v>35974.86</v>
      </c>
      <c r="P163" s="1">
        <f>P162-Q162</f>
        <v>8467.3350000000009</v>
      </c>
      <c r="Q163" s="1">
        <v>2822.4450000000002</v>
      </c>
    </row>
    <row r="164" spans="4:17" ht="15.75" thickBot="1" x14ac:dyDescent="0.3">
      <c r="D164" s="56" t="s">
        <v>4802</v>
      </c>
      <c r="P164" s="1">
        <f t="shared" ref="P164:P165" si="24">P163-Q163</f>
        <v>5644.8900000000012</v>
      </c>
      <c r="Q164" s="1">
        <v>2822.4450000000002</v>
      </c>
    </row>
    <row r="165" spans="4:17" ht="18" x14ac:dyDescent="0.25">
      <c r="D165" s="57">
        <v>43880</v>
      </c>
      <c r="P165" s="1">
        <f t="shared" si="24"/>
        <v>2822.4450000000011</v>
      </c>
      <c r="Q165" s="1">
        <v>2822.4450000000002</v>
      </c>
    </row>
    <row r="166" spans="4:17" ht="15.75" thickBot="1" x14ac:dyDescent="0.3">
      <c r="D166" s="56" t="s">
        <v>4802</v>
      </c>
    </row>
    <row r="167" spans="4:17" ht="18" x14ac:dyDescent="0.25">
      <c r="D167" s="57">
        <v>78486.53</v>
      </c>
      <c r="P167" s="1">
        <v>17564.75</v>
      </c>
      <c r="Q167" s="1">
        <v>4391.1875</v>
      </c>
    </row>
    <row r="168" spans="4:17" ht="15.75" thickBot="1" x14ac:dyDescent="0.3">
      <c r="D168" s="56" t="s">
        <v>4802</v>
      </c>
      <c r="P168" s="1">
        <f>P167-Q167</f>
        <v>13173.5625</v>
      </c>
      <c r="Q168" s="1">
        <v>4391.1875</v>
      </c>
    </row>
    <row r="169" spans="4:17" ht="18" x14ac:dyDescent="0.25">
      <c r="D169" s="57">
        <v>47259.74</v>
      </c>
      <c r="P169" s="1">
        <f t="shared" ref="P169:P170" si="25">P168-Q168</f>
        <v>8782.375</v>
      </c>
      <c r="Q169" s="1">
        <v>4391.1875</v>
      </c>
    </row>
    <row r="170" spans="4:17" ht="15.75" thickBot="1" x14ac:dyDescent="0.3">
      <c r="D170" s="56" t="s">
        <v>4802</v>
      </c>
      <c r="P170" s="1">
        <f t="shared" si="25"/>
        <v>4391.1875</v>
      </c>
      <c r="Q170" s="1">
        <v>4391.1875</v>
      </c>
    </row>
    <row r="171" spans="4:17" ht="18" x14ac:dyDescent="0.25">
      <c r="D171" s="57">
        <v>17538.810000000001</v>
      </c>
    </row>
    <row r="172" spans="4:17" ht="15.75" thickBot="1" x14ac:dyDescent="0.3">
      <c r="D172" s="56" t="s">
        <v>4802</v>
      </c>
      <c r="P172" s="1">
        <v>14186.32</v>
      </c>
      <c r="Q172" s="1">
        <v>3546.58</v>
      </c>
    </row>
    <row r="173" spans="4:17" ht="18" x14ac:dyDescent="0.25">
      <c r="D173" s="57">
        <v>32176.42</v>
      </c>
      <c r="P173" s="1">
        <f>P172-Q172</f>
        <v>10639.74</v>
      </c>
      <c r="Q173" s="1">
        <v>3546.58</v>
      </c>
    </row>
    <row r="174" spans="4:17" ht="15.75" thickBot="1" x14ac:dyDescent="0.3">
      <c r="D174" s="56" t="s">
        <v>4802</v>
      </c>
      <c r="P174" s="1">
        <f t="shared" ref="P174:P175" si="26">P173-Q173</f>
        <v>7093.16</v>
      </c>
      <c r="Q174" s="1">
        <v>3546.58</v>
      </c>
    </row>
    <row r="175" spans="4:17" ht="18" x14ac:dyDescent="0.25">
      <c r="D175" s="57">
        <v>46360.2</v>
      </c>
      <c r="P175" s="1">
        <f t="shared" si="26"/>
        <v>3546.58</v>
      </c>
      <c r="Q175" s="1">
        <v>3546.58</v>
      </c>
    </row>
    <row r="176" spans="4:17" ht="15.75" thickBot="1" x14ac:dyDescent="0.3">
      <c r="D176" s="56" t="s">
        <v>4802</v>
      </c>
    </row>
    <row r="177" spans="4:4" ht="18" x14ac:dyDescent="0.25">
      <c r="D177" s="57">
        <v>36107.599999999999</v>
      </c>
    </row>
    <row r="178" spans="4:4" ht="15.75" thickBot="1" x14ac:dyDescent="0.3">
      <c r="D178" s="56" t="s">
        <v>4802</v>
      </c>
    </row>
    <row r="179" spans="4:4" ht="18" x14ac:dyDescent="0.25">
      <c r="D179" s="57">
        <v>13045.06</v>
      </c>
    </row>
    <row r="180" spans="4:4" ht="15.75" thickBot="1" x14ac:dyDescent="0.3">
      <c r="D180" s="56" t="s">
        <v>4802</v>
      </c>
    </row>
    <row r="181" spans="4:4" ht="18" x14ac:dyDescent="0.25">
      <c r="D181" s="57">
        <v>11289.78</v>
      </c>
    </row>
    <row r="182" spans="4:4" ht="15.75" thickBot="1" x14ac:dyDescent="0.3">
      <c r="D182" s="56" t="s">
        <v>4802</v>
      </c>
    </row>
    <row r="183" spans="4:4" ht="18" x14ac:dyDescent="0.25">
      <c r="D183" s="57">
        <v>17564.75</v>
      </c>
    </row>
    <row r="184" spans="4:4" ht="15.75" thickBot="1" x14ac:dyDescent="0.3">
      <c r="D184" s="56" t="s">
        <v>4802</v>
      </c>
    </row>
    <row r="185" spans="4:4" ht="18.75" thickBot="1" x14ac:dyDescent="0.3">
      <c r="D185" s="74">
        <v>14186.32</v>
      </c>
    </row>
    <row r="186" spans="4:4" ht="15.75" thickBot="1" x14ac:dyDescent="0.3">
      <c r="D186" s="73">
        <f>SUM(D163:D185)</f>
        <v>393870.07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32E6-A9A5-403D-8FDB-44C8AA4BE139}">
  <dimension ref="A1:S115"/>
  <sheetViews>
    <sheetView topLeftCell="A67" workbookViewId="0">
      <selection activeCell="H67" sqref="H67"/>
    </sheetView>
  </sheetViews>
  <sheetFormatPr defaultRowHeight="15" x14ac:dyDescent="0.25"/>
  <cols>
    <col min="7" max="7" width="7" bestFit="1" customWidth="1"/>
    <col min="8" max="8" width="43.42578125" bestFit="1" customWidth="1"/>
    <col min="9" max="9" width="5" bestFit="1" customWidth="1"/>
    <col min="10" max="10" width="5.42578125" bestFit="1" customWidth="1"/>
    <col min="11" max="11" width="5.7109375" bestFit="1" customWidth="1"/>
    <col min="12" max="12" width="12.42578125" bestFit="1" customWidth="1"/>
    <col min="13" max="13" width="8.140625" bestFit="1" customWidth="1"/>
    <col min="14" max="14" width="8.5703125" bestFit="1" customWidth="1"/>
  </cols>
  <sheetData>
    <row r="1" spans="1:19" x14ac:dyDescent="0.25">
      <c r="A1" t="s">
        <v>1678</v>
      </c>
    </row>
    <row r="2" spans="1:19" x14ac:dyDescent="0.25">
      <c r="A2" t="s">
        <v>1679</v>
      </c>
    </row>
    <row r="3" spans="1:19" x14ac:dyDescent="0.25">
      <c r="A3" t="s">
        <v>1680</v>
      </c>
      <c r="G3" s="11" t="s">
        <v>1719</v>
      </c>
      <c r="H3" s="11" t="s">
        <v>1720</v>
      </c>
      <c r="I3" s="11" t="s">
        <v>1387</v>
      </c>
      <c r="J3" s="11" t="s">
        <v>1721</v>
      </c>
      <c r="K3" s="11" t="s">
        <v>1722</v>
      </c>
      <c r="L3" s="11" t="s">
        <v>1723</v>
      </c>
      <c r="M3" s="11" t="s">
        <v>1724</v>
      </c>
      <c r="N3" s="11" t="s">
        <v>0</v>
      </c>
    </row>
    <row r="4" spans="1:19" x14ac:dyDescent="0.25">
      <c r="A4" t="s">
        <v>1681</v>
      </c>
      <c r="G4" s="27">
        <v>1</v>
      </c>
      <c r="H4" s="27"/>
      <c r="I4" s="27"/>
      <c r="J4" s="27"/>
      <c r="K4" s="27"/>
      <c r="L4" s="27"/>
      <c r="M4" s="27"/>
      <c r="N4" s="27"/>
    </row>
    <row r="5" spans="1:19" x14ac:dyDescent="0.25">
      <c r="A5" t="s">
        <v>1682</v>
      </c>
      <c r="G5" s="27"/>
      <c r="H5" s="27" t="s">
        <v>1692</v>
      </c>
      <c r="I5" s="27"/>
      <c r="J5" s="27"/>
      <c r="K5" s="27"/>
      <c r="L5" s="27"/>
      <c r="M5" s="27"/>
      <c r="N5" s="27"/>
    </row>
    <row r="6" spans="1:19" x14ac:dyDescent="0.25">
      <c r="A6" t="s">
        <v>1683</v>
      </c>
      <c r="G6" s="27"/>
      <c r="H6" s="27" t="s">
        <v>1734</v>
      </c>
      <c r="I6" s="27"/>
      <c r="J6" s="27"/>
      <c r="K6" s="27"/>
      <c r="L6" s="27" t="s">
        <v>1725</v>
      </c>
      <c r="M6" s="28">
        <v>0.57899999999999996</v>
      </c>
      <c r="N6" s="27">
        <v>0.42099999999999999</v>
      </c>
      <c r="O6" s="25"/>
      <c r="S6" s="26"/>
    </row>
    <row r="7" spans="1:19" x14ac:dyDescent="0.25">
      <c r="A7" t="s">
        <v>1684</v>
      </c>
      <c r="G7" s="27"/>
      <c r="H7" s="27" t="s">
        <v>1735</v>
      </c>
      <c r="I7" s="27"/>
      <c r="J7" s="27"/>
      <c r="K7" s="27"/>
      <c r="L7" s="27" t="s">
        <v>1725</v>
      </c>
      <c r="M7" s="28">
        <v>0.57899999999999996</v>
      </c>
      <c r="N7" s="27">
        <v>0.42099999999999999</v>
      </c>
      <c r="O7" s="25"/>
    </row>
    <row r="8" spans="1:19" x14ac:dyDescent="0.25">
      <c r="A8" t="s">
        <v>1685</v>
      </c>
      <c r="G8" s="27"/>
      <c r="H8" s="27" t="s">
        <v>1736</v>
      </c>
      <c r="I8" s="27"/>
      <c r="J8" s="27"/>
      <c r="K8" s="27"/>
      <c r="L8" s="27" t="s">
        <v>1726</v>
      </c>
      <c r="M8" s="28">
        <v>0.61199999999999999</v>
      </c>
      <c r="N8" s="27">
        <v>0.38800000000000001</v>
      </c>
      <c r="O8" s="25"/>
      <c r="S8" s="26"/>
    </row>
    <row r="9" spans="1:19" x14ac:dyDescent="0.25">
      <c r="A9" t="s">
        <v>1686</v>
      </c>
      <c r="G9" s="29">
        <v>2</v>
      </c>
      <c r="H9" s="29"/>
      <c r="I9" s="29"/>
      <c r="J9" s="29"/>
      <c r="K9" s="29"/>
      <c r="L9" s="29"/>
      <c r="M9" s="30"/>
      <c r="N9" s="29"/>
      <c r="O9" s="25"/>
      <c r="S9" s="26"/>
    </row>
    <row r="10" spans="1:19" x14ac:dyDescent="0.25">
      <c r="A10" t="s">
        <v>1687</v>
      </c>
      <c r="G10" s="29"/>
      <c r="H10" s="29" t="s">
        <v>1693</v>
      </c>
      <c r="I10" s="29"/>
      <c r="J10" s="29"/>
      <c r="K10" s="29"/>
      <c r="L10" s="29"/>
      <c r="M10" s="30"/>
      <c r="N10" s="29"/>
      <c r="O10" s="25"/>
      <c r="S10" s="26"/>
    </row>
    <row r="11" spans="1:19" x14ac:dyDescent="0.25">
      <c r="A11" t="s">
        <v>1688</v>
      </c>
      <c r="G11" s="29"/>
      <c r="H11" s="29" t="s">
        <v>1737</v>
      </c>
      <c r="I11" s="29"/>
      <c r="J11" s="29"/>
      <c r="K11" s="29"/>
      <c r="L11" s="29" t="s">
        <v>1725</v>
      </c>
      <c r="M11" s="30">
        <v>0.29199999999999998</v>
      </c>
      <c r="N11" s="29">
        <v>0.70799999999999996</v>
      </c>
      <c r="O11" s="25"/>
      <c r="S11" s="26"/>
    </row>
    <row r="12" spans="1:19" x14ac:dyDescent="0.25">
      <c r="A12" t="s">
        <v>1689</v>
      </c>
      <c r="G12" s="29"/>
      <c r="H12" s="29" t="s">
        <v>1738</v>
      </c>
      <c r="I12" s="29"/>
      <c r="J12" s="29"/>
      <c r="K12" s="29"/>
      <c r="L12" s="29" t="s">
        <v>1725</v>
      </c>
      <c r="M12" s="30">
        <v>0.29199999999999998</v>
      </c>
      <c r="N12" s="29">
        <v>0.70799999999999996</v>
      </c>
      <c r="O12" s="25"/>
      <c r="S12" s="26"/>
    </row>
    <row r="13" spans="1:19" x14ac:dyDescent="0.25">
      <c r="A13" t="s">
        <v>1690</v>
      </c>
      <c r="G13" s="29"/>
      <c r="H13" s="29" t="s">
        <v>1739</v>
      </c>
      <c r="I13" s="29"/>
      <c r="J13" s="29"/>
      <c r="K13" s="29"/>
      <c r="L13" s="29" t="s">
        <v>1725</v>
      </c>
      <c r="M13" s="30">
        <v>0.29199999999999998</v>
      </c>
      <c r="N13" s="29">
        <v>0.70799999999999996</v>
      </c>
      <c r="O13" s="25"/>
      <c r="S13" s="26"/>
    </row>
    <row r="14" spans="1:19" x14ac:dyDescent="0.25">
      <c r="A14" t="s">
        <v>1691</v>
      </c>
      <c r="G14" s="29"/>
      <c r="H14" s="29" t="s">
        <v>1740</v>
      </c>
      <c r="I14" s="29"/>
      <c r="J14" s="29"/>
      <c r="K14" s="29"/>
      <c r="L14" s="29" t="s">
        <v>1726</v>
      </c>
      <c r="M14" s="30">
        <v>0.23100000000000001</v>
      </c>
      <c r="N14" s="29">
        <v>0.76900000000000002</v>
      </c>
      <c r="O14" s="25"/>
      <c r="S14" s="26"/>
    </row>
    <row r="15" spans="1:19" x14ac:dyDescent="0.25">
      <c r="G15" s="29"/>
      <c r="H15" s="29" t="s">
        <v>1741</v>
      </c>
      <c r="I15" s="29"/>
      <c r="J15" s="29"/>
      <c r="K15" s="29"/>
      <c r="L15" s="29" t="s">
        <v>1726</v>
      </c>
      <c r="M15" s="30">
        <v>0.28699999999999998</v>
      </c>
      <c r="N15" s="29">
        <v>0.71299999999999997</v>
      </c>
      <c r="O15" s="25"/>
      <c r="S15" s="26"/>
    </row>
    <row r="16" spans="1:19" x14ac:dyDescent="0.25">
      <c r="G16" s="29"/>
      <c r="H16" s="29" t="s">
        <v>1742</v>
      </c>
      <c r="I16" s="29"/>
      <c r="J16" s="29"/>
      <c r="K16" s="29"/>
      <c r="L16" s="29" t="s">
        <v>1726</v>
      </c>
      <c r="M16" s="30">
        <v>0.35499999999999998</v>
      </c>
      <c r="N16" s="29">
        <v>0.64500000000000002</v>
      </c>
      <c r="O16" s="25"/>
      <c r="S16" s="26"/>
    </row>
    <row r="17" spans="7:19" x14ac:dyDescent="0.25">
      <c r="G17" s="29"/>
      <c r="H17" s="29" t="s">
        <v>1743</v>
      </c>
      <c r="I17" s="29"/>
      <c r="J17" s="29"/>
      <c r="K17" s="29"/>
      <c r="L17" s="29" t="s">
        <v>1726</v>
      </c>
      <c r="M17" s="30">
        <v>0.35499999999999998</v>
      </c>
      <c r="N17" s="29">
        <v>0.64500000000000002</v>
      </c>
      <c r="O17" s="25"/>
      <c r="S17" s="26"/>
    </row>
    <row r="18" spans="7:19" x14ac:dyDescent="0.25">
      <c r="G18" s="29"/>
      <c r="H18" s="29" t="s">
        <v>1744</v>
      </c>
      <c r="I18" s="29"/>
      <c r="J18" s="29"/>
      <c r="K18" s="29"/>
      <c r="L18" s="29" t="s">
        <v>1726</v>
      </c>
      <c r="M18" s="30">
        <v>0.24099999999999999</v>
      </c>
      <c r="N18" s="29">
        <v>0.75900000000000001</v>
      </c>
      <c r="O18" s="25"/>
      <c r="S18" s="26"/>
    </row>
    <row r="19" spans="7:19" x14ac:dyDescent="0.25">
      <c r="G19" s="29"/>
      <c r="H19" s="29" t="s">
        <v>1745</v>
      </c>
      <c r="I19" s="29"/>
      <c r="J19" s="29"/>
      <c r="K19" s="29"/>
      <c r="L19" s="29" t="s">
        <v>1726</v>
      </c>
      <c r="M19" s="30">
        <v>7.1999999999999995E-2</v>
      </c>
      <c r="N19" s="29">
        <v>0.92800000000000005</v>
      </c>
      <c r="O19" s="25"/>
      <c r="S19" s="26"/>
    </row>
    <row r="20" spans="7:19" x14ac:dyDescent="0.25">
      <c r="G20" s="21">
        <v>3</v>
      </c>
      <c r="H20" s="21"/>
      <c r="I20" s="21"/>
      <c r="J20" s="21"/>
      <c r="K20" s="21"/>
      <c r="L20" s="21"/>
      <c r="M20" s="31"/>
      <c r="N20" s="21"/>
      <c r="O20" s="25"/>
      <c r="S20" s="26"/>
    </row>
    <row r="21" spans="7:19" x14ac:dyDescent="0.25">
      <c r="G21" s="21"/>
      <c r="H21" s="21" t="s">
        <v>1693</v>
      </c>
      <c r="I21" s="21"/>
      <c r="J21" s="21"/>
      <c r="K21" s="21"/>
      <c r="L21" s="21"/>
      <c r="M21" s="31"/>
      <c r="N21" s="21"/>
      <c r="O21" s="25"/>
      <c r="S21" s="26"/>
    </row>
    <row r="22" spans="7:19" x14ac:dyDescent="0.25">
      <c r="G22" s="21"/>
      <c r="H22" s="21" t="s">
        <v>1746</v>
      </c>
      <c r="I22" s="21"/>
      <c r="J22" s="21"/>
      <c r="K22" s="21"/>
      <c r="L22" s="21" t="s">
        <v>1726</v>
      </c>
      <c r="M22" s="31">
        <v>0.17199999999999999</v>
      </c>
      <c r="N22" s="21">
        <v>0.82799999999999996</v>
      </c>
      <c r="O22" s="25"/>
      <c r="S22" s="26"/>
    </row>
    <row r="23" spans="7:19" x14ac:dyDescent="0.25">
      <c r="G23" s="21"/>
      <c r="H23" s="21" t="s">
        <v>1747</v>
      </c>
      <c r="I23" s="21"/>
      <c r="J23" s="21"/>
      <c r="K23" s="21"/>
      <c r="L23" s="21" t="s">
        <v>1726</v>
      </c>
      <c r="M23" s="31">
        <v>0.22900000000000001</v>
      </c>
      <c r="N23" s="21">
        <v>0.77100000000000002</v>
      </c>
      <c r="O23" s="25"/>
      <c r="S23" s="26"/>
    </row>
    <row r="24" spans="7:19" x14ac:dyDescent="0.25">
      <c r="G24" s="21"/>
      <c r="H24" s="21" t="s">
        <v>1748</v>
      </c>
      <c r="I24" s="21"/>
      <c r="J24" s="21"/>
      <c r="K24" s="21"/>
      <c r="L24" s="21" t="s">
        <v>1726</v>
      </c>
      <c r="M24" s="31">
        <v>0.28499999999999998</v>
      </c>
      <c r="N24" s="21">
        <v>0.71499999999999997</v>
      </c>
      <c r="O24" s="25"/>
      <c r="S24" s="26"/>
    </row>
    <row r="25" spans="7:19" x14ac:dyDescent="0.25">
      <c r="G25" s="23">
        <v>4</v>
      </c>
      <c r="H25" s="23"/>
      <c r="I25" s="23"/>
      <c r="J25" s="23"/>
      <c r="K25" s="23"/>
      <c r="L25" s="23"/>
      <c r="M25" s="32"/>
      <c r="N25" s="23"/>
      <c r="O25" s="25"/>
      <c r="S25" s="26"/>
    </row>
    <row r="26" spans="7:19" x14ac:dyDescent="0.25">
      <c r="G26" s="23"/>
      <c r="H26" s="23" t="s">
        <v>1694</v>
      </c>
      <c r="I26" s="23"/>
      <c r="J26" s="23"/>
      <c r="K26" s="23"/>
      <c r="L26" s="23"/>
      <c r="M26" s="32"/>
      <c r="N26" s="23"/>
      <c r="O26" s="25"/>
      <c r="S26" s="26"/>
    </row>
    <row r="27" spans="7:19" x14ac:dyDescent="0.25">
      <c r="G27" s="23"/>
      <c r="H27" s="23" t="s">
        <v>1749</v>
      </c>
      <c r="I27" s="23"/>
      <c r="J27" s="23"/>
      <c r="K27" s="23"/>
      <c r="L27" s="23" t="s">
        <v>1725</v>
      </c>
      <c r="M27" s="32">
        <v>0.41799999999999998</v>
      </c>
      <c r="N27" s="23">
        <v>0.58199999999999996</v>
      </c>
      <c r="O27" s="25"/>
      <c r="S27" s="26"/>
    </row>
    <row r="28" spans="7:19" x14ac:dyDescent="0.25">
      <c r="G28" s="23"/>
      <c r="H28" s="23" t="s">
        <v>1750</v>
      </c>
      <c r="I28" s="23"/>
      <c r="J28" s="23"/>
      <c r="K28" s="23"/>
      <c r="L28" s="23" t="s">
        <v>1726</v>
      </c>
      <c r="M28" s="32">
        <v>0.41799999999999998</v>
      </c>
      <c r="N28" s="23">
        <v>0.58199999999999996</v>
      </c>
      <c r="O28" s="25"/>
      <c r="S28" s="26"/>
    </row>
    <row r="29" spans="7:19" x14ac:dyDescent="0.25">
      <c r="G29" s="23"/>
      <c r="H29" s="23" t="s">
        <v>1751</v>
      </c>
      <c r="I29" s="23"/>
      <c r="J29" s="23"/>
      <c r="K29" s="23"/>
      <c r="L29" s="23" t="s">
        <v>1726</v>
      </c>
      <c r="M29" s="32">
        <v>0.41799999999999998</v>
      </c>
      <c r="N29" s="23">
        <v>0.58199999999999996</v>
      </c>
      <c r="O29" s="25"/>
      <c r="S29" s="26"/>
    </row>
    <row r="30" spans="7:19" x14ac:dyDescent="0.25">
      <c r="G30" s="33">
        <v>5</v>
      </c>
      <c r="H30" s="33"/>
      <c r="I30" s="33"/>
      <c r="J30" s="33"/>
      <c r="K30" s="33"/>
      <c r="L30" s="33"/>
      <c r="M30" s="34"/>
      <c r="N30" s="33"/>
      <c r="O30" s="25"/>
      <c r="S30" s="26"/>
    </row>
    <row r="31" spans="7:19" x14ac:dyDescent="0.25">
      <c r="G31" s="33"/>
      <c r="H31" s="33" t="s">
        <v>1695</v>
      </c>
      <c r="I31" s="33"/>
      <c r="J31" s="33"/>
      <c r="K31" s="33"/>
      <c r="L31" s="33"/>
      <c r="M31" s="34"/>
      <c r="N31" s="33"/>
      <c r="O31" s="25"/>
      <c r="S31" s="26"/>
    </row>
    <row r="32" spans="7:19" x14ac:dyDescent="0.25">
      <c r="G32" s="33"/>
      <c r="H32" s="33" t="s">
        <v>1752</v>
      </c>
      <c r="I32" s="33"/>
      <c r="J32" s="33"/>
      <c r="K32" s="33"/>
      <c r="L32" s="33" t="s">
        <v>1725</v>
      </c>
      <c r="M32" s="34">
        <v>0.54700000000000004</v>
      </c>
      <c r="N32" s="33">
        <v>0.45300000000000001</v>
      </c>
      <c r="O32" s="25"/>
      <c r="S32" s="26"/>
    </row>
    <row r="33" spans="7:19" x14ac:dyDescent="0.25">
      <c r="G33" s="33"/>
      <c r="H33" s="33" t="s">
        <v>1753</v>
      </c>
      <c r="I33" s="33"/>
      <c r="J33" s="33"/>
      <c r="K33" s="33"/>
      <c r="L33" s="33" t="s">
        <v>1725</v>
      </c>
      <c r="M33" s="34">
        <v>0.38300000000000001</v>
      </c>
      <c r="N33" s="33">
        <v>0.61699999999999999</v>
      </c>
      <c r="O33" s="25"/>
      <c r="S33" s="26"/>
    </row>
    <row r="34" spans="7:19" x14ac:dyDescent="0.25">
      <c r="G34" s="33"/>
      <c r="H34" s="33" t="s">
        <v>1754</v>
      </c>
      <c r="I34" s="33"/>
      <c r="J34" s="33"/>
      <c r="K34" s="33"/>
      <c r="L34" s="33" t="s">
        <v>1725</v>
      </c>
      <c r="M34" s="34">
        <v>0.54700000000000004</v>
      </c>
      <c r="N34" s="33">
        <v>0.45300000000000001</v>
      </c>
      <c r="O34" s="25"/>
      <c r="S34" s="26"/>
    </row>
    <row r="35" spans="7:19" x14ac:dyDescent="0.25">
      <c r="G35" s="35">
        <v>6</v>
      </c>
      <c r="H35" s="35"/>
      <c r="I35" s="35"/>
      <c r="J35" s="35"/>
      <c r="K35" s="35"/>
      <c r="L35" s="35"/>
      <c r="M35" s="36"/>
      <c r="N35" s="35"/>
      <c r="O35" s="25"/>
      <c r="S35" s="26"/>
    </row>
    <row r="36" spans="7:19" x14ac:dyDescent="0.25">
      <c r="G36" s="35"/>
      <c r="H36" s="35" t="s">
        <v>1696</v>
      </c>
      <c r="I36" s="35"/>
      <c r="J36" s="35"/>
      <c r="K36" s="35"/>
      <c r="L36" s="35"/>
      <c r="M36" s="36"/>
      <c r="N36" s="35"/>
      <c r="O36" s="25"/>
      <c r="S36" s="26"/>
    </row>
    <row r="37" spans="7:19" x14ac:dyDescent="0.25">
      <c r="G37" s="35"/>
      <c r="H37" s="35" t="s">
        <v>1755</v>
      </c>
      <c r="I37" s="35"/>
      <c r="J37" s="35"/>
      <c r="K37" s="35"/>
      <c r="L37" s="35" t="s">
        <v>1725</v>
      </c>
      <c r="M37" s="36">
        <v>0.34799999999999998</v>
      </c>
      <c r="N37" s="35">
        <v>0.65200000000000002</v>
      </c>
      <c r="O37" s="25"/>
      <c r="S37" s="26"/>
    </row>
    <row r="38" spans="7:19" x14ac:dyDescent="0.25">
      <c r="G38" s="35"/>
      <c r="H38" s="35" t="s">
        <v>1756</v>
      </c>
      <c r="I38" s="35"/>
      <c r="J38" s="35"/>
      <c r="K38" s="35"/>
      <c r="L38" s="35" t="s">
        <v>1725</v>
      </c>
      <c r="M38" s="36">
        <v>0.6</v>
      </c>
      <c r="N38" s="35">
        <v>0.4</v>
      </c>
      <c r="O38" s="25"/>
      <c r="S38" s="26"/>
    </row>
    <row r="39" spans="7:19" x14ac:dyDescent="0.25">
      <c r="G39" s="35"/>
      <c r="H39" s="35" t="s">
        <v>1757</v>
      </c>
      <c r="I39" s="35"/>
      <c r="J39" s="35"/>
      <c r="K39" s="35"/>
      <c r="L39" s="35" t="s">
        <v>1725</v>
      </c>
      <c r="M39" s="36">
        <v>0.62</v>
      </c>
      <c r="N39" s="35">
        <v>0.38</v>
      </c>
      <c r="O39" s="25"/>
      <c r="S39" s="26"/>
    </row>
    <row r="40" spans="7:19" x14ac:dyDescent="0.25">
      <c r="G40" s="35"/>
      <c r="H40" s="35" t="s">
        <v>1758</v>
      </c>
      <c r="I40" s="35"/>
      <c r="J40" s="35"/>
      <c r="K40" s="35"/>
      <c r="L40" s="35" t="s">
        <v>1725</v>
      </c>
      <c r="M40" s="36">
        <v>0.6</v>
      </c>
      <c r="N40" s="35">
        <v>0.4</v>
      </c>
      <c r="O40" s="25"/>
      <c r="S40" s="26"/>
    </row>
    <row r="41" spans="7:19" x14ac:dyDescent="0.25">
      <c r="G41" s="35"/>
      <c r="H41" s="35" t="s">
        <v>1759</v>
      </c>
      <c r="I41" s="35"/>
      <c r="J41" s="35"/>
      <c r="K41" s="35"/>
      <c r="L41" s="35" t="s">
        <v>1726</v>
      </c>
      <c r="M41" s="36">
        <v>0.55000000000000004</v>
      </c>
      <c r="N41" s="35">
        <v>0.45</v>
      </c>
      <c r="O41" s="25"/>
      <c r="S41" s="26"/>
    </row>
    <row r="42" spans="7:19" x14ac:dyDescent="0.25">
      <c r="G42" s="35"/>
      <c r="H42" s="35" t="s">
        <v>1760</v>
      </c>
      <c r="I42" s="35"/>
      <c r="J42" s="35"/>
      <c r="K42" s="35"/>
      <c r="L42" s="35" t="s">
        <v>1726</v>
      </c>
      <c r="M42" s="36">
        <v>0.55000000000000004</v>
      </c>
      <c r="N42" s="35">
        <v>0.45</v>
      </c>
      <c r="O42" s="25"/>
      <c r="S42" s="26"/>
    </row>
    <row r="43" spans="7:19" x14ac:dyDescent="0.25">
      <c r="G43" s="35"/>
      <c r="H43" s="35" t="s">
        <v>1761</v>
      </c>
      <c r="I43" s="35"/>
      <c r="J43" s="35"/>
      <c r="K43" s="35"/>
      <c r="L43" s="35" t="s">
        <v>1726</v>
      </c>
      <c r="M43" s="36">
        <v>0.55000000000000004</v>
      </c>
      <c r="N43" s="35">
        <v>0.45</v>
      </c>
      <c r="O43" s="25"/>
      <c r="S43" s="26"/>
    </row>
    <row r="44" spans="7:19" x14ac:dyDescent="0.25">
      <c r="G44" s="35"/>
      <c r="H44" s="35" t="s">
        <v>1762</v>
      </c>
      <c r="I44" s="35"/>
      <c r="J44" s="35"/>
      <c r="K44" s="35"/>
      <c r="L44" s="35" t="s">
        <v>1725</v>
      </c>
      <c r="M44" s="36">
        <v>0.66</v>
      </c>
      <c r="N44" s="35">
        <v>0.34</v>
      </c>
      <c r="O44" s="25"/>
      <c r="S44" s="26"/>
    </row>
    <row r="45" spans="7:19" x14ac:dyDescent="0.25">
      <c r="G45" s="35"/>
      <c r="H45" s="35" t="s">
        <v>1763</v>
      </c>
      <c r="I45" s="35"/>
      <c r="J45" s="35"/>
      <c r="K45" s="35"/>
      <c r="L45" s="35" t="s">
        <v>1725</v>
      </c>
      <c r="M45" s="36">
        <v>0.66</v>
      </c>
      <c r="N45" s="35">
        <v>0.34</v>
      </c>
      <c r="O45" s="25"/>
      <c r="S45" s="26"/>
    </row>
    <row r="46" spans="7:19" x14ac:dyDescent="0.25">
      <c r="G46" s="35"/>
      <c r="H46" s="35" t="s">
        <v>1764</v>
      </c>
      <c r="I46" s="35"/>
      <c r="J46" s="35"/>
      <c r="K46" s="35"/>
      <c r="L46" s="35" t="s">
        <v>1725</v>
      </c>
      <c r="M46" s="36">
        <v>0.66</v>
      </c>
      <c r="N46" s="35">
        <v>0.34</v>
      </c>
      <c r="O46" s="25"/>
      <c r="S46" s="26"/>
    </row>
    <row r="47" spans="7:19" x14ac:dyDescent="0.25">
      <c r="G47" s="35"/>
      <c r="H47" s="35" t="s">
        <v>1765</v>
      </c>
      <c r="I47" s="35"/>
      <c r="J47" s="35"/>
      <c r="K47" s="35"/>
      <c r="L47" s="35" t="s">
        <v>1726</v>
      </c>
      <c r="M47" s="36">
        <v>0.55000000000000004</v>
      </c>
      <c r="N47" s="35">
        <v>0.45</v>
      </c>
      <c r="O47" s="25"/>
      <c r="S47" s="26"/>
    </row>
    <row r="48" spans="7:19" x14ac:dyDescent="0.25">
      <c r="G48" s="35"/>
      <c r="H48" s="35" t="s">
        <v>1766</v>
      </c>
      <c r="I48" s="35"/>
      <c r="J48" s="35"/>
      <c r="K48" s="35"/>
      <c r="L48" s="35" t="s">
        <v>1725</v>
      </c>
      <c r="M48" s="36">
        <v>0.66</v>
      </c>
      <c r="N48" s="35">
        <v>0.34</v>
      </c>
      <c r="O48" s="25"/>
      <c r="S48" s="26"/>
    </row>
    <row r="49" spans="7:19" x14ac:dyDescent="0.25">
      <c r="G49" s="35"/>
      <c r="H49" s="35" t="s">
        <v>1767</v>
      </c>
      <c r="I49" s="35"/>
      <c r="J49" s="35"/>
      <c r="K49" s="35"/>
      <c r="L49" s="35" t="s">
        <v>1725</v>
      </c>
      <c r="M49" s="36">
        <v>0.66</v>
      </c>
      <c r="N49" s="35">
        <v>0.34</v>
      </c>
      <c r="O49" s="25"/>
      <c r="S49" s="26"/>
    </row>
    <row r="50" spans="7:19" x14ac:dyDescent="0.25">
      <c r="G50" s="35"/>
      <c r="H50" s="35" t="s">
        <v>1768</v>
      </c>
      <c r="I50" s="35"/>
      <c r="J50" s="35"/>
      <c r="K50" s="35"/>
      <c r="L50" s="35" t="s">
        <v>1725</v>
      </c>
      <c r="M50" s="36">
        <v>0.66</v>
      </c>
      <c r="N50" s="35">
        <v>0.34</v>
      </c>
      <c r="O50" s="25"/>
      <c r="S50" s="26"/>
    </row>
    <row r="51" spans="7:19" x14ac:dyDescent="0.25">
      <c r="G51" s="35"/>
      <c r="H51" s="35" t="s">
        <v>1769</v>
      </c>
      <c r="I51" s="35"/>
      <c r="J51" s="35"/>
      <c r="K51" s="35"/>
      <c r="L51" s="35" t="s">
        <v>1726</v>
      </c>
      <c r="M51" s="36">
        <v>0.48899999999999999</v>
      </c>
      <c r="N51" s="35">
        <v>0.51100000000000001</v>
      </c>
      <c r="O51" s="25"/>
      <c r="S51" s="26"/>
    </row>
    <row r="52" spans="7:19" x14ac:dyDescent="0.25">
      <c r="G52" s="35"/>
      <c r="H52" s="35" t="s">
        <v>1770</v>
      </c>
      <c r="I52" s="35"/>
      <c r="J52" s="35"/>
      <c r="K52" s="35"/>
      <c r="L52" s="35" t="s">
        <v>1726</v>
      </c>
      <c r="M52" s="36">
        <v>0.82</v>
      </c>
      <c r="N52" s="35">
        <v>0.18</v>
      </c>
      <c r="O52" s="25"/>
      <c r="S52" s="26"/>
    </row>
    <row r="53" spans="7:19" x14ac:dyDescent="0.25">
      <c r="G53" s="35"/>
      <c r="H53" s="35" t="s">
        <v>1771</v>
      </c>
      <c r="I53" s="35"/>
      <c r="J53" s="35"/>
      <c r="K53" s="35"/>
      <c r="L53" s="35" t="s">
        <v>1726</v>
      </c>
      <c r="M53" s="36">
        <v>0.82</v>
      </c>
      <c r="N53" s="35">
        <v>0.18</v>
      </c>
      <c r="O53" s="25"/>
      <c r="S53" s="26"/>
    </row>
    <row r="54" spans="7:19" x14ac:dyDescent="0.25">
      <c r="G54" s="35"/>
      <c r="H54" s="35" t="s">
        <v>1772</v>
      </c>
      <c r="I54" s="35"/>
      <c r="J54" s="35"/>
      <c r="K54" s="35"/>
      <c r="L54" s="35" t="s">
        <v>1726</v>
      </c>
      <c r="M54" s="36">
        <v>0.82</v>
      </c>
      <c r="N54" s="35">
        <v>0.18</v>
      </c>
      <c r="O54" s="25"/>
      <c r="S54" s="26"/>
    </row>
    <row r="55" spans="7:19" x14ac:dyDescent="0.25">
      <c r="G55" s="35"/>
      <c r="H55" s="35" t="s">
        <v>1773</v>
      </c>
      <c r="I55" s="35"/>
      <c r="J55" s="35"/>
      <c r="K55" s="35"/>
      <c r="L55" s="35" t="s">
        <v>1726</v>
      </c>
      <c r="M55" s="36">
        <v>0.65</v>
      </c>
      <c r="N55" s="35">
        <v>0.35</v>
      </c>
      <c r="O55" s="25"/>
      <c r="S55" s="26"/>
    </row>
    <row r="56" spans="7:19" x14ac:dyDescent="0.25">
      <c r="G56" s="35"/>
      <c r="H56" s="35"/>
      <c r="I56" s="35"/>
      <c r="J56" s="35"/>
      <c r="K56" s="35"/>
      <c r="L56" s="35"/>
      <c r="M56" s="36"/>
      <c r="N56" s="35"/>
      <c r="O56" s="25"/>
      <c r="S56" s="26"/>
    </row>
    <row r="57" spans="7:19" x14ac:dyDescent="0.25">
      <c r="G57" s="35"/>
      <c r="H57" s="35" t="s">
        <v>1774</v>
      </c>
      <c r="I57" s="35"/>
      <c r="J57" s="35"/>
      <c r="K57" s="35"/>
      <c r="L57" s="35"/>
      <c r="M57" s="36">
        <v>0.54300000000000004</v>
      </c>
      <c r="N57" s="35">
        <v>0.45700000000000002</v>
      </c>
      <c r="O57" s="25"/>
      <c r="S57" s="26"/>
    </row>
    <row r="58" spans="7:19" x14ac:dyDescent="0.25">
      <c r="G58" s="35"/>
      <c r="H58" s="35" t="s">
        <v>1775</v>
      </c>
      <c r="I58" s="35"/>
      <c r="J58" s="35"/>
      <c r="K58" s="35"/>
      <c r="L58" s="35" t="s">
        <v>1725</v>
      </c>
      <c r="M58" s="36">
        <v>0.69</v>
      </c>
      <c r="N58" s="35">
        <v>0.31</v>
      </c>
      <c r="O58" s="25"/>
      <c r="S58" s="26"/>
    </row>
    <row r="59" spans="7:19" x14ac:dyDescent="0.25">
      <c r="G59" s="35"/>
      <c r="H59" s="35" t="s">
        <v>1776</v>
      </c>
      <c r="I59" s="35"/>
      <c r="J59" s="35"/>
      <c r="K59" s="35"/>
      <c r="L59" s="35" t="s">
        <v>1725</v>
      </c>
      <c r="M59" s="36">
        <v>0.43099999999999999</v>
      </c>
      <c r="N59" s="35">
        <v>0.56899999999999995</v>
      </c>
      <c r="O59" s="25"/>
      <c r="S59" s="26"/>
    </row>
    <row r="60" spans="7:19" x14ac:dyDescent="0.25">
      <c r="G60" s="37">
        <v>7</v>
      </c>
      <c r="H60" s="37"/>
      <c r="I60" s="37"/>
      <c r="J60" s="37"/>
      <c r="K60" s="37"/>
      <c r="L60" s="37"/>
      <c r="M60" s="38"/>
      <c r="N60" s="37"/>
      <c r="O60" s="25"/>
      <c r="S60" s="26"/>
    </row>
    <row r="61" spans="7:19" x14ac:dyDescent="0.25">
      <c r="G61" s="37"/>
      <c r="H61" s="37" t="s">
        <v>1697</v>
      </c>
      <c r="I61" s="37"/>
      <c r="J61" s="37"/>
      <c r="K61" s="37"/>
      <c r="L61" s="37"/>
      <c r="M61" s="38"/>
      <c r="N61" s="37"/>
      <c r="O61" s="25"/>
      <c r="S61" s="26"/>
    </row>
    <row r="62" spans="7:19" x14ac:dyDescent="0.25">
      <c r="G62" s="37"/>
      <c r="H62" s="37" t="s">
        <v>1777</v>
      </c>
      <c r="I62" s="37"/>
      <c r="J62" s="37"/>
      <c r="K62" s="37"/>
      <c r="L62" s="37" t="s">
        <v>1726</v>
      </c>
      <c r="M62" s="38">
        <v>0.23100000000000001</v>
      </c>
      <c r="N62" s="37">
        <v>0.76900000000000002</v>
      </c>
      <c r="O62" s="25"/>
      <c r="S62" s="26"/>
    </row>
    <row r="63" spans="7:19" x14ac:dyDescent="0.25">
      <c r="G63" s="37"/>
      <c r="H63" s="37" t="s">
        <v>1778</v>
      </c>
      <c r="I63" s="37"/>
      <c r="J63" s="37"/>
      <c r="K63" s="37"/>
      <c r="L63" s="37" t="s">
        <v>1726</v>
      </c>
      <c r="M63" s="38">
        <v>0.218</v>
      </c>
      <c r="N63" s="37">
        <v>0.78200000000000003</v>
      </c>
      <c r="O63" s="25"/>
      <c r="S63" s="26"/>
    </row>
    <row r="64" spans="7:19" x14ac:dyDescent="0.25">
      <c r="G64" s="37"/>
      <c r="H64" s="37" t="s">
        <v>1779</v>
      </c>
      <c r="I64" s="37"/>
      <c r="J64" s="37"/>
      <c r="K64" s="37"/>
      <c r="L64" s="37" t="s">
        <v>1726</v>
      </c>
      <c r="M64" s="38">
        <v>0.16</v>
      </c>
      <c r="N64" s="37">
        <v>0.84</v>
      </c>
      <c r="O64" s="25"/>
      <c r="S64" s="26"/>
    </row>
    <row r="65" spans="7:19" x14ac:dyDescent="0.25">
      <c r="G65" s="39">
        <v>8</v>
      </c>
      <c r="H65" s="39"/>
      <c r="I65" s="39"/>
      <c r="J65" s="39"/>
      <c r="K65" s="39"/>
      <c r="L65" s="39"/>
      <c r="M65" s="40"/>
      <c r="N65" s="39"/>
      <c r="O65" s="25"/>
      <c r="S65" s="26"/>
    </row>
    <row r="66" spans="7:19" x14ac:dyDescent="0.25">
      <c r="G66" s="39"/>
      <c r="H66" s="39" t="s">
        <v>1698</v>
      </c>
      <c r="I66" s="39"/>
      <c r="J66" s="39"/>
      <c r="K66" s="39"/>
      <c r="L66" s="39"/>
      <c r="M66" s="40"/>
      <c r="N66" s="39"/>
      <c r="O66" s="25"/>
      <c r="S66" s="26"/>
    </row>
    <row r="67" spans="7:19" x14ac:dyDescent="0.25">
      <c r="G67" s="39"/>
      <c r="H67" s="39" t="s">
        <v>1780</v>
      </c>
      <c r="I67" s="39"/>
      <c r="J67" s="39"/>
      <c r="K67" s="39"/>
      <c r="L67" s="39" t="s">
        <v>1726</v>
      </c>
      <c r="M67" s="40">
        <v>0.63600000000000001</v>
      </c>
      <c r="N67" s="39">
        <v>0.36399999999999999</v>
      </c>
      <c r="O67" s="25"/>
      <c r="S67" s="26"/>
    </row>
    <row r="68" spans="7:19" x14ac:dyDescent="0.25">
      <c r="G68" s="39"/>
      <c r="H68" s="39" t="s">
        <v>1781</v>
      </c>
      <c r="I68" s="39"/>
      <c r="J68" s="39"/>
      <c r="K68" s="39"/>
      <c r="L68" s="39" t="s">
        <v>1726</v>
      </c>
      <c r="M68" s="40">
        <v>0.64</v>
      </c>
      <c r="N68" s="39">
        <v>0.36</v>
      </c>
      <c r="O68" s="25"/>
      <c r="S68" s="26"/>
    </row>
    <row r="69" spans="7:19" x14ac:dyDescent="0.25">
      <c r="G69" s="39"/>
      <c r="H69" s="39" t="s">
        <v>1782</v>
      </c>
      <c r="I69" s="39"/>
      <c r="J69" s="39"/>
      <c r="K69" s="39"/>
      <c r="L69" s="39" t="s">
        <v>1726</v>
      </c>
      <c r="M69" s="40">
        <v>0.51700000000000002</v>
      </c>
      <c r="N69" s="39">
        <v>0.48299999999999998</v>
      </c>
      <c r="O69" s="25"/>
      <c r="S69" s="26"/>
    </row>
    <row r="70" spans="7:19" x14ac:dyDescent="0.25">
      <c r="G70" s="41">
        <v>9</v>
      </c>
      <c r="H70" s="41"/>
      <c r="I70" s="41"/>
      <c r="J70" s="41"/>
      <c r="K70" s="41"/>
      <c r="L70" s="41"/>
      <c r="M70" s="42"/>
      <c r="N70" s="41"/>
      <c r="O70" s="25"/>
      <c r="S70" s="26"/>
    </row>
    <row r="71" spans="7:19" x14ac:dyDescent="0.25">
      <c r="G71" s="41"/>
      <c r="H71" s="41" t="s">
        <v>1699</v>
      </c>
      <c r="I71" s="41"/>
      <c r="J71" s="41"/>
      <c r="K71" s="41"/>
      <c r="L71" s="41"/>
      <c r="M71" s="42"/>
      <c r="N71" s="41"/>
      <c r="O71" s="25"/>
      <c r="S71" s="26"/>
    </row>
    <row r="72" spans="7:19" x14ac:dyDescent="0.25">
      <c r="G72" s="41"/>
      <c r="H72" s="41" t="s">
        <v>1783</v>
      </c>
      <c r="I72" s="41"/>
      <c r="J72" s="41"/>
      <c r="K72" s="41"/>
      <c r="L72" s="41" t="s">
        <v>1726</v>
      </c>
      <c r="M72" s="42">
        <v>0.64</v>
      </c>
      <c r="N72" s="41">
        <v>0.36</v>
      </c>
      <c r="O72" s="25"/>
      <c r="S72" s="26"/>
    </row>
    <row r="73" spans="7:19" x14ac:dyDescent="0.25">
      <c r="G73" s="41"/>
      <c r="H73" s="41" t="s">
        <v>1784</v>
      </c>
      <c r="I73" s="41"/>
      <c r="J73" s="41"/>
      <c r="K73" s="41"/>
      <c r="L73" s="41" t="s">
        <v>1726</v>
      </c>
      <c r="M73" s="42">
        <v>0.66</v>
      </c>
      <c r="N73" s="41">
        <v>0.34</v>
      </c>
      <c r="O73" s="25"/>
      <c r="S73" s="26"/>
    </row>
    <row r="74" spans="7:19" x14ac:dyDescent="0.25">
      <c r="G74" s="43">
        <v>10</v>
      </c>
      <c r="H74" s="43"/>
      <c r="I74" s="43"/>
      <c r="J74" s="43"/>
      <c r="K74" s="43"/>
      <c r="L74" s="43"/>
      <c r="M74" s="44"/>
      <c r="N74" s="43"/>
      <c r="O74" s="25"/>
      <c r="S74" s="26"/>
    </row>
    <row r="75" spans="7:19" x14ac:dyDescent="0.25">
      <c r="G75" s="43"/>
      <c r="H75" s="43" t="s">
        <v>1700</v>
      </c>
      <c r="I75" s="43"/>
      <c r="J75" s="43"/>
      <c r="K75" s="43"/>
      <c r="L75" s="43"/>
      <c r="M75" s="44"/>
      <c r="N75" s="43"/>
      <c r="O75" s="25"/>
      <c r="S75" s="26"/>
    </row>
    <row r="76" spans="7:19" x14ac:dyDescent="0.25">
      <c r="G76" s="43"/>
      <c r="H76" s="43" t="s">
        <v>1701</v>
      </c>
      <c r="I76" s="43"/>
      <c r="J76" s="43"/>
      <c r="K76" s="43"/>
      <c r="L76" s="43" t="s">
        <v>1727</v>
      </c>
      <c r="M76" s="44"/>
      <c r="N76" s="43"/>
      <c r="O76" s="25"/>
      <c r="S76" s="26"/>
    </row>
    <row r="77" spans="7:19" x14ac:dyDescent="0.25">
      <c r="G77" s="43"/>
      <c r="H77" s="43" t="s">
        <v>1702</v>
      </c>
      <c r="I77" s="43"/>
      <c r="J77" s="43"/>
      <c r="K77" s="43"/>
      <c r="L77" s="43"/>
      <c r="M77" s="44"/>
      <c r="N77" s="43"/>
      <c r="O77" s="25"/>
      <c r="S77" s="26"/>
    </row>
    <row r="78" spans="7:19" x14ac:dyDescent="0.25">
      <c r="G78" s="43"/>
      <c r="H78" s="43" t="s">
        <v>1703</v>
      </c>
      <c r="I78" s="43"/>
      <c r="J78" s="43"/>
      <c r="K78" s="43"/>
      <c r="L78" s="43"/>
      <c r="M78" s="44"/>
      <c r="N78" s="43"/>
      <c r="O78" s="25"/>
      <c r="S78" s="26"/>
    </row>
    <row r="79" spans="7:19" x14ac:dyDescent="0.25">
      <c r="G79" s="43"/>
      <c r="H79" s="43" t="s">
        <v>1704</v>
      </c>
      <c r="I79" s="43"/>
      <c r="J79" s="43"/>
      <c r="K79" s="43"/>
      <c r="L79" s="43"/>
      <c r="M79" s="44"/>
      <c r="N79" s="43"/>
      <c r="O79" s="25"/>
      <c r="S79" s="26"/>
    </row>
    <row r="80" spans="7:19" x14ac:dyDescent="0.25">
      <c r="G80" s="43"/>
      <c r="H80" s="43" t="s">
        <v>1797</v>
      </c>
      <c r="I80" s="43"/>
      <c r="J80" s="43"/>
      <c r="K80" s="43"/>
      <c r="L80" s="43"/>
      <c r="M80" s="44">
        <v>0.42</v>
      </c>
      <c r="N80" s="43">
        <v>0.57999999999999996</v>
      </c>
      <c r="O80" s="25"/>
      <c r="S80" s="26"/>
    </row>
    <row r="81" spans="7:19" x14ac:dyDescent="0.25">
      <c r="G81" s="43"/>
      <c r="H81" s="43" t="s">
        <v>1701</v>
      </c>
      <c r="I81" s="43"/>
      <c r="J81" s="43"/>
      <c r="K81" s="43"/>
      <c r="L81" s="43" t="s">
        <v>1727</v>
      </c>
      <c r="M81" s="44"/>
      <c r="N81" s="43"/>
      <c r="O81" s="25"/>
      <c r="S81" s="26"/>
    </row>
    <row r="82" spans="7:19" x14ac:dyDescent="0.25">
      <c r="G82" s="43"/>
      <c r="H82" s="43" t="s">
        <v>1702</v>
      </c>
      <c r="I82" s="43"/>
      <c r="J82" s="43"/>
      <c r="K82" s="43"/>
      <c r="L82" s="43"/>
      <c r="M82" s="44"/>
      <c r="N82" s="43"/>
      <c r="O82" s="25"/>
      <c r="S82" s="26"/>
    </row>
    <row r="83" spans="7:19" x14ac:dyDescent="0.25">
      <c r="G83" s="43"/>
      <c r="H83" s="43" t="s">
        <v>1703</v>
      </c>
      <c r="I83" s="43"/>
      <c r="J83" s="43"/>
      <c r="K83" s="43"/>
      <c r="L83" s="43"/>
      <c r="M83" s="44"/>
      <c r="N83" s="43"/>
      <c r="O83" s="25"/>
      <c r="S83" s="26"/>
    </row>
    <row r="84" spans="7:19" x14ac:dyDescent="0.25">
      <c r="G84" s="43"/>
      <c r="H84" s="43" t="s">
        <v>1704</v>
      </c>
      <c r="I84" s="43"/>
      <c r="J84" s="43"/>
      <c r="K84" s="43"/>
      <c r="L84" s="43"/>
      <c r="M84" s="44"/>
      <c r="N84" s="43"/>
      <c r="O84" s="25"/>
      <c r="S84" s="26"/>
    </row>
    <row r="85" spans="7:19" x14ac:dyDescent="0.25">
      <c r="G85" s="43"/>
      <c r="H85" s="43" t="s">
        <v>1797</v>
      </c>
      <c r="I85" s="43"/>
      <c r="J85" s="43"/>
      <c r="K85" s="43"/>
      <c r="L85" s="43"/>
      <c r="M85" s="44">
        <v>0.42</v>
      </c>
      <c r="N85" s="43">
        <v>0.57999999999999996</v>
      </c>
      <c r="O85" s="25"/>
      <c r="S85" s="26"/>
    </row>
    <row r="86" spans="7:19" x14ac:dyDescent="0.25">
      <c r="G86" s="43"/>
      <c r="H86" s="43" t="s">
        <v>1785</v>
      </c>
      <c r="I86" s="43"/>
      <c r="J86" s="43"/>
      <c r="K86" s="43"/>
      <c r="L86" s="43" t="s">
        <v>1726</v>
      </c>
      <c r="M86" s="44">
        <v>0.42</v>
      </c>
      <c r="N86" s="43">
        <v>0.57999999999999996</v>
      </c>
      <c r="O86" s="25"/>
      <c r="S86" s="26"/>
    </row>
    <row r="87" spans="7:19" x14ac:dyDescent="0.25">
      <c r="G87" s="43"/>
      <c r="H87" s="43" t="s">
        <v>1786</v>
      </c>
      <c r="I87" s="43"/>
      <c r="J87" s="43"/>
      <c r="K87" s="43"/>
      <c r="L87" s="43" t="s">
        <v>1726</v>
      </c>
      <c r="M87" s="44">
        <v>0.247</v>
      </c>
      <c r="N87" s="43">
        <v>0.753</v>
      </c>
      <c r="O87" s="25"/>
      <c r="S87" s="26"/>
    </row>
    <row r="88" spans="7:19" x14ac:dyDescent="0.25">
      <c r="G88" s="45">
        <v>11</v>
      </c>
      <c r="H88" s="45"/>
      <c r="I88" s="45"/>
      <c r="J88" s="45"/>
      <c r="K88" s="45"/>
      <c r="L88" s="45"/>
      <c r="M88" s="46"/>
      <c r="N88" s="45"/>
      <c r="O88" s="25"/>
      <c r="S88" s="26"/>
    </row>
    <row r="89" spans="7:19" x14ac:dyDescent="0.25">
      <c r="G89" s="45"/>
      <c r="H89" s="45" t="s">
        <v>1705</v>
      </c>
      <c r="I89" s="45"/>
      <c r="J89" s="45"/>
      <c r="K89" s="45"/>
      <c r="L89" s="45"/>
      <c r="M89" s="46"/>
      <c r="N89" s="45"/>
      <c r="O89" s="25"/>
      <c r="S89" s="26"/>
    </row>
    <row r="90" spans="7:19" x14ac:dyDescent="0.25">
      <c r="G90" s="45"/>
      <c r="H90" s="45" t="s">
        <v>1787</v>
      </c>
      <c r="I90" s="45"/>
      <c r="J90" s="45"/>
      <c r="K90" s="45"/>
      <c r="L90" s="45" t="s">
        <v>1726</v>
      </c>
      <c r="M90" s="46">
        <v>0.45</v>
      </c>
      <c r="N90" s="45">
        <v>0.55000000000000004</v>
      </c>
      <c r="O90" s="25"/>
      <c r="S90" s="26"/>
    </row>
    <row r="91" spans="7:19" x14ac:dyDescent="0.25">
      <c r="G91" s="45"/>
      <c r="H91" s="45" t="s">
        <v>1706</v>
      </c>
      <c r="I91" s="45"/>
      <c r="J91" s="45"/>
      <c r="K91" s="45"/>
      <c r="L91" s="45" t="s">
        <v>1728</v>
      </c>
      <c r="M91" s="46"/>
      <c r="N91" s="45"/>
      <c r="O91" s="25"/>
      <c r="S91" s="26"/>
    </row>
    <row r="92" spans="7:19" x14ac:dyDescent="0.25">
      <c r="G92" s="45"/>
      <c r="H92" s="45" t="s">
        <v>1707</v>
      </c>
      <c r="I92" s="45"/>
      <c r="J92" s="45"/>
      <c r="K92" s="45"/>
      <c r="L92" s="45"/>
      <c r="M92" s="46"/>
      <c r="N92" s="45"/>
      <c r="O92" s="25"/>
      <c r="S92" s="26"/>
    </row>
    <row r="93" spans="7:19" x14ac:dyDescent="0.25">
      <c r="G93" s="45"/>
      <c r="H93" s="45" t="s">
        <v>1788</v>
      </c>
      <c r="I93" s="45"/>
      <c r="J93" s="45"/>
      <c r="K93" s="45"/>
      <c r="L93" s="45" t="s">
        <v>1726</v>
      </c>
      <c r="M93" s="46">
        <v>0.45</v>
      </c>
      <c r="N93" s="45">
        <v>0.55000000000000004</v>
      </c>
      <c r="O93" s="25"/>
      <c r="S93" s="26"/>
    </row>
    <row r="94" spans="7:19" x14ac:dyDescent="0.25">
      <c r="G94" s="45"/>
      <c r="H94" s="45" t="s">
        <v>1708</v>
      </c>
      <c r="I94" s="45"/>
      <c r="J94" s="45"/>
      <c r="K94" s="45"/>
      <c r="L94" s="45" t="s">
        <v>1729</v>
      </c>
      <c r="M94" s="46"/>
      <c r="N94" s="45"/>
      <c r="O94" s="25"/>
      <c r="S94" s="26"/>
    </row>
    <row r="95" spans="7:19" x14ac:dyDescent="0.25">
      <c r="G95" s="45"/>
      <c r="H95" s="45" t="s">
        <v>1709</v>
      </c>
      <c r="I95" s="45"/>
      <c r="J95" s="45"/>
      <c r="K95" s="45"/>
      <c r="L95" s="45"/>
      <c r="M95" s="46"/>
      <c r="N95" s="45"/>
      <c r="O95" s="25"/>
      <c r="S95" s="26"/>
    </row>
    <row r="96" spans="7:19" x14ac:dyDescent="0.25">
      <c r="G96" s="45"/>
      <c r="H96" s="45" t="s">
        <v>1788</v>
      </c>
      <c r="I96" s="45"/>
      <c r="J96" s="45"/>
      <c r="K96" s="45"/>
      <c r="L96" s="45" t="s">
        <v>1726</v>
      </c>
      <c r="M96" s="46">
        <v>0.45</v>
      </c>
      <c r="N96" s="45">
        <v>0.55000000000000004</v>
      </c>
      <c r="O96" s="25"/>
      <c r="S96" s="26"/>
    </row>
    <row r="97" spans="7:19" x14ac:dyDescent="0.25">
      <c r="G97" s="45"/>
      <c r="H97" s="45" t="s">
        <v>1710</v>
      </c>
      <c r="I97" s="45"/>
      <c r="J97" s="45"/>
      <c r="K97" s="45"/>
      <c r="L97" s="45" t="s">
        <v>1730</v>
      </c>
      <c r="M97" s="46"/>
      <c r="N97" s="45"/>
      <c r="O97" s="25"/>
      <c r="S97" s="26"/>
    </row>
    <row r="98" spans="7:19" x14ac:dyDescent="0.25">
      <c r="G98" s="45"/>
      <c r="H98" s="45" t="s">
        <v>1711</v>
      </c>
      <c r="I98" s="45"/>
      <c r="J98" s="45"/>
      <c r="K98" s="45"/>
      <c r="L98" s="45"/>
      <c r="M98" s="46"/>
      <c r="N98" s="45"/>
      <c r="O98" s="25"/>
      <c r="S98" s="26"/>
    </row>
    <row r="99" spans="7:19" x14ac:dyDescent="0.25">
      <c r="G99" s="45"/>
      <c r="H99" s="45" t="s">
        <v>1789</v>
      </c>
      <c r="I99" s="45"/>
      <c r="J99" s="45"/>
      <c r="K99" s="45"/>
      <c r="L99" s="45" t="s">
        <v>1726</v>
      </c>
      <c r="M99" s="46">
        <v>0.6</v>
      </c>
      <c r="N99" s="45">
        <v>0.4</v>
      </c>
      <c r="O99" s="25"/>
      <c r="S99" s="26"/>
    </row>
    <row r="100" spans="7:19" x14ac:dyDescent="0.25">
      <c r="G100" s="45"/>
      <c r="H100" s="45" t="s">
        <v>1712</v>
      </c>
      <c r="I100" s="45"/>
      <c r="J100" s="45"/>
      <c r="K100" s="45"/>
      <c r="L100" s="45" t="s">
        <v>1731</v>
      </c>
      <c r="M100" s="46"/>
      <c r="N100" s="45"/>
      <c r="O100" s="25"/>
      <c r="S100" s="26"/>
    </row>
    <row r="101" spans="7:19" x14ac:dyDescent="0.25">
      <c r="G101" s="45"/>
      <c r="H101" s="45" t="s">
        <v>1713</v>
      </c>
      <c r="I101" s="45"/>
      <c r="J101" s="45"/>
      <c r="K101" s="45"/>
      <c r="L101" s="45"/>
      <c r="M101" s="46"/>
      <c r="N101" s="45"/>
      <c r="O101" s="25"/>
      <c r="S101" s="26"/>
    </row>
    <row r="102" spans="7:19" x14ac:dyDescent="0.25">
      <c r="G102" s="45"/>
      <c r="H102" s="45" t="s">
        <v>1790</v>
      </c>
      <c r="I102" s="45"/>
      <c r="J102" s="45"/>
      <c r="K102" s="45"/>
      <c r="L102" s="45" t="s">
        <v>1726</v>
      </c>
      <c r="M102" s="46">
        <v>0.6</v>
      </c>
      <c r="N102" s="45">
        <v>0.4</v>
      </c>
      <c r="O102" s="25"/>
      <c r="S102" s="26"/>
    </row>
    <row r="103" spans="7:19" x14ac:dyDescent="0.25">
      <c r="G103" s="45"/>
      <c r="H103" s="45" t="s">
        <v>1714</v>
      </c>
      <c r="I103" s="45"/>
      <c r="J103" s="45"/>
      <c r="K103" s="45"/>
      <c r="L103" s="45" t="s">
        <v>1732</v>
      </c>
      <c r="M103" s="46"/>
      <c r="N103" s="45"/>
      <c r="O103" s="25"/>
      <c r="S103" s="26"/>
    </row>
    <row r="104" spans="7:19" x14ac:dyDescent="0.25">
      <c r="G104" s="45"/>
      <c r="H104" s="45" t="s">
        <v>1715</v>
      </c>
      <c r="I104" s="45"/>
      <c r="J104" s="45"/>
      <c r="K104" s="45"/>
      <c r="L104" s="45"/>
      <c r="M104" s="46"/>
      <c r="N104" s="45"/>
      <c r="O104" s="25"/>
      <c r="S104" s="26"/>
    </row>
    <row r="105" spans="7:19" x14ac:dyDescent="0.25">
      <c r="G105" s="45"/>
      <c r="H105" s="45" t="s">
        <v>1791</v>
      </c>
      <c r="I105" s="45"/>
      <c r="J105" s="45"/>
      <c r="K105" s="45"/>
      <c r="L105" s="45" t="s">
        <v>1726</v>
      </c>
      <c r="M105" s="46">
        <v>0.57999999999999996</v>
      </c>
      <c r="N105" s="45">
        <v>0.42</v>
      </c>
      <c r="O105" s="25"/>
      <c r="S105" s="26"/>
    </row>
    <row r="106" spans="7:19" x14ac:dyDescent="0.25">
      <c r="G106" s="45"/>
      <c r="H106" s="45" t="s">
        <v>1716</v>
      </c>
      <c r="I106" s="45"/>
      <c r="J106" s="45"/>
      <c r="K106" s="45"/>
      <c r="L106" s="45" t="s">
        <v>1733</v>
      </c>
      <c r="M106" s="46"/>
      <c r="N106" s="45"/>
      <c r="O106" s="25"/>
      <c r="S106" s="26"/>
    </row>
    <row r="107" spans="7:19" x14ac:dyDescent="0.25">
      <c r="G107" s="45"/>
      <c r="H107" s="45" t="s">
        <v>1717</v>
      </c>
      <c r="I107" s="45"/>
      <c r="J107" s="45"/>
      <c r="K107" s="45"/>
      <c r="L107" s="45"/>
      <c r="M107" s="46"/>
      <c r="N107" s="45"/>
      <c r="O107" s="25"/>
      <c r="S107" s="26"/>
    </row>
    <row r="108" spans="7:19" x14ac:dyDescent="0.25">
      <c r="G108" s="45"/>
      <c r="H108" s="45" t="s">
        <v>1792</v>
      </c>
      <c r="I108" s="45"/>
      <c r="J108" s="45"/>
      <c r="K108" s="45"/>
      <c r="L108" s="45" t="s">
        <v>1726</v>
      </c>
      <c r="M108" s="46">
        <v>0.68</v>
      </c>
      <c r="N108" s="45">
        <v>0.32</v>
      </c>
      <c r="O108" s="25"/>
      <c r="S108" s="26"/>
    </row>
    <row r="109" spans="7:19" x14ac:dyDescent="0.25">
      <c r="G109" s="45"/>
      <c r="H109" s="45" t="s">
        <v>1793</v>
      </c>
      <c r="I109" s="45"/>
      <c r="J109" s="45"/>
      <c r="K109" s="45"/>
      <c r="L109" s="45" t="s">
        <v>1726</v>
      </c>
      <c r="M109" s="46">
        <v>0.71</v>
      </c>
      <c r="N109" s="45">
        <v>0.28999999999999998</v>
      </c>
      <c r="O109" s="25"/>
      <c r="S109" s="26"/>
    </row>
    <row r="110" spans="7:19" x14ac:dyDescent="0.25">
      <c r="G110" s="47">
        <v>12</v>
      </c>
      <c r="H110" s="47"/>
      <c r="I110" s="47"/>
      <c r="J110" s="47"/>
      <c r="K110" s="47"/>
      <c r="L110" s="47"/>
      <c r="M110" s="48"/>
      <c r="N110" s="47"/>
      <c r="O110" s="25"/>
      <c r="S110" s="26"/>
    </row>
    <row r="111" spans="7:19" x14ac:dyDescent="0.25">
      <c r="G111" s="47"/>
      <c r="H111" s="47"/>
      <c r="I111" s="47"/>
      <c r="J111" s="47"/>
      <c r="K111" s="47"/>
      <c r="L111" s="47"/>
      <c r="M111" s="48"/>
      <c r="N111" s="47"/>
      <c r="O111" s="25"/>
      <c r="S111" s="26"/>
    </row>
    <row r="112" spans="7:19" x14ac:dyDescent="0.25">
      <c r="G112" s="47"/>
      <c r="H112" s="47" t="s">
        <v>1718</v>
      </c>
      <c r="I112" s="47"/>
      <c r="J112" s="47"/>
      <c r="K112" s="47"/>
      <c r="L112" s="47" t="s">
        <v>1726</v>
      </c>
      <c r="M112" s="48">
        <v>0.371</v>
      </c>
      <c r="N112" s="47">
        <v>0.629</v>
      </c>
      <c r="O112" s="25"/>
      <c r="S112" s="26"/>
    </row>
    <row r="113" spans="7:19" x14ac:dyDescent="0.25">
      <c r="G113" s="47"/>
      <c r="H113" s="47" t="s">
        <v>1794</v>
      </c>
      <c r="I113" s="47"/>
      <c r="J113" s="47"/>
      <c r="K113" s="47"/>
      <c r="L113" s="47" t="s">
        <v>1726</v>
      </c>
      <c r="M113" s="48">
        <v>0.55100000000000005</v>
      </c>
      <c r="N113" s="47">
        <v>0.44900000000000001</v>
      </c>
      <c r="O113" s="25"/>
      <c r="S113" s="26"/>
    </row>
    <row r="114" spans="7:19" x14ac:dyDescent="0.25">
      <c r="G114" s="47"/>
      <c r="H114" s="47" t="s">
        <v>1795</v>
      </c>
      <c r="I114" s="47"/>
      <c r="J114" s="47"/>
      <c r="K114" s="47"/>
      <c r="L114" s="47" t="s">
        <v>1726</v>
      </c>
      <c r="M114" s="48">
        <v>0.55100000000000005</v>
      </c>
      <c r="N114" s="47">
        <v>0.44900000000000001</v>
      </c>
      <c r="O114" s="25"/>
      <c r="S114" s="26"/>
    </row>
    <row r="115" spans="7:19" x14ac:dyDescent="0.25">
      <c r="G115" s="47"/>
      <c r="H115" s="47" t="s">
        <v>1796</v>
      </c>
      <c r="I115" s="47"/>
      <c r="J115" s="47"/>
      <c r="K115" s="47"/>
      <c r="L115" s="47"/>
      <c r="M115" s="47"/>
      <c r="N115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ZLP 1</vt:lpstr>
      <vt:lpstr>ZLP2</vt:lpstr>
      <vt:lpstr>HVP1</vt:lpstr>
      <vt:lpstr>HVP2</vt:lpstr>
      <vt:lpstr>MR11 1</vt:lpstr>
      <vt:lpstr>MR11 2</vt:lpstr>
      <vt:lpstr>MR13 1</vt:lpstr>
      <vt:lpstr>MR13 2</vt:lpstr>
      <vt:lpstr>Carbotron 1</vt:lpstr>
      <vt:lpstr>Carbotron 2</vt:lpstr>
      <vt:lpstr>XM</vt:lpstr>
      <vt:lpstr>Excel BAG 2</vt:lpstr>
      <vt:lpstr>Sheet1</vt:lpstr>
      <vt:lpstr>Excel BAG 1</vt:lpstr>
      <vt:lpstr>Purapak</vt:lpstr>
      <vt:lpstr>Zpak1</vt:lpstr>
      <vt:lpstr>Zpak2</vt:lpstr>
      <vt:lpstr>Puracell IILR</vt:lpstr>
      <vt:lpstr>DISTRIBUTOR MULTIPLIER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Farraw Duque</dc:creator>
  <cp:lastModifiedBy>Joseph Hernandez</cp:lastModifiedBy>
  <dcterms:created xsi:type="dcterms:W3CDTF">2026-03-10T21:05:13Z</dcterms:created>
  <dcterms:modified xsi:type="dcterms:W3CDTF">2026-10-02T18:46:00Z</dcterms:modified>
</cp:coreProperties>
</file>